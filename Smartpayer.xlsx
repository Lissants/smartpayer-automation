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hristopher.gerard\Downloads\SmartPayer Automation\v5\SmartPayer Automation\"/>
    </mc:Choice>
  </mc:AlternateContent>
  <xr:revisionPtr revIDLastSave="0" documentId="13_ncr:1_{FF25EDAB-A0AF-4CD7-B101-9D5CF0437AF4}" xr6:coauthVersionLast="47" xr6:coauthVersionMax="47" xr10:uidLastSave="{00000000-0000-0000-0000-000000000000}"/>
  <bookViews>
    <workbookView xWindow="380" yWindow="380" windowWidth="14400" windowHeight="7270" xr2:uid="{00000000-000D-0000-FFFF-FFFF00000000}"/>
  </bookViews>
  <sheets>
    <sheet name="Sheet1" sheetId="1" r:id="rId1"/>
    <sheet name="Master" sheetId="2" r:id="rId2"/>
    <sheet name="_PayerList" sheetId="3" state="hidden" r:id="rId3"/>
  </sheets>
  <definedNames>
    <definedName name="_xlnm._FilterDatabase" localSheetId="1" hidden="1">Master!$A$1:$AV$731</definedName>
    <definedName name="_xlnm._FilterDatabase" localSheetId="0" hidden="1">Sheet1!$A$1:$L$9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H8" i="1"/>
  <c r="G7" i="1"/>
  <c r="H6" i="1"/>
  <c r="G5" i="1"/>
  <c r="H4" i="1"/>
  <c r="G3" i="1"/>
  <c r="O2" i="1"/>
  <c r="H2" i="1"/>
  <c r="K2" i="1" l="1"/>
  <c r="I2" i="1"/>
  <c r="L8" i="1"/>
  <c r="L9" i="1" s="1"/>
  <c r="K8" i="1"/>
  <c r="K9" i="1" s="1"/>
  <c r="J8" i="1"/>
  <c r="J9" i="1" s="1"/>
  <c r="I8" i="1"/>
  <c r="I9" i="1" s="1"/>
  <c r="H7" i="1"/>
  <c r="L6" i="1"/>
  <c r="L7" i="1" s="1"/>
  <c r="K6" i="1"/>
  <c r="K7" i="1" s="1"/>
  <c r="J6" i="1"/>
  <c r="J7" i="1" s="1"/>
  <c r="I6" i="1"/>
  <c r="I7" i="1" s="1"/>
  <c r="H9" i="1"/>
  <c r="H3" i="1"/>
  <c r="L2" i="1"/>
  <c r="J2" i="1"/>
  <c r="H5" i="1"/>
  <c r="L4" i="1"/>
  <c r="L5" i="1" s="1"/>
  <c r="K4" i="1"/>
  <c r="K5" i="1" s="1"/>
  <c r="J4" i="1"/>
  <c r="J5" i="1" s="1"/>
  <c r="I4" i="1"/>
  <c r="I5" i="1" s="1"/>
  <c r="K3" i="1" l="1"/>
  <c r="K14" i="1"/>
  <c r="K15" i="1" s="1"/>
  <c r="K16" i="1" s="1"/>
  <c r="I3" i="1"/>
  <c r="I14" i="1"/>
  <c r="I15" i="1" s="1"/>
  <c r="I16" i="1" s="1"/>
  <c r="L3" i="1"/>
  <c r="L14" i="1"/>
  <c r="L15" i="1" s="1"/>
  <c r="L16" i="1" s="1"/>
  <c r="J3" i="1"/>
  <c r="J14" i="1"/>
  <c r="J15" i="1" s="1"/>
  <c r="J16" i="1" s="1"/>
</calcChain>
</file>

<file path=xl/sharedStrings.xml><?xml version="1.0" encoding="utf-8"?>
<sst xmlns="http://schemas.openxmlformats.org/spreadsheetml/2006/main" count="48327" uniqueCount="2791">
  <si>
    <t>Payer</t>
  </si>
  <si>
    <t>Bill To Party</t>
  </si>
  <si>
    <t>Payer Name</t>
  </si>
  <si>
    <t>Document No</t>
  </si>
  <si>
    <t>Doc. Date</t>
  </si>
  <si>
    <t>Net Due Date</t>
  </si>
  <si>
    <t>Tot.Inv.Ostd.</t>
  </si>
  <si>
    <t>DPP</t>
  </si>
  <si>
    <t>CV. TULUS JAYA SEJAHTERA</t>
  </si>
  <si>
    <t>CV. TULUS JAYA SEJAHTERA Total</t>
  </si>
  <si>
    <t>PT. BAHAGIA INTRA NIAGA</t>
  </si>
  <si>
    <t>PT. BAHAGIA INTRA NIAGA Total</t>
  </si>
  <si>
    <t>PT. EKA ARTHA BUANA</t>
  </si>
  <si>
    <t>PT. EKA ARTHA BUANA Total</t>
  </si>
  <si>
    <t>PT. SAERAH SURYA PERKASA</t>
  </si>
  <si>
    <t>PT. SAERAH SURYA PERKASA Total</t>
  </si>
  <si>
    <t>PPH 15%</t>
  </si>
  <si>
    <t>Net Disc</t>
  </si>
  <si>
    <t>Nominal yang di transfer</t>
  </si>
  <si>
    <t>Zone</t>
  </si>
  <si>
    <t>Region</t>
  </si>
  <si>
    <t>Bus.Area</t>
  </si>
  <si>
    <t>Bill To Party Name</t>
  </si>
  <si>
    <t>Doc Type</t>
  </si>
  <si>
    <t>Post Date</t>
  </si>
  <si>
    <t>Doc Date</t>
  </si>
  <si>
    <t>Overdue days</t>
  </si>
  <si>
    <t>Unadj.Credit</t>
  </si>
  <si>
    <t>Current</t>
  </si>
  <si>
    <t>1 - 030 Days</t>
  </si>
  <si>
    <t>031 - 060 Days Ostd.</t>
  </si>
  <si>
    <t>061 - 090 Days Ostd.</t>
  </si>
  <si>
    <t>091 - 180 Days Ostd.</t>
  </si>
  <si>
    <t>181 - 0210 Days Ostd.</t>
  </si>
  <si>
    <t>0211 - 0240 Days Ostd.</t>
  </si>
  <si>
    <t>0241 - 0270 Days Ostd.</t>
  </si>
  <si>
    <t>&gt; Than 0270 Days Ostd.</t>
  </si>
  <si>
    <t>Plant</t>
  </si>
  <si>
    <t>Stock Rcpt Date</t>
  </si>
  <si>
    <t>Description of terms of payment</t>
  </si>
  <si>
    <t>0 days</t>
  </si>
  <si>
    <t>-1 s/d -7 days</t>
  </si>
  <si>
    <t>-8 s/d -14 days</t>
  </si>
  <si>
    <t>&gt; -14 days</t>
  </si>
  <si>
    <t>TEXT</t>
  </si>
  <si>
    <t>ZIRD02</t>
  </si>
  <si>
    <t>ZI04</t>
  </si>
  <si>
    <t>MD01</t>
  </si>
  <si>
    <t>PT. NATURAL ALTOVIRA</t>
  </si>
  <si>
    <t>AB</t>
  </si>
  <si>
    <t>as of end of month</t>
  </si>
  <si>
    <t>0,00</t>
  </si>
  <si>
    <t>Sisa Nett Off badstock proclin Natural</t>
  </si>
  <si>
    <t>PT. M.D. JAYA MAKMUR</t>
  </si>
  <si>
    <t>RV</t>
  </si>
  <si>
    <t>45 DAYS FROM INVOICE DATE</t>
  </si>
  <si>
    <t>NYU CREME HC CHERRY RED (NF)</t>
  </si>
  <si>
    <t>RAFAKSI|PTMULTI DISTRIBUSI JAYA MAKMUR|0</t>
  </si>
  <si>
    <t>INC JAN26|TANJUNGPANDAN|15</t>
  </si>
  <si>
    <t>GAJI JAN26|TANJUNG PANDAN</t>
  </si>
  <si>
    <t>MD07</t>
  </si>
  <si>
    <t>2.457.497,91</t>
  </si>
  <si>
    <t>NYU HENNA SHAMPOO HC BLUE BLACK-5 MIN</t>
  </si>
  <si>
    <t>60.938,47</t>
  </si>
  <si>
    <t>HIT AEROSOL COTTON POWDER 750ML</t>
  </si>
  <si>
    <t>3.000.594,93</t>
  </si>
  <si>
    <t>3.237.859,90</t>
  </si>
  <si>
    <t>STELLA All in One SENSATION 42+13gr</t>
  </si>
  <si>
    <t>2.977.024,80</t>
  </si>
  <si>
    <t>NYU HENNA SHAMPOO HC NAT BLACK-5MIN</t>
  </si>
  <si>
    <t>605.779,28</t>
  </si>
  <si>
    <t>1.386.442,37</t>
  </si>
  <si>
    <t>STELLA AER S. LAVENDER 350+50ML RJV</t>
  </si>
  <si>
    <t>ZIRD06</t>
  </si>
  <si>
    <t>ZI16</t>
  </si>
  <si>
    <t>CV. CAHAYA MAKMUR ABADI</t>
  </si>
  <si>
    <t>35 days from invoice date</t>
  </si>
  <si>
    <t>STELLA MTC REF RAJA AMPAT L. 160+65ML</t>
  </si>
  <si>
    <t>Activity Marketing Dress Up Pohon natal|</t>
  </si>
  <si>
    <t>Block Shelving |RITA J|2.00*</t>
  </si>
  <si>
    <t>Block Shelving |RITA MALL|2.00*</t>
  </si>
  <si>
    <t>Block Shelving |RITA MALL|10.00*</t>
  </si>
  <si>
    <t>Promo Disc Off PO|PT RITA RITELINDO|2.00</t>
  </si>
  <si>
    <t>RAFAKSI|PT RITA RITELINDO|0.00*</t>
  </si>
  <si>
    <t>ZIRD07</t>
  </si>
  <si>
    <t>ZI17</t>
  </si>
  <si>
    <t>CV. CAHAYA MAKMUR ABADI - PURWOREJO</t>
  </si>
  <si>
    <t>Activity Marekting pohon natal NYU|SINAR</t>
  </si>
  <si>
    <t>GONDOLA|SINAR|2.00*</t>
  </si>
  <si>
    <t>CON.REBATE|SANG BARU|15.00*</t>
  </si>
  <si>
    <t>CON.REBATE|SILMI|15.00*</t>
  </si>
  <si>
    <t>CON.REBATE|PUTRA BARU TOKO|15.00*</t>
  </si>
  <si>
    <t>CON.REBATE|PUTRA BARU KUTOWINANGUN|15.00</t>
  </si>
  <si>
    <t>CON.REBATE|SINAR|15.00*</t>
  </si>
  <si>
    <t>CON.REBATE|ORENS|15.00*</t>
  </si>
  <si>
    <t>CON.REBATE|PELANGI|15.00*</t>
  </si>
  <si>
    <t>CV. CAHAYA MAKMUR ABADI - CILACAP</t>
  </si>
  <si>
    <t>CON.REBATE|POJOK KALI TERUS TK|15.00*</t>
  </si>
  <si>
    <t>CON.REBATE|BRAYAN MAJU KLAMPOK|15.00*</t>
  </si>
  <si>
    <t>CON.REBATE|Yopie Widyanto|15.00*</t>
  </si>
  <si>
    <t>GONDOLA|RITA MALL|2.00*</t>
  </si>
  <si>
    <t>GONDOLA|RITA A|2.00*</t>
  </si>
  <si>
    <t>ANNIVERSY|cv cahaya makmur abadi|2.00*</t>
  </si>
  <si>
    <t>Block Shelving|LARIS KUTOARJO|2.00*</t>
  </si>
  <si>
    <t>RAFAKSI|LARIS PURWOREJO|0.00*</t>
  </si>
  <si>
    <t>LISTING|CV CAHAYA MAKMUR ABADI|2.00*</t>
  </si>
  <si>
    <t>HIT AER PINK BLOSSOM 180+30ML EXTRA</t>
  </si>
  <si>
    <t>PROCLIN PENGHILANG NODA PLUS SCH 25ML ND</t>
  </si>
  <si>
    <t>BIOSOL SACHET 20 ML+5 ML</t>
  </si>
  <si>
    <t>RAFAKSI|CV. CAHAYA MAKMUR ABADI|0.00*</t>
  </si>
  <si>
    <t>RAFAKSI|CV Cahaya makmur abadi|0.00*</t>
  </si>
  <si>
    <t>DF</t>
  </si>
  <si>
    <t>STELLA MTC REF J.SAKURA 160ML RJV</t>
  </si>
  <si>
    <t>STELLA MTC REF C.LATTE 160+65ML MTP RJV</t>
  </si>
  <si>
    <t>LISTING|LARIS PWJ|2.00*</t>
  </si>
  <si>
    <t>LISTING|LARIS KUTOARJO|2.00*</t>
  </si>
  <si>
    <t>LISTING|CV. CAHAYA MAKMUR ABADI PURWOKER</t>
  </si>
  <si>
    <t>CON.REBATE|SAMI LARIS|15.00*</t>
  </si>
  <si>
    <t>CON.REBATE|BERKAH JAYA|15.00*</t>
  </si>
  <si>
    <t>CON.REBATE|ONO|15.00*</t>
  </si>
  <si>
    <t>CON.REBATE|JADI BARU|15.00*</t>
  </si>
  <si>
    <t>CON.REBATE|HARAPAN SEJAHTERA|15.00*</t>
  </si>
  <si>
    <t>CON.REBATE|BRAYAN MAJU BOJONG|15.00*</t>
  </si>
  <si>
    <t>CON.REBATE|DANI TK / YOGI MART|15.00*</t>
  </si>
  <si>
    <t>CON.REBATE|CV ARGO JENE|15.00*</t>
  </si>
  <si>
    <t>CON.REBATE|RATU SWALAYAN|15.00*</t>
  </si>
  <si>
    <t>CON.REBATE|BERKAH JAYA PURWOKERTO|15.00*</t>
  </si>
  <si>
    <t>CON.REBATE|CV MAJU MAKMUR|15.00*</t>
  </si>
  <si>
    <t>CON.REBATE|DEPO PELITA SOKARAJA|15.00*</t>
  </si>
  <si>
    <t>CON.REBATE|CV MITRA SEHATI|15.00*</t>
  </si>
  <si>
    <t>Insentif Sales Jan26|CV. CAHAYA MAKMUR A</t>
  </si>
  <si>
    <t>Dress Up Pohon Natal Stella|CV Cahaya ma</t>
  </si>
  <si>
    <t>Man Power Activity NYU|JADI BARU|0.00*</t>
  </si>
  <si>
    <t>Expense transport event NYU|JADI BARU|0.</t>
  </si>
  <si>
    <t>GONDOLA|RITA|2.00*</t>
  </si>
  <si>
    <t>Block Shelving |SILMI|2.00*</t>
  </si>
  <si>
    <t>CON.REBATE|LAKSANA BARU|15.00*</t>
  </si>
  <si>
    <t>CON.REBATE|PT RITA RITELINDO|15.00*</t>
  </si>
  <si>
    <t>Celebration Des25|CV. CAHAYA MAKMUR ABAD</t>
  </si>
  <si>
    <t>Celebration Sept25|CV. CAHAYA MAKMUR ABA</t>
  </si>
  <si>
    <t>DJ</t>
  </si>
  <si>
    <t>1.794,88</t>
  </si>
  <si>
    <t>HIT LV GOODKNIGHT NONSTOP REF CLASSIC NF</t>
  </si>
  <si>
    <t>2.628,45</t>
  </si>
  <si>
    <t>HIT AEROSOL ORANGE 150+25ML EXTRA</t>
  </si>
  <si>
    <t>33,89</t>
  </si>
  <si>
    <t>24.012,10</t>
  </si>
  <si>
    <t>STELLA MTC REF J.SAKURA 160+65ML RJV</t>
  </si>
  <si>
    <t>6.860,60</t>
  </si>
  <si>
    <t>STELLA MTC REF C.LATTE 160+65ML RJV</t>
  </si>
  <si>
    <t>1.581.086,46</t>
  </si>
  <si>
    <t>STELLA HANG N FLIP AQUA REFLECTION 9+3ML</t>
  </si>
  <si>
    <t>950.055,82</t>
  </si>
  <si>
    <t>STELLA AIO LEMON 42+13GR RJV</t>
  </si>
  <si>
    <t>7.897,69</t>
  </si>
  <si>
    <t>NYU CREME HC SACHET BLUE BLACK 20GR</t>
  </si>
  <si>
    <t>4.877.706,77</t>
  </si>
  <si>
    <t>10.881,91</t>
  </si>
  <si>
    <t>BIOSOL HIT POWER L2L 500ML B2B PRO</t>
  </si>
  <si>
    <t>9.923.126,70</t>
  </si>
  <si>
    <t>1.075,37</t>
  </si>
  <si>
    <t>HIT AEROSOL LILY BLOSSOM 150+25ML EXTRA</t>
  </si>
  <si>
    <t>3.203,19</t>
  </si>
  <si>
    <t>POLYTEX MPC SERBAGUNA B2B PRO</t>
  </si>
  <si>
    <t>4.723.435,08</t>
  </si>
  <si>
    <t>NYU CREME HC CARAMEL (S)</t>
  </si>
  <si>
    <t>1.164.260,90</t>
  </si>
  <si>
    <t>STELLA AIO C.LATTE 42+13GR RJV</t>
  </si>
  <si>
    <t>1.118.088,66</t>
  </si>
  <si>
    <t>NYU CREME HC NATURAL BLACK (S)</t>
  </si>
  <si>
    <t>2.309.152,60</t>
  </si>
  <si>
    <t>481.528,52</t>
  </si>
  <si>
    <t>STELLA MTC REF APPLE 160+65ML RJV</t>
  </si>
  <si>
    <t>2.522.057,28</t>
  </si>
  <si>
    <t>PROCLIN PENGHLNGNODA PLUS PCH150ML ND</t>
  </si>
  <si>
    <t>ZIRD08</t>
  </si>
  <si>
    <t>ZI21</t>
  </si>
  <si>
    <t>PT. PULAU BARU JAYA</t>
  </si>
  <si>
    <t>MITU BABY WIPES F&amp;C PINK CHERRY 4’S NS</t>
  </si>
  <si>
    <t>FIX REBATE|PT. PULAU BARU JAYA BANJARMAS</t>
  </si>
  <si>
    <t>CON.REBATE|PT. PULAU BARU JAYA BANJARMAS</t>
  </si>
  <si>
    <t>Insentif Sales Des25|PT. PULAU BARU JAYA</t>
  </si>
  <si>
    <t>3.179.346,46</t>
  </si>
  <si>
    <t>NYU CREME NATURAL BLACK 20GR (PI)</t>
  </si>
  <si>
    <t>3.733.109,32</t>
  </si>
  <si>
    <t>STELLA AIO APPLE 42+13GR RJV</t>
  </si>
  <si>
    <t>18.248,93</t>
  </si>
  <si>
    <t>MD11</t>
  </si>
  <si>
    <t>571.058,33</t>
  </si>
  <si>
    <t>STELLA ELECTRIC DEVICE SET CP 2.0</t>
  </si>
  <si>
    <t>3.613.840,60</t>
  </si>
  <si>
    <t>570.424,47</t>
  </si>
  <si>
    <t>59.604,07</t>
  </si>
  <si>
    <t>KLINPAK Cling Wrap Refill Jumbo</t>
  </si>
  <si>
    <t>2.633.340,47</t>
  </si>
  <si>
    <t>NYU HENNA SHAMPOO HC NAT BROWN-5 MIN</t>
  </si>
  <si>
    <t>2.030.989,91</t>
  </si>
  <si>
    <t>1.978,82</t>
  </si>
  <si>
    <t>MITU BABY WIPES F&amp;C BLUE BERRY 4’S NS</t>
  </si>
  <si>
    <t>4.180.498,62</t>
  </si>
  <si>
    <t>30.101,07</t>
  </si>
  <si>
    <t>21.582,80</t>
  </si>
  <si>
    <t>Klinpak K Sampah Sedang 60x80</t>
  </si>
  <si>
    <t>ZI19</t>
  </si>
  <si>
    <t>PT.LAUT TIMUR ARDIPRIMA</t>
  </si>
  <si>
    <t>PT. LAUT TIMUR ARDIPRIMA</t>
  </si>
  <si>
    <t>HIT AER PINK BLOSSOM 400+40ML EXTRA</t>
  </si>
  <si>
    <t>Insentif Sales Des25|PT. LAUT TIMUR A.-B</t>
  </si>
  <si>
    <t>Insentif Sales Sept25|PT. LAUT TIMUR A.-</t>
  </si>
  <si>
    <t>Insentif Sales Jul25|PT. LAUT TIMUR A.-B</t>
  </si>
  <si>
    <t>Insentif Sales Jul25|PT. LAUT TIMUR A.-</t>
  </si>
  <si>
    <t>Insentif Sales Jul25|PT. LAUT TIMUR A.-S</t>
  </si>
  <si>
    <t>Insentif sales Jul25|PT. LAUT TIMUR ARDI</t>
  </si>
  <si>
    <t>Insentif Sales Jul25|PT. LAUT TIMUR ARDI</t>
  </si>
  <si>
    <t>Insentif Sales Agst25|PT. LAUT TIMUR A.-</t>
  </si>
  <si>
    <t>Insentif Sales Agst25|PT. LAUT TIMUR ARD</t>
  </si>
  <si>
    <t>Celebration Sept25|PT. LAUT TIMUR A.- GR</t>
  </si>
  <si>
    <t>LISTING|ERAMART|2.00*</t>
  </si>
  <si>
    <t>LISTING|AMING 2|2.00*</t>
  </si>
  <si>
    <t>GONDOLA|IWAN SWALAYAN|10.00*</t>
  </si>
  <si>
    <t>GONDOLA|CV. MAXI RAYA|10.00*</t>
  </si>
  <si>
    <t>FIX REBATE|PT. LAUT TIMUR A. BALIKPAPAN|</t>
  </si>
  <si>
    <t>LISTING|TK SEVEN|2.00*</t>
  </si>
  <si>
    <t>CON.REBATE|YUDI|15.00*</t>
  </si>
  <si>
    <t>Celebration Okt25|PT. LAUT TIMUR A.-BALI</t>
  </si>
  <si>
    <t>Insentif Sales Jun25|PT. LAUT TIMUR A.-B</t>
  </si>
  <si>
    <t>Insentif Sales Jun25|PT. LAUT TIMUR A.-</t>
  </si>
  <si>
    <t>Insentif Sales Sept25|PT. LAUT TIMUR ARD</t>
  </si>
  <si>
    <t>Insentif Sales Jun25|PT. LAUT TIMUR A.-S</t>
  </si>
  <si>
    <t>Insentif Sales Mei25|PT. LAUT TIMUR A.-S</t>
  </si>
  <si>
    <t>Insentif Sales Mei25|PT. LAUT TIMUR A.-B</t>
  </si>
  <si>
    <t>Insentif Sales Apr25|PT. LAUT TIMUR A.-B</t>
  </si>
  <si>
    <t>Insentif Sales Jun25|PT. LAUT TIMUR ARDI</t>
  </si>
  <si>
    <t>Insentif Sales Mei25|PT. LAUT TIMUR A.-</t>
  </si>
  <si>
    <t>SERV LEVEL|LOTTE|0.00*</t>
  </si>
  <si>
    <t>GONDOLA|PLANET SWALAYAN|10.00*</t>
  </si>
  <si>
    <t>GONDOLA|YOVA MAJU SENTOSA|10.00*</t>
  </si>
  <si>
    <t>Insentif Sales Mei25|PT. LAUT TIMUR ARDI</t>
  </si>
  <si>
    <t>LISTING|PUSPITA|2.00*</t>
  </si>
  <si>
    <t>LISTING|ARJUNA BARU|2.00*</t>
  </si>
  <si>
    <t>LISTING|IWAN SWALAYAN|2.00*</t>
  </si>
  <si>
    <t>LISTING|X MARKET|2.00*</t>
  </si>
  <si>
    <t>LISTING|VR SWALAYAN|2.00*</t>
  </si>
  <si>
    <t>STELLA HANG N FLIP JASMINE FLOW 9+3ML</t>
  </si>
  <si>
    <t>STELLA AER SECRET LAVENDER 175 ML RJV</t>
  </si>
  <si>
    <t>RAFAKSI|LAUT TIMUR ARDIPRIMA|0.00*</t>
  </si>
  <si>
    <t>LISTING|MULAWARMAN|2.00*</t>
  </si>
  <si>
    <t>LISTING|AUTO SWALAYAN|2.00*</t>
  </si>
  <si>
    <t>Insentif Sales Apr25|PT. LAUT TIMUR A.-</t>
  </si>
  <si>
    <t>LITING|MAXI RAYA|2.00*</t>
  </si>
  <si>
    <t>STELLA MTC REF APPLE 160+65ML MTP RJV</t>
  </si>
  <si>
    <t>LISTING|HOKKI SWALAYAN|2.00*</t>
  </si>
  <si>
    <t>B2B|PT. LAUT TIMUR A. SAMARINDA|2.00*</t>
  </si>
  <si>
    <t>FIX REBATE|PT. LAUT TIMUR A. SAMARINDA|1</t>
  </si>
  <si>
    <t>FIX REBATE|PT. LAUT TIMUR A. SAMARINDA|2</t>
  </si>
  <si>
    <t>B2B|PT. LAUT TIMUR A. BALIKPAPAN|2.00*</t>
  </si>
  <si>
    <t>Promo Disc Off PO|PT. LAUT TIMUR A. BALI</t>
  </si>
  <si>
    <t>Promo Disc Off PO|PT. LAUT TIMUR A. SAMA</t>
  </si>
  <si>
    <t>LISTING|YOVA|2.00*</t>
  </si>
  <si>
    <t>LISTING|RIZKY MART|2.00*</t>
  </si>
  <si>
    <t>LISTING|SWALAYAN KITA|2.00*</t>
  </si>
  <si>
    <t>Insentif Sales Apr25|PT. LAUT TIMUR A.-S</t>
  </si>
  <si>
    <t>Insentif Sales Apr25|PT. LAUT TIMUR ARDI</t>
  </si>
  <si>
    <t>Insentif Sales Mar25|PT. LAUT TIMUR A.-B</t>
  </si>
  <si>
    <t>Insentif Sales Mar25|PT. LAUT TIMUR A.-S</t>
  </si>
  <si>
    <t>Insentif Sales Feb25|PT. LAUT TIMUR A.-S</t>
  </si>
  <si>
    <t>5.269.986,60</t>
  </si>
  <si>
    <t>Carrera Shampoo Mobil 800 ml</t>
  </si>
  <si>
    <t>5.455.857,57</t>
  </si>
  <si>
    <t>STELLA AER CAFFE LATTE 175+25ML RJV</t>
  </si>
  <si>
    <t>5.466.136,66</t>
  </si>
  <si>
    <t>NYU CREME NATURAL BLEACH</t>
  </si>
  <si>
    <t>3.987.086,01</t>
  </si>
  <si>
    <t>HIT MAT GK REFILL 30S (18+12S) CLASSIC</t>
  </si>
  <si>
    <t>13.204,12</t>
  </si>
  <si>
    <t>4.644.909,50</t>
  </si>
  <si>
    <t>4.811.806,25</t>
  </si>
  <si>
    <t>LEM Tube CapGajah 100ml</t>
  </si>
  <si>
    <t>5.616.453,35</t>
  </si>
  <si>
    <t>STELLA AIO LAVENDER 42+13GR RJV</t>
  </si>
  <si>
    <t>54.213,47</t>
  </si>
  <si>
    <t>NYU CREME ASH BLONDE</t>
  </si>
  <si>
    <t>5.094.745,72</t>
  </si>
  <si>
    <t>PROCLIN PENGHILANG NODA PLUS 400ML SPOUT</t>
  </si>
  <si>
    <t>5.712.282,83</t>
  </si>
  <si>
    <t>STELLA AIO LAVENDER 42+10GR RJV</t>
  </si>
  <si>
    <t>3.936.568,69</t>
  </si>
  <si>
    <t>STELLA AER B. JASMINE S 350+50ML RJV</t>
  </si>
  <si>
    <t>4.385.358,85</t>
  </si>
  <si>
    <t>MITU BABY POWDER F&amp;C FLORAL 200GR+50%</t>
  </si>
  <si>
    <t>4.541.136,74</t>
  </si>
  <si>
    <t>5.260.568,03</t>
  </si>
  <si>
    <t>STELLA ELEC REF COMFORTING LAVENDER 25ML</t>
  </si>
  <si>
    <t>4.499.373,90</t>
  </si>
  <si>
    <t>HIT MAT GK REFILL 60+6S CLASSIC NF</t>
  </si>
  <si>
    <t>2.822.222,56</t>
  </si>
  <si>
    <t>HIT LV GOODKNIGHT-XPRESS-SET NF</t>
  </si>
  <si>
    <t>3.774.760,98</t>
  </si>
  <si>
    <t>4.171.165,59</t>
  </si>
  <si>
    <t>STELLA POCKET BATHROOM ORANGE RJV</t>
  </si>
  <si>
    <t>2.596.122,52</t>
  </si>
  <si>
    <t>STELLA FUN &amp; FRESH CARAMEL MACHIATO SP</t>
  </si>
  <si>
    <t>5.221.686,51</t>
  </si>
  <si>
    <t>STELLA AIO APPLE 42+10GR RJV</t>
  </si>
  <si>
    <t>1.838.714,83</t>
  </si>
  <si>
    <t>GAS WONDERFUEL 220gr</t>
  </si>
  <si>
    <t>14.269,78</t>
  </si>
  <si>
    <t>HIT AER COTTON POWDER 400+40ML EXTRA</t>
  </si>
  <si>
    <t>43.825,05</t>
  </si>
  <si>
    <t>STELLA MATIC BOX SET + HANG N FLIP EXTRA</t>
  </si>
  <si>
    <t>59.762,44</t>
  </si>
  <si>
    <t>38.543,11</t>
  </si>
  <si>
    <t>STELLA MTC SET + HANG N FLIP RJV EXTRA</t>
  </si>
  <si>
    <t>4.927,67</t>
  </si>
  <si>
    <t>2.859.074,14</t>
  </si>
  <si>
    <t>MITU BABY WIPES F&amp;C PINK 40S BOGOF+20S</t>
  </si>
  <si>
    <t>3.513.190,96</t>
  </si>
  <si>
    <t>MD10</t>
  </si>
  <si>
    <t>1.430.929,13</t>
  </si>
  <si>
    <t>31.763,40</t>
  </si>
  <si>
    <t>NYU CREME HC SACHET GOLDEN BROWN 20GR</t>
  </si>
  <si>
    <t>4.158.490,78</t>
  </si>
  <si>
    <t>4.356.596,65</t>
  </si>
  <si>
    <t>STELLA AIO BALINESE JASMINE 42+10GR RJV</t>
  </si>
  <si>
    <t>4.368.784,13</t>
  </si>
  <si>
    <t>HIT MAT GK REFILL 30+3S PINK BLOSSOM NF</t>
  </si>
  <si>
    <t>134.490,97</t>
  </si>
  <si>
    <t>3.867.215,35</t>
  </si>
  <si>
    <t>MITU BABY WIPES GPP PINK ROSE 50'S BOGOF</t>
  </si>
  <si>
    <t>4.188.380,80</t>
  </si>
  <si>
    <t>HIT MAT GK REFILL 60+6S PINK BLOSSOM NF</t>
  </si>
  <si>
    <t>212.643,81</t>
  </si>
  <si>
    <t>STELLA MTC BOX B2B WARM VERBENA EXTRA</t>
  </si>
  <si>
    <t>3.660.963,03</t>
  </si>
  <si>
    <t>STELLA AIO S.BOUGENVILLE 42+10GR RJV</t>
  </si>
  <si>
    <t>2.901.279,24</t>
  </si>
  <si>
    <t>HIT MAT GK REFILL 4S CLASSIC NF</t>
  </si>
  <si>
    <t>4.106.619,45</t>
  </si>
  <si>
    <t>Netoff CN &amp; Inv 9909326 9909331 9909335 JTO 14 Apr</t>
  </si>
  <si>
    <t>PT. KAHAYAN NIAGA UTAMA</t>
  </si>
  <si>
    <t>Celebration Nov24|PT KAHAYAN NIAGA UTAMA</t>
  </si>
  <si>
    <t>HIT LV GK XPRESS REFILL PINK BLOSSOM NF</t>
  </si>
  <si>
    <t>GONDOLA||2.00*</t>
  </si>
  <si>
    <t>GONDOLA|PT KAHAYAN NIAGA UTAMA|2.00*</t>
  </si>
  <si>
    <t>GRAND OP|PT KAHAYAN NIAGA UTAMA|2.00*</t>
  </si>
  <si>
    <t>CON.REBATE|PT. KAHAYAN NIAGA UTAMA PALAN</t>
  </si>
  <si>
    <t>Price Protection HIT Nov-Des 25|PT KAHAY</t>
  </si>
  <si>
    <t>3.437.492,92</t>
  </si>
  <si>
    <t>3.226.561,33</t>
  </si>
  <si>
    <t>3.236.289,56</t>
  </si>
  <si>
    <t>3.062.536,25</t>
  </si>
  <si>
    <t>2.642.658,24</t>
  </si>
  <si>
    <t>STELLA MTC REF B. JASMINE S 160+65ML RJV</t>
  </si>
  <si>
    <t>2.309.245,38</t>
  </si>
  <si>
    <t>STELLA MATIC BOX SET NEWSIZE</t>
  </si>
  <si>
    <t>3.478.067,91</t>
  </si>
  <si>
    <t>Carrera Shampoo Mobil 400 ml</t>
  </si>
  <si>
    <t>3.437.974,61</t>
  </si>
  <si>
    <t>NYU CREME HC NATURAL BROWN (S)</t>
  </si>
  <si>
    <t>ZI05</t>
  </si>
  <si>
    <t>PT.ANUGERAH WAHYUDI SEJAHTERA</t>
  </si>
  <si>
    <t>OSC GAJI NOV|SOLOK SELATAN</t>
  </si>
  <si>
    <t>OSC GAJI DES|SOLOK SELATAN</t>
  </si>
  <si>
    <t>OSC GAJI OKT|SOLOK SELATAN</t>
  </si>
  <si>
    <t>RAFAKSI|Budiman|0.00*</t>
  </si>
  <si>
    <t>RAFAKSI|PT SAHABAT JAYA SENTOSA|0.00*</t>
  </si>
  <si>
    <t>STELLA POCKET BATHROOM RJV - MTP 4 PCS</t>
  </si>
  <si>
    <t>STELLA AER JEJU ORANGE 350+50ML RJV</t>
  </si>
  <si>
    <t>FIX REBATE|PT. ANUGERAH WAHYUDI SEJAHTER</t>
  </si>
  <si>
    <t>CON.REBATE|PT. ANUGERAH WS SOLOK|15.00*</t>
  </si>
  <si>
    <t>RAFAKSI|PT. ANUGERAH WAHYUDI SEJAHTERA|0</t>
  </si>
  <si>
    <t>ZI07</t>
  </si>
  <si>
    <t>PT.ANUGERAH WAHYUDI SEJAHTERA - S.P</t>
  </si>
  <si>
    <t>CON.REBATE|PT Anugerah Wahyudi Sejahtera</t>
  </si>
  <si>
    <t>RAFAKSI|PT ANUGERAH WAHYUDI SEJAHTERA|0.</t>
  </si>
  <si>
    <t>PT.ANUGERAH WAHYUDI SEJAHTERA Pasam</t>
  </si>
  <si>
    <t>CON.REBATE|PT. ANUGERAH WS PASAMAN|15.00</t>
  </si>
  <si>
    <t>CON.REBATE|PT. ANUGERAH WS BUKITTINGGI|1</t>
  </si>
  <si>
    <t>RAFAKSI|BUDIMAN SWALAYAN|0.00*</t>
  </si>
  <si>
    <t>RAFAKSI|CV NIAGARA SWALAYAN|0.00*</t>
  </si>
  <si>
    <t>RAFAKSI|anugerah wahyudi sejahtera|0.00*</t>
  </si>
  <si>
    <t>RAFAKSI|PT. ANUGERAH WS SOLOK|0.00*</t>
  </si>
  <si>
    <t>PT.ANUGERAH WAHYUDI SEJAHTERA - PAR</t>
  </si>
  <si>
    <t>RAFAKSI|PT ANUGERAH WAHYUDI SEJAHTERA PA</t>
  </si>
  <si>
    <t>RAFAKSI|PT AWS SUNGAI PENUH|0.00*</t>
  </si>
  <si>
    <t>PT.ANUGERAH WAHYUDI SEJAHTERA - TAP</t>
  </si>
  <si>
    <t>RAFAKSI|PT. ANUGERAH WAHYUDI SEJAHTERA T</t>
  </si>
  <si>
    <t>GONDOLA|PT. ANUGERAH WAHYUDI SEJAHTERA P</t>
  </si>
  <si>
    <t>GONDOLA|BUDIMAN JAMBES|2.00*</t>
  </si>
  <si>
    <t>GONDOLA|PT. ANUGERAH WS BUKITTINGGI|2.00</t>
  </si>
  <si>
    <t>PT.ANUGERAH WAHYUDI SEJAHTERA - BAT</t>
  </si>
  <si>
    <t>GONDOLA|PT. ANUGERAH WAHYUDI SEJAHTERA B</t>
  </si>
  <si>
    <t>RAFAKSI|PT. ANUGERAH WS PASAMAN|0.00*</t>
  </si>
  <si>
    <t>PROCLIN BLEACH JERIGEN 3.5 L</t>
  </si>
  <si>
    <t>MITU BABY COLOGNE F&amp;C GREEN 100ML BUNDLE</t>
  </si>
  <si>
    <t>STELLA MATIC BOX SET+FREE AEROSOL 140ML</t>
  </si>
  <si>
    <t>HIT LV GOODKNIGHT XPRESS REFILL FRESH NF</t>
  </si>
  <si>
    <t>RAFAKSI|AWS PESISIR SELATAN</t>
  </si>
  <si>
    <t>STELLA MATIC BOX SET + HANG N FLIP</t>
  </si>
  <si>
    <t>STELLA POCKET BATHROOM EXOTIC FRUIT</t>
  </si>
  <si>
    <t>LISTING|PT. ANUGERAH WAHYUDI SEJAHTERA|2</t>
  </si>
  <si>
    <t>CELEBRATION DES25|AWS PESISIR SELATAN|15</t>
  </si>
  <si>
    <t>INC JAN25|PASAMAN|15</t>
  </si>
  <si>
    <t>INC SLS JAN25|SOLOK SELATAN</t>
  </si>
  <si>
    <t>INC JAN25|PAYAKUMBUH|15</t>
  </si>
  <si>
    <t>INC JAN26|SOLOK|15</t>
  </si>
  <si>
    <t>INC JAN26|SUNGAI PENUH|15</t>
  </si>
  <si>
    <t>INC JAN26|PARIAMAN|15</t>
  </si>
  <si>
    <t>HIT AER COTTON POWDER 600+50ML EXTRA</t>
  </si>
  <si>
    <t>Block Shelving |PT. ANUGERAH WS BUKITTIN</t>
  </si>
  <si>
    <t>HIT MAT GK REFILL 30S (18+12S) GREEN TEA</t>
  </si>
  <si>
    <t>CON.REBATE|PT. ANUGERAH WAHYUDI SEJAHTER</t>
  </si>
  <si>
    <t>CON.REBATE|PT. ANUGERAH WSPAYAKUMBUH|15.</t>
  </si>
  <si>
    <t>SUSEMI Sabut Spon 24x12</t>
  </si>
  <si>
    <t>4.747.122,86</t>
  </si>
  <si>
    <t>1.614.614,72</t>
  </si>
  <si>
    <t>15.881,70</t>
  </si>
  <si>
    <t>69,50</t>
  </si>
  <si>
    <t>HIT MATGK REFILL 30(18+12s) Pink Blossom</t>
  </si>
  <si>
    <t>156,83</t>
  </si>
  <si>
    <t>STELLA MTC REF S.LAVENDER 160ML RJV</t>
  </si>
  <si>
    <t>118,14</t>
  </si>
  <si>
    <t>450,53</t>
  </si>
  <si>
    <t>MITU BABY WIPES GPP WHITE VL 50'S BOGOF</t>
  </si>
  <si>
    <t>113,42</t>
  </si>
  <si>
    <t>63,80</t>
  </si>
  <si>
    <t>STELLA AER B. JASMINE S 175+25ML RJV</t>
  </si>
  <si>
    <t>4.067.455,83</t>
  </si>
  <si>
    <t>9.342.211,12</t>
  </si>
  <si>
    <t>STELLA AER JEJU ORANGE 350+50ML MTP RJV</t>
  </si>
  <si>
    <t>MD18</t>
  </si>
  <si>
    <t>2.109.531,62</t>
  </si>
  <si>
    <t>616.969,45</t>
  </si>
  <si>
    <t>1.898.770,08</t>
  </si>
  <si>
    <t>MITU BABY WIPES ANTISEPTIC BOGOF 45s</t>
  </si>
  <si>
    <t>1.745.453,55</t>
  </si>
  <si>
    <t>STELLA MTC REF W.FLOWER 160+65ML TTK RJV</t>
  </si>
  <si>
    <t>2.114.749,63</t>
  </si>
  <si>
    <t>72.481,98</t>
  </si>
  <si>
    <t>1.356.462,72</t>
  </si>
  <si>
    <t>MITU BABY POWDER F&amp;C FLORAL 100GR+50%</t>
  </si>
  <si>
    <t>1.474.741,72</t>
  </si>
  <si>
    <t>CARRERA SPON MOTOR</t>
  </si>
  <si>
    <t>5.584.509,66</t>
  </si>
  <si>
    <t>PT.ANUGERAH WAHYUDI SEJAHTERA - PAS</t>
  </si>
  <si>
    <t>3.552.846,90</t>
  </si>
  <si>
    <t>3.220,78</t>
  </si>
  <si>
    <t>2.765.156,12</t>
  </si>
  <si>
    <t>2.788.206,71</t>
  </si>
  <si>
    <t>3.692.629,15</t>
  </si>
  <si>
    <t>STELLA DF CAR+INDOOR LILY DREAM MTP RJV</t>
  </si>
  <si>
    <t>5.314.419,28</t>
  </si>
  <si>
    <t>POLYTEX SS EBTL 20GR 2S NEW</t>
  </si>
  <si>
    <t>2.118.800,87</t>
  </si>
  <si>
    <t>8.628,96</t>
  </si>
  <si>
    <t>LEM TIKUS TRAP CAP GAJAH 70 GR B2B NEW</t>
  </si>
  <si>
    <t>124,63</t>
  </si>
  <si>
    <t>HIT AER FRESH CITRUS 400+40ML EXTRA</t>
  </si>
  <si>
    <t>283,14</t>
  </si>
  <si>
    <t>STELLA AER RAJA AMPAT L. 350+50ML </t>
  </si>
  <si>
    <t>279,44</t>
  </si>
  <si>
    <t>HIT AER JAPANESE SAKURA 600+50ML EXTRA</t>
  </si>
  <si>
    <t>727,25</t>
  </si>
  <si>
    <t>1.963.427,96</t>
  </si>
  <si>
    <t>21,99</t>
  </si>
  <si>
    <t>2,32</t>
  </si>
  <si>
    <t>68,55</t>
  </si>
  <si>
    <t>7.640.295,06</t>
  </si>
  <si>
    <t>HIT MAT GK DEVICE WITH CABLE 6S NF</t>
  </si>
  <si>
    <t>851,53</t>
  </si>
  <si>
    <t>STELLA MTC REF W.VERBENA 160+65ML RJV</t>
  </si>
  <si>
    <t>166,60</t>
  </si>
  <si>
    <t>7.239.952,80</t>
  </si>
  <si>
    <t>2.201.600,88</t>
  </si>
  <si>
    <t>9.800.156,84</t>
  </si>
  <si>
    <t>STELLA AIO J.ORANGE 42+10GR(3+1) MTP RJV</t>
  </si>
  <si>
    <t>2.137,22</t>
  </si>
  <si>
    <t>856.979,24</t>
  </si>
  <si>
    <t>1.740.508,75</t>
  </si>
  <si>
    <t>PT. BINTANG SINAR JAYA</t>
  </si>
  <si>
    <t>KLINPAK Alum Foil Refil Jumbo</t>
  </si>
  <si>
    <t>CON.REBATE|PT. BINTANG SINAR JAYA BATULI</t>
  </si>
  <si>
    <t>CON.REBATE|PT. BINTANG SINAR JAYA KOTABA</t>
  </si>
  <si>
    <t>Insentif Sales Des25|PT. BINTANG SINAR J</t>
  </si>
  <si>
    <t>3.479.207,18</t>
  </si>
  <si>
    <t>13.686,70</t>
  </si>
  <si>
    <t>2.092.157,00</t>
  </si>
  <si>
    <t>STELLA AER APPLE 350+50ML RJV</t>
  </si>
  <si>
    <t>1.496.860,49</t>
  </si>
  <si>
    <t>STELLA MTC REF J.SAKURA 160+65ML MTP RJV</t>
  </si>
  <si>
    <t>1.792.048,24</t>
  </si>
  <si>
    <t>19.999,98</t>
  </si>
  <si>
    <t>2.791.384,58</t>
  </si>
  <si>
    <t>HIT AER ORANGE 600+50ML EXTRA</t>
  </si>
  <si>
    <t>6.406,39</t>
  </si>
  <si>
    <t>4.263,07</t>
  </si>
  <si>
    <t>KLINPAK Aluminium Foil Jumbo</t>
  </si>
  <si>
    <t>2.513.989,47</t>
  </si>
  <si>
    <t>ZIRD10</t>
  </si>
  <si>
    <t>ZI24</t>
  </si>
  <si>
    <t>CV.MAJU MAKMUR</t>
  </si>
  <si>
    <t>30 DAYS FROM INVOICE DATE</t>
  </si>
  <si>
    <t>Insentif Sales Des25|CV.MAJU MAKMUR - JA</t>
  </si>
  <si>
    <t>Block Shelving |CV.MAJU MAKMUR JAYAPURA|</t>
  </si>
  <si>
    <t>GONDOLA|CV.MAJU MAKMUR JAYAPURA|10.00*</t>
  </si>
  <si>
    <t>CON.REBATE|CV.MAJU MAKMUR JAYAPURA|15.00</t>
  </si>
  <si>
    <t>LISTING|CV.MAJU MAKMUR - JAYAPURA|2.00*</t>
  </si>
  <si>
    <t>RAFAKSI|CV MAJU MAKMUR JAYAPURA|0.00*</t>
  </si>
  <si>
    <t>Klinpak K Sampah Extra Besar 100x120</t>
  </si>
  <si>
    <t>Insentif Sales Jan26|CV.MAJU MAKMUR - JA</t>
  </si>
  <si>
    <t>3.522.072,48</t>
  </si>
  <si>
    <t>3.556.253,95</t>
  </si>
  <si>
    <t>61.480,75</t>
  </si>
  <si>
    <t>443.393,81</t>
  </si>
  <si>
    <t>3.114.460,49</t>
  </si>
  <si>
    <t>3.877.081,52</t>
  </si>
  <si>
    <t>MITU BABY WIPES F&amp;C PINK 25S SINGLE</t>
  </si>
  <si>
    <t>3.414.692,50</t>
  </si>
  <si>
    <t>470.848,19</t>
  </si>
  <si>
    <t>2.739,21</t>
  </si>
  <si>
    <t>3.046.773,60</t>
  </si>
  <si>
    <t>NYU CREME HAIR COLOR MP-N BLACK 2X30+30M</t>
  </si>
  <si>
    <t>3.068.949,53</t>
  </si>
  <si>
    <t>3.061.922,97</t>
  </si>
  <si>
    <t>3.213.881,31</t>
  </si>
  <si>
    <t>HIT AER ORANGE 180+30ML EXTRA</t>
  </si>
  <si>
    <t>3.424.800,11</t>
  </si>
  <si>
    <t>93.635,94</t>
  </si>
  <si>
    <t>Klinpak K Sampah Besar 80x100</t>
  </si>
  <si>
    <t>3.909.369,91</t>
  </si>
  <si>
    <t>STELLA AER JAPANESE SAKURA 175+25ML RJV</t>
  </si>
  <si>
    <t>ZIRD01</t>
  </si>
  <si>
    <t>ZI01</t>
  </si>
  <si>
    <t>CV. DESTIN</t>
  </si>
  <si>
    <t>STELLA AER J. SAKURA 350+50ML RJV</t>
  </si>
  <si>
    <t>CON.REBATE|CARITAS MARKET|15.00*</t>
  </si>
  <si>
    <t>INC DES25|DESTIN|15</t>
  </si>
  <si>
    <t>CON.REBATE|CITIMART|15.00*</t>
  </si>
  <si>
    <t>CON.REBATE|NUR MART|15.00*</t>
  </si>
  <si>
    <t>CON.REBATE|CV. YUKI EMPAT BERSATU|15.00*</t>
  </si>
  <si>
    <t>CON.REBATE|UD. Mega|15.00*</t>
  </si>
  <si>
    <t>CON.REBATE|UD. SUKRI|15.00*</t>
  </si>
  <si>
    <t>MD17</t>
  </si>
  <si>
    <t>5.330.318,08</t>
  </si>
  <si>
    <t>1.812.702,51</t>
  </si>
  <si>
    <t>2.530.769,46</t>
  </si>
  <si>
    <t>ZI25</t>
  </si>
  <si>
    <t>KARTIKA PUTRA MANDIRI</t>
  </si>
  <si>
    <t>CD04</t>
  </si>
  <si>
    <t>CON.REBATE|AMAR|15.00*</t>
  </si>
  <si>
    <t>Insentif Sales Jan26|PT. KARTIKA PUTRA M</t>
  </si>
  <si>
    <t>CON.REBATE|ANUGRAH JAYA|15.00*</t>
  </si>
  <si>
    <t>CON.REBATE|FADILA|15.00*</t>
  </si>
  <si>
    <t>CON.REBATE|CV HARMONI INDAH SENTOSA|15.0</t>
  </si>
  <si>
    <t>CON.REBATE|HUSNA|15.00*</t>
  </si>
  <si>
    <t>CON.REBATE|BERKAT|15.00*</t>
  </si>
  <si>
    <t>CON.REBATE|ANUGRAH INDAH|15.00*</t>
  </si>
  <si>
    <t>CON.REBATE|miracle|15.00*</t>
  </si>
  <si>
    <t>CON.REBATE|VR BABY SHOP|15.00*</t>
  </si>
  <si>
    <t>CON.REBATE|CITRA MANDIRI|15.00*</t>
  </si>
  <si>
    <t>CON.REBATE|GANESHA|15.00*</t>
  </si>
  <si>
    <t>CON.REBATE|mei|15.00*</t>
  </si>
  <si>
    <t>CON.REBATE|MUTIARA CITRA PESONA|15.00*</t>
  </si>
  <si>
    <t>CON.REBATE|TOKO SUSU NIRMALA|15.00*</t>
  </si>
  <si>
    <t>CON.REBATE|CV BASHINTA|15.00*</t>
  </si>
  <si>
    <t>CON.REBATE|harmoni stationery|15.00*</t>
  </si>
  <si>
    <t>CON.REBATE|SINAR KASIH|15.00*</t>
  </si>
  <si>
    <t>CON.REBATE|DELL MART|15.00*</t>
  </si>
  <si>
    <t>CON.REBATE|ARIANTO/RISKY MART|15.00*</t>
  </si>
  <si>
    <t>CON.REBATE|SAFIRA MART|15.00*</t>
  </si>
  <si>
    <t>CON.REBATE|ceng ceng|15.00*</t>
  </si>
  <si>
    <t>CON.REBATE|AS UD|15.00*</t>
  </si>
  <si>
    <t>CON.REBATE|Citra Mulia|15.00*</t>
  </si>
  <si>
    <t>CON.REBATE|SYAFAAT|15.00*</t>
  </si>
  <si>
    <t>CON.REBATE|IRMA/BUANA BERKAH|15.00*</t>
  </si>
  <si>
    <t>CON.REBATE|HADRA|15.00*</t>
  </si>
  <si>
    <t>CON.REBATE|ABANG|15.00*</t>
  </si>
  <si>
    <t>CON.REBATE|selex|15.00*</t>
  </si>
  <si>
    <t>Gaji Sales Jan26|PT KARTIKA PUTRA MANDIR</t>
  </si>
  <si>
    <t>MITU BABY POWDER F&amp;C FLORAL 50GR+50%</t>
  </si>
  <si>
    <t>CON.REBATE|PANDAWA|15.00*</t>
  </si>
  <si>
    <t>CON.REBATE|az zahra|15.00*</t>
  </si>
  <si>
    <t>CON.REBATE|nidhel jaya|15.00*</t>
  </si>
  <si>
    <t>CON.REBATE|AKBAR|15.00*</t>
  </si>
  <si>
    <t>CON.REBATE|BUANA SAWITO|15.00*</t>
  </si>
  <si>
    <t>CON.REBATE|Beauty Box|15.00*</t>
  </si>
  <si>
    <t>LISTING|SEVEN MART|2.00*</t>
  </si>
  <si>
    <t>LISTING|AMAR|2.00*</t>
  </si>
  <si>
    <t>3.336.926,93</t>
  </si>
  <si>
    <t>3.123.813,53</t>
  </si>
  <si>
    <t>3.539.055,14</t>
  </si>
  <si>
    <t>2.785.747,73</t>
  </si>
  <si>
    <t>3.307.820,47</t>
  </si>
  <si>
    <t>HIT GOODKNIGHT LV REF FRESH MTP</t>
  </si>
  <si>
    <t>3.143.364,22</t>
  </si>
  <si>
    <t>KLINPAK Cling Wrap</t>
  </si>
  <si>
    <t>MD16</t>
  </si>
  <si>
    <t>2.222.531,24</t>
  </si>
  <si>
    <t>4.180.651,16</t>
  </si>
  <si>
    <t>4.256.838,77</t>
  </si>
  <si>
    <t>4.235.065,10</t>
  </si>
  <si>
    <t>3.749.809,50</t>
  </si>
  <si>
    <t>3.644.040,98</t>
  </si>
  <si>
    <t>3.484.660,32</t>
  </si>
  <si>
    <t>3.654.591,22</t>
  </si>
  <si>
    <t>1.305,39</t>
  </si>
  <si>
    <t>ZI03</t>
  </si>
  <si>
    <t>CV.BINTANG UTAMA TEMBILAHAN</t>
  </si>
  <si>
    <t>RAFAKSI|CV.BINTANG UTAMA|0.00*</t>
  </si>
  <si>
    <t>CON.REBATE|CV.MEKAR ABADI SWALAYAN|15.00</t>
  </si>
  <si>
    <t>CON.REBATE|GERY SWALAYAN|15.00*</t>
  </si>
  <si>
    <t>CON.REBATE|CV.TESCO JAYA MAKMUR|15.00*</t>
  </si>
  <si>
    <t>759,21</t>
  </si>
  <si>
    <t>2.436.107,66</t>
  </si>
  <si>
    <t>1.833.884,88</t>
  </si>
  <si>
    <t>1.151,38</t>
  </si>
  <si>
    <t>HIT AER PINK BLOSSOM 600+50ML EXTRA</t>
  </si>
  <si>
    <t>1.509.126,54</t>
  </si>
  <si>
    <t>PT. USAHA JAYA INDAH</t>
  </si>
  <si>
    <t>Celebration Jul25|PT.USAHA JAYA INDAH -</t>
  </si>
  <si>
    <t>CON.REBATE|PT.USAHA JAYA INDAH BANJARBAR</t>
  </si>
  <si>
    <t>Insentif Sales Des25|PT.USAHA JAYA INDAH</t>
  </si>
  <si>
    <t>354.688,22</t>
  </si>
  <si>
    <t>STELLA MTC REF LAVENDER 160+65ML MTP RJV</t>
  </si>
  <si>
    <t>3.339.145,58</t>
  </si>
  <si>
    <t>4.562,23</t>
  </si>
  <si>
    <t>3.055.902,34</t>
  </si>
  <si>
    <t>Stella Mini Mtc Ref Caffe Latte 40 ml</t>
  </si>
  <si>
    <t>2.814.336,15</t>
  </si>
  <si>
    <t>45.622,33</t>
  </si>
  <si>
    <t>4.998.007,02</t>
  </si>
  <si>
    <t>LEM TIKUS TRAP CAP GAJAH</t>
  </si>
  <si>
    <t>15.795,39</t>
  </si>
  <si>
    <t>728.778,31</t>
  </si>
  <si>
    <t>AGUS SETIAWAN</t>
  </si>
  <si>
    <t>UD. MODERN ABADI</t>
  </si>
  <si>
    <t>CON.REBATE|Rita Wonosobo|15.00*</t>
  </si>
  <si>
    <t>GONDOLA|CV PUTRA DJAYA IMANUEL|2.00*</t>
  </si>
  <si>
    <t>Inc.CelebOkt25|UD MODERN ABADI|15.00</t>
  </si>
  <si>
    <t>Inc.CelebNov25|UD MODERN ABADI|15.00</t>
  </si>
  <si>
    <t>Inc.CelebDes25|UD MODERN ABADI|15.00</t>
  </si>
  <si>
    <t>5.150.307,57</t>
  </si>
  <si>
    <t>STELLA AIO LAVENDER 42+10GR(3+1) MTP RJV</t>
  </si>
  <si>
    <t>1.375.184,51</t>
  </si>
  <si>
    <t>39.488,47</t>
  </si>
  <si>
    <t>4.831.009,93</t>
  </si>
  <si>
    <t>STELLA AER CAFFE LATTE 350+50ML RJV</t>
  </si>
  <si>
    <t>19.219,16</t>
  </si>
  <si>
    <t>4.849.275,04</t>
  </si>
  <si>
    <t>10.198,19</t>
  </si>
  <si>
    <t>4.783.752,37</t>
  </si>
  <si>
    <t>ZIRD09</t>
  </si>
  <si>
    <t>ZI22</t>
  </si>
  <si>
    <t>BANLY THEO</t>
  </si>
  <si>
    <t>TOKO JAYA PERKASA</t>
  </si>
  <si>
    <t>LISTING|BERKAT RESTU BUNDA|2.00*</t>
  </si>
  <si>
    <t>1.271.789,47</t>
  </si>
  <si>
    <t>HIT AER LAVENDER BREZEE 600+50ML EXTRA</t>
  </si>
  <si>
    <t>2.135.231,06</t>
  </si>
  <si>
    <t>2.980.064,45</t>
  </si>
  <si>
    <t>STELLA MTC SET + MTC SET RAL RJV EXTRA</t>
  </si>
  <si>
    <t>2.214.168,59</t>
  </si>
  <si>
    <t>HIT MAT GK DEVICE NO CHORD 6S</t>
  </si>
  <si>
    <t>1.998.848,20</t>
  </si>
  <si>
    <t>31.590,78</t>
  </si>
  <si>
    <t>PT. BUDIMAS MAKMUR MULIA</t>
  </si>
  <si>
    <t>LISTING|RELASI JAYA|2.00*</t>
  </si>
  <si>
    <t>LISTING|LUWES GEMOLONG|2.00*</t>
  </si>
  <si>
    <t>Block Shelving |MITRA SUKOHARJO|10.00*</t>
  </si>
  <si>
    <t>GONDOLA|BARU WONOGIRI|10.00*</t>
  </si>
  <si>
    <t>Block Shelving |MITRA KARANGANYAR|10.00*</t>
  </si>
  <si>
    <t>GONDOLA|MITRA KARTASURA|10.00*</t>
  </si>
  <si>
    <t>RAFAKSI|SAMI LUWES|0.00*</t>
  </si>
  <si>
    <t>GONDOLA|SAMI LARIS|10.00*</t>
  </si>
  <si>
    <t>Block Shelving |LARIS KLATEN|10.00*</t>
  </si>
  <si>
    <t>LISTING|MITRA SUKOHARJO|2.00*</t>
  </si>
  <si>
    <t>LISTING|SFA KARANGANYAR|2.00*</t>
  </si>
  <si>
    <t>Block Shelving |SAMI LARIS|10.00*</t>
  </si>
  <si>
    <t>LISTING|MITRA KLATEN|2.00*</t>
  </si>
  <si>
    <t>LISTING|SAMI LARIS|2.00*</t>
  </si>
  <si>
    <t>LISTING|LUWES WINONG|2.00*</t>
  </si>
  <si>
    <t>LISTING|MITRA BOYOLALI|2.00*</t>
  </si>
  <si>
    <t>LISTING|MITRA TRIYAGAN|2.00*</t>
  </si>
  <si>
    <t>LISTING|MITRA BEJEN|2.00*</t>
  </si>
  <si>
    <t>LISTING|MITRA KARANGANYAR|2.00*</t>
  </si>
  <si>
    <t>LISTING|MITRA SRAGEN|2.00*</t>
  </si>
  <si>
    <t>LISTING|MITRA KARTASURA|2.00*</t>
  </si>
  <si>
    <t>GajiDes25|PT.BUDIMAS MAKMUR MULIA|0.00</t>
  </si>
  <si>
    <t>RAFAKSI|PT BUDIMAS MAKMUR MULIA|0.00*</t>
  </si>
  <si>
    <t>CON.REBATE|LUWES BOYOLALI|15.00*</t>
  </si>
  <si>
    <t>CON.REBATE|MITRA SRAGEN|15.00*</t>
  </si>
  <si>
    <t>CON.REBATE|MITRA KARTASURA|15.00*</t>
  </si>
  <si>
    <t>CON.REBATE|MITRA BEJEN|15.00*</t>
  </si>
  <si>
    <t>LISTING|LUWES LOJIWETAN|2.00*</t>
  </si>
  <si>
    <t>LISTING|LARIS KLATEN|2.00*</t>
  </si>
  <si>
    <t>LISTING|LUWES WONOGIRI|2.00*</t>
  </si>
  <si>
    <t>LISTING|LUWES CEPER|2.00*</t>
  </si>
  <si>
    <t>LISTING|LUWES MOJOSONGO|2.00*</t>
  </si>
  <si>
    <t>LISTING|LUWES GADING|2.00*</t>
  </si>
  <si>
    <t>LISTING|LUWES NUSUKAN|2.00*</t>
  </si>
  <si>
    <t>LISTING|LUWES KESTALAN|2.00*</t>
  </si>
  <si>
    <t>LISTING|LUWES GENTAN|2.00*</t>
  </si>
  <si>
    <t>LISTING|LUWES KARTASURA|2.00*</t>
  </si>
  <si>
    <t>LISTING|LUWES DELANGGU|2.00*</t>
  </si>
  <si>
    <t>GONDOLA|TOKO PGS MEKAR ISTIQOMAH|2.00*</t>
  </si>
  <si>
    <t>GONDOLA|MITRA SRAGEN|10.00*</t>
  </si>
  <si>
    <t>Block Shelving |LUWES PALUR|10.00*</t>
  </si>
  <si>
    <t>Block Shelving |LUWES CEPER|10.00*</t>
  </si>
  <si>
    <t>GONDOLA|LUWES CEPER|10.00*</t>
  </si>
  <si>
    <t>Block Shelving |LUWES WONOGIRI|10.00*</t>
  </si>
  <si>
    <t>GONDOLA|LUWES WONOGIRI|10.00*</t>
  </si>
  <si>
    <t>Block Shelving |LUWES GENTAN|10.00*</t>
  </si>
  <si>
    <t>Block Shelving |LUWES KARTASURA|10.00*</t>
  </si>
  <si>
    <t>Block Shelving |LUWES DELANGGU|10.00*</t>
  </si>
  <si>
    <t>Block Shelving |LUWES GADING|10.00*</t>
  </si>
  <si>
    <t>Block Shelving |LUWES KESTALAN|10.00*</t>
  </si>
  <si>
    <t>GONDOLA|LUWES PALUR|10.00*</t>
  </si>
  <si>
    <t>GONDOLA|LUWES GENTAN|10.00*</t>
  </si>
  <si>
    <t>GONDOLA|LUWES KARTASURA|10.00*</t>
  </si>
  <si>
    <t>GONDOLA|LUWES NUSUKAN|10.00*</t>
  </si>
  <si>
    <t>GONDOLA|LUWES GADING|10.00*</t>
  </si>
  <si>
    <t>GONDOLA|LUWES KESTALAN|10.00*</t>
  </si>
  <si>
    <t>GONDOLA|LUWES DELANGGU|10.00*</t>
  </si>
  <si>
    <t>LISTING|BARU WONOGIRI|2.00*</t>
  </si>
  <si>
    <t>FIX REBATE|PT.BUDIMAS MAKMUR MULIA SOLO|</t>
  </si>
  <si>
    <t>B2B|PT.BUDIMAS MAKMUR MULIA SOLO|2.00*</t>
  </si>
  <si>
    <t>CON.REBATE|BARU WONOGIRI|15.00*</t>
  </si>
  <si>
    <t>CON.REBATE|ASIA BARU|15.00*</t>
  </si>
  <si>
    <t>CON.REBATE|KN JAYA|15.00*</t>
  </si>
  <si>
    <t>CON.REBATE|KN JAYA SIMO|15.00*</t>
  </si>
  <si>
    <t>CON.REBATE|ADIMAS WEDI|15.00*</t>
  </si>
  <si>
    <t>CON.REBATE|AYU CAWAS|15.00*</t>
  </si>
  <si>
    <t>CON.REBATE|ANDIKA PUTRA EROMOKO|15.00*</t>
  </si>
  <si>
    <t>CON.REBATE|PALAPA|15.00*</t>
  </si>
  <si>
    <t>770,11-</t>
  </si>
  <si>
    <t>CON.REBATE|DEWI TOSERBA|15.00*</t>
  </si>
  <si>
    <t>HIT AER ORANGE 400+40ML EXTRA</t>
  </si>
  <si>
    <t>Tagihan ats kelebihan claim discount on</t>
  </si>
  <si>
    <t>60 DAYS FROM INVOICE DATE</t>
  </si>
  <si>
    <t>343.361,74</t>
  </si>
  <si>
    <t>2.354.323,45</t>
  </si>
  <si>
    <t>8.690,50</t>
  </si>
  <si>
    <t>HIT MAT GK REFILL 60S (48+12S) CLASSIC</t>
  </si>
  <si>
    <t>4.543.341,73</t>
  </si>
  <si>
    <t>STELLA AER LEMON 350+50ML RJV</t>
  </si>
  <si>
    <t>44.479,21</t>
  </si>
  <si>
    <t>2.754.254,66</t>
  </si>
  <si>
    <t>14.411,00</t>
  </si>
  <si>
    <t>4.433.996,37</t>
  </si>
  <si>
    <t>3.108.902,90</t>
  </si>
  <si>
    <t>3.975.166,32</t>
  </si>
  <si>
    <t>3.008.484,64</t>
  </si>
  <si>
    <t>NYU CREME NATURAL BROWN 20GR (PI)</t>
  </si>
  <si>
    <t>3.522.102,64</t>
  </si>
  <si>
    <t>3.651.950,99</t>
  </si>
  <si>
    <t>3.670.620,02</t>
  </si>
  <si>
    <t>2.654.435,88</t>
  </si>
  <si>
    <t>2.695.636,40</t>
  </si>
  <si>
    <t>HIT MAT GK REFILL 60S (48+12S) GREEN TEA</t>
  </si>
  <si>
    <t>3.928.359,84</t>
  </si>
  <si>
    <t>Netoff CN &amp; Inv Pay 150925 241025 Lbih byr 250226</t>
  </si>
  <si>
    <t>BR</t>
  </si>
  <si>
    <t>Pay 100326 IDR 185.108.225 potDO 79172562</t>
  </si>
  <si>
    <t>ZIRD04</t>
  </si>
  <si>
    <t>ZI11</t>
  </si>
  <si>
    <t>LIEM LIAN FOENG. NY. JD.</t>
  </si>
  <si>
    <t>UD. KAPAS MODERN</t>
  </si>
  <si>
    <t>CON.REBATE|PAMELLA 9|15.00*</t>
  </si>
  <si>
    <t>1.332.214,35</t>
  </si>
  <si>
    <t>1.497.783,62</t>
  </si>
  <si>
    <t>NYU HENNA SHAMPOO HC BURGUNDY-5MIN</t>
  </si>
  <si>
    <t>643.678,99</t>
  </si>
  <si>
    <t>306,72</t>
  </si>
  <si>
    <t>1.749.424,26</t>
  </si>
  <si>
    <t>ZIRD05</t>
  </si>
  <si>
    <t>ZI13</t>
  </si>
  <si>
    <t>CV. TERLAKSANA SUKSES MANDIRI</t>
  </si>
  <si>
    <t>STELLA MTC REF S.LAVENDER 225ML RJV</t>
  </si>
  <si>
    <t>STELLA MTC REF W.FLOWER 225ML+TTKAN RJV</t>
  </si>
  <si>
    <t>CON.REBATE|CV. TERLAKSANA SUKSES MANDIRI</t>
  </si>
  <si>
    <t>LISTING|CV. TERLAKSANA SUKSES MANDIRI MA</t>
  </si>
  <si>
    <t>STELLA AIO JEJU ORANGE 42+10GR RJV</t>
  </si>
  <si>
    <t>HIT MAT GK REFILL 4S GREEN TEA NF</t>
  </si>
  <si>
    <t>GONDOLA|CV. TERLAKSANA SUKSES MANDIRI JA</t>
  </si>
  <si>
    <t>GONDOLA|CV. TERLAKSANA SUKSES MANDIRI MA</t>
  </si>
  <si>
    <t>GajiJan26|CV. TERLAKSANA SUKSES MANDIRI|</t>
  </si>
  <si>
    <t>GajiFeb26|CV. TERLAKSANA SUKSES MANDIRI|</t>
  </si>
  <si>
    <t>POLYTEX SS REG 12,5G PAPAN12S NS</t>
  </si>
  <si>
    <t>STELLA All in One BOUGENVILLE 42+13gr</t>
  </si>
  <si>
    <t>6.370.065,29</t>
  </si>
  <si>
    <t>2.222.947,49</t>
  </si>
  <si>
    <t>POLYTEX SPON SERBAGUNA ND</t>
  </si>
  <si>
    <t>2.090.822,42</t>
  </si>
  <si>
    <t>3.277.762,96</t>
  </si>
  <si>
    <t>Stella Mini Matic Set C. Latte</t>
  </si>
  <si>
    <t>11.119,80</t>
  </si>
  <si>
    <t>1.448.416,67</t>
  </si>
  <si>
    <t>HIT AER ORANGE 750ML</t>
  </si>
  <si>
    <t>1.528.849,09</t>
  </si>
  <si>
    <t>2.610.062,92</t>
  </si>
  <si>
    <t>HIT AER LILY BLOSSOM 400+40ML EXTRA</t>
  </si>
  <si>
    <t>4.810.377,81</t>
  </si>
  <si>
    <t>2.229.143,76</t>
  </si>
  <si>
    <t>7.980,90</t>
  </si>
  <si>
    <t>616.976,54</t>
  </si>
  <si>
    <t>6.046,31</t>
  </si>
  <si>
    <t>8.250,55</t>
  </si>
  <si>
    <t>2.900,03</t>
  </si>
  <si>
    <t>5.617,16</t>
  </si>
  <si>
    <t>HIT AEROSOL PINK BLOSSOM 150+25ML EXTRA</t>
  </si>
  <si>
    <t>367.897,33</t>
  </si>
  <si>
    <t>3.092.447,26</t>
  </si>
  <si>
    <t>1.002.820,31</t>
  </si>
  <si>
    <t>STELLA FUN N FRESH HAPPY DAY MTP 1+1</t>
  </si>
  <si>
    <t>1.819.054,66</t>
  </si>
  <si>
    <t>4.708.773,91</t>
  </si>
  <si>
    <t>1.467.156,04</t>
  </si>
  <si>
    <t>1.085.647,00</t>
  </si>
  <si>
    <t>CV. RAHMAT SEJATI</t>
  </si>
  <si>
    <t>STELLA DF CAR+INDOOR ORANGE MTP RJV REG</t>
  </si>
  <si>
    <t>STELLA AER RAJA AMPAT L. 175+25ML </t>
  </si>
  <si>
    <t>STELLA FUN &amp; FRESH HAPPY DAY</t>
  </si>
  <si>
    <t>PT. HOKKIAN ANUGERAH KARISMA AGUNG</t>
  </si>
  <si>
    <t>CON.REBATE|H.Husni|15.00*</t>
  </si>
  <si>
    <t>Celebration Des25|PT.HOKKIAN ANUGERAH KA</t>
  </si>
  <si>
    <t>GONDOLA|Lisa Kosmetik|2.00*</t>
  </si>
  <si>
    <t>GONDOLA|Syafa Kosmetik|2.00*</t>
  </si>
  <si>
    <t>GONDOLA|Normina Kosmetik|2.00*</t>
  </si>
  <si>
    <t>GONDOLA|Aqila Kosmetik|2.00*</t>
  </si>
  <si>
    <t>Celebration Nov25|PT.HOKKIAN ANUGERAH KA</t>
  </si>
  <si>
    <t>1.723.371,33</t>
  </si>
  <si>
    <t>2.591.824,61</t>
  </si>
  <si>
    <t>3.130.152,07</t>
  </si>
  <si>
    <t>28.388,14</t>
  </si>
  <si>
    <t>2.356.067,77</t>
  </si>
  <si>
    <t>2.315.472,72</t>
  </si>
  <si>
    <t>2.295.869,97</t>
  </si>
  <si>
    <t>3.816.294,15</t>
  </si>
  <si>
    <t>2.035,56</t>
  </si>
  <si>
    <t>STELLA MTC REF LAVENDER 160+65ML RJV</t>
  </si>
  <si>
    <t>CV. SINAR MENTARI SUKSES - BLITAR</t>
  </si>
  <si>
    <t>GajiJan26|CV. SINAR MENTARI SUKSES|0.00</t>
  </si>
  <si>
    <t>THRMaret26|CV. SINAR MENTARI SUKSES|0.00</t>
  </si>
  <si>
    <t>Block Shelving |CV. SINAR MENTARI SUKSES</t>
  </si>
  <si>
    <t>GajiMaret26|CV. SINAR MENTARI SUKSES|0.0</t>
  </si>
  <si>
    <t>9,65</t>
  </si>
  <si>
    <t>MD05</t>
  </si>
  <si>
    <t>2.876.002,19</t>
  </si>
  <si>
    <t>9.873,58</t>
  </si>
  <si>
    <t>CV. MODERN CAHAYA ABADI</t>
  </si>
  <si>
    <t>GajiRDEJan26|NEW MODERN|2.00</t>
  </si>
  <si>
    <t>CV. MODERN CAHAYA ABADI - PACITAN</t>
  </si>
  <si>
    <t>GajiRDEJan26|CV. MODERN CAHAYA ABADI|2.0</t>
  </si>
  <si>
    <t>CON.REBATE|NEW MODERN NEW_MADIUN|15.00*</t>
  </si>
  <si>
    <t>LISTING|CV TIARA|2.00*</t>
  </si>
  <si>
    <t>LISTING|ENGGAL 2|2.00*</t>
  </si>
  <si>
    <t>LISTING|NEW MODERN NEW_MADIUN|2.00*</t>
  </si>
  <si>
    <t>Block Shelving |NEW MODERN NEW_MADIUN|2.</t>
  </si>
  <si>
    <t>GONDOLA|NEW MODERN NEW_MADIUN|2.00*</t>
  </si>
  <si>
    <t>Inc.Salesman|NEW MODERN|15.00</t>
  </si>
  <si>
    <t>Inc.OMJan26|NEW MODERN|15.00</t>
  </si>
  <si>
    <t>RAFAKSI|CV MODERN CAHAYA ABADI|0.00*</t>
  </si>
  <si>
    <t>LISTING|SURYA MLARAK|2.00</t>
  </si>
  <si>
    <t>RDEFEb26|NEW MODERN|2.00</t>
  </si>
  <si>
    <t>RDEFeb26|NEW MODERN MADIUN|2.00</t>
  </si>
  <si>
    <t>STELLA AER APPLE 350+50ML MTP RJV</t>
  </si>
  <si>
    <t>HIT AER FRESH CITRUS 600+50ML EXTRA</t>
  </si>
  <si>
    <t>2.979.460,73</t>
  </si>
  <si>
    <t>STELLA MTC REF G.FANTASY 160+65ML RJV</t>
  </si>
  <si>
    <t>8.581,81</t>
  </si>
  <si>
    <t>2.405.908,21</t>
  </si>
  <si>
    <t>3.094.396,68</t>
  </si>
  <si>
    <t>127.216,66</t>
  </si>
  <si>
    <t>4.078.797,65</t>
  </si>
  <si>
    <t>4.255.023,11</t>
  </si>
  <si>
    <t>1.305.272,48</t>
  </si>
  <si>
    <t>STELLA POCKET BATHROOM PURPLE RJV</t>
  </si>
  <si>
    <t>3.848.111,47</t>
  </si>
  <si>
    <t>3.978.972,68</t>
  </si>
  <si>
    <t>92,61</t>
  </si>
  <si>
    <t>4.120.918,29</t>
  </si>
  <si>
    <t>MITU BABY WIPES F&amp;C BLUE 40S BOGOF+20S</t>
  </si>
  <si>
    <t>262,28</t>
  </si>
  <si>
    <t>2.402.613,34</t>
  </si>
  <si>
    <t>PT. TERUS JAYA ABADI</t>
  </si>
  <si>
    <t>STELLA MTC REF C.LATTE 2X225ML MTP RJV</t>
  </si>
  <si>
    <t>CV. SEMARANG INDAH</t>
  </si>
  <si>
    <t>Insentif Sales Jan26|CV.SEMARANG INDAH -</t>
  </si>
  <si>
    <t>RAFAKSI|CV.SEMARANG INDAH MERAUKE|0.00*</t>
  </si>
  <si>
    <t>CON.REBATE|CV.SEMARANG INDAH MERAUKE|0.0</t>
  </si>
  <si>
    <t>Block Shelving |CV.SEMARANG INDAH MERAUK</t>
  </si>
  <si>
    <t>3.588.005,63</t>
  </si>
  <si>
    <t>18.917,15</t>
  </si>
  <si>
    <t>4.420.650,99</t>
  </si>
  <si>
    <t>474.623,86</t>
  </si>
  <si>
    <t>3.896.933,09</t>
  </si>
  <si>
    <t>108.563,33</t>
  </si>
  <si>
    <t>3.757.841,89</t>
  </si>
  <si>
    <t>STELLA MTC REF R.KENANGA 160+65ML RJV</t>
  </si>
  <si>
    <t>14.220,38</t>
  </si>
  <si>
    <t>3.004.861,51</t>
  </si>
  <si>
    <t>SUSEMI SABUT STAINLESS HGR NS</t>
  </si>
  <si>
    <t>1.196,39</t>
  </si>
  <si>
    <t>CV. MITRA PERKASA UTAMA</t>
  </si>
  <si>
    <t>Block Shelving |UNTUNG LANCAR|10.00*</t>
  </si>
  <si>
    <t>RAFAKSI|CV MITRA PERKASA UTAMA|0.00*</t>
  </si>
  <si>
    <t>3.672.928,33</t>
  </si>
  <si>
    <t>Netoff CN &amp; Inv 9910655 JTO 28 Apr 2026</t>
  </si>
  <si>
    <t>CV. BERKAT KENARI</t>
  </si>
  <si>
    <t>GONDOLA|PT. BINTANG RAYA SWASTIKA UTAMA|</t>
  </si>
  <si>
    <t>PROCLIN PENGHILANG NODA 400ML+50ML</t>
  </si>
  <si>
    <t>CON.REBATE|PT. BINTANG RAYA SWASTIKA UTA</t>
  </si>
  <si>
    <t>CON.REBATE|MEGA SOEN UTAMA|15.00*</t>
  </si>
  <si>
    <t>CON.REBATE|CV. BERKAT KENARI SAMPIT|15.0</t>
  </si>
  <si>
    <t>Insentif Sales Jan26|CV. BERKAT KENARI|1</t>
  </si>
  <si>
    <t>RAFAKSI|CV. BERKAT KENARI|0.00*</t>
  </si>
  <si>
    <t>LISTING|MEGA SOEN UTAMA|2.00*</t>
  </si>
  <si>
    <t>2.891.385,12</t>
  </si>
  <si>
    <t>3.725.487,32</t>
  </si>
  <si>
    <t>2.394.117,00</t>
  </si>
  <si>
    <t>STELLA MTC REF G.FANTASY 160+65ML MTPRJV</t>
  </si>
  <si>
    <t>Smartpayer 25 Maret 2026</t>
  </si>
  <si>
    <t>CV. SUKSES MAKMUR ABADI</t>
  </si>
  <si>
    <t>Insentif OM Q4|CV. SUKSES MAKMUR ABADI|1</t>
  </si>
  <si>
    <t>Insentif Sales Agst25|CV. SUKSES MAKMUR</t>
  </si>
  <si>
    <t>Insentif Sales Sept25|CV. SUKSES MAKMUR</t>
  </si>
  <si>
    <t>Insentif OM Q1|	CV. SUKSES MAKMUR ABADI|</t>
  </si>
  <si>
    <t>GONDOLA|TOTAL MART|2.00*</t>
  </si>
  <si>
    <t>HIT AEROSOL LILY BLOSSOM 180+30ML EXTRA</t>
  </si>
  <si>
    <t>MD08</t>
  </si>
  <si>
    <t>POLYTEX Sabut Nilon</t>
  </si>
  <si>
    <t>HIT MAT GREEN TEA 4S HGR</t>
  </si>
  <si>
    <t>STELLA FRESH PROTECT FAB SPRAY CB 245ML</t>
  </si>
  <si>
    <t>POLYTEX LAP KAIN MICROFIBER</t>
  </si>
  <si>
    <t>STELLA MTC REF ORANGE 2X225ML MTP RJV</t>
  </si>
  <si>
    <t>HIT MAGIC LILYBLOSSOM 4+2S HGR 0.15FU TH</t>
  </si>
  <si>
    <t>HIT MAT GT NO DEVICE 6S</t>
  </si>
  <si>
    <t>MITU BABY WIPES F&amp;C BLUE 25S SINGLE</t>
  </si>
  <si>
    <t>POLYTEX SS EXTRA BERSIH&amp;TAHAN LAMA 20GR</t>
  </si>
  <si>
    <t>NYU CREME GOLDEN BROWN</t>
  </si>
  <si>
    <t>PROCLIN PN 400ML FREE POLYTEX EKS BERSIH</t>
  </si>
  <si>
    <t>POLYTEX MTP SS 20 GR EXTRA BERSIH ISI 3</t>
  </si>
  <si>
    <t>SUSEMI Sabut Polos (Isi 12)</t>
  </si>
  <si>
    <t>SUSEMI Sabut Stainless Hgr</t>
  </si>
  <si>
    <t>STELLA ELEC REF LAVENDER BLOOM 25ML SP</t>
  </si>
  <si>
    <t>HIT AER COTTON POWDER 600ML</t>
  </si>
  <si>
    <t>STELLA MATIC BOX SET+FREE AER. 140ML MIX</t>
  </si>
  <si>
    <t>HIT AER JAPANESE SAKURA 400+40ML EXTRA</t>
  </si>
  <si>
    <t>PROCLIN PN AKSI PUTIH POUCH 400ML</t>
  </si>
  <si>
    <t>STELLA AER R.KENANGA 350ML RJV</t>
  </si>
  <si>
    <t>HIT Pompa Plastik Baru</t>
  </si>
  <si>
    <t>POLYTEX SBT HIJAU EXTRA BERSIH&amp;THN LAMA</t>
  </si>
  <si>
    <t>POLYTEX SS EXTRA BERSIH&amp;TAHAN LAMA20GR2S</t>
  </si>
  <si>
    <t>POLYTEX MTP SPON EXTRA BERSIH ISI 5</t>
  </si>
  <si>
    <t>SUSEMI SABUT STAINLESS 40 GR</t>
  </si>
  <si>
    <t>POLYTEX STAINLESS REG 12,5G PAPAN12S ND</t>
  </si>
  <si>
    <t>MITU BABY COLOGNE F&amp;C FRESH GREEN 100ML</t>
  </si>
  <si>
    <t>STELLA AER B. JASMINE S 350ML RJV</t>
  </si>
  <si>
    <t>HIT GOODKNIGHT LV REF APPLE MTP</t>
  </si>
  <si>
    <t>HIT LIQUID LILY BLOSSOM 175ML ND</t>
  </si>
  <si>
    <t>STELLA FUN &amp; FRESH ICED SENSATION</t>
  </si>
  <si>
    <t>STELLA MTC REF APPLE 2X160 ML MTP RJV</t>
  </si>
  <si>
    <t>STELLA AER JEJU ORANGE 175ML</t>
  </si>
  <si>
    <t>Insentif Sales Nov25|CV. SUKSES MAKMUR A</t>
  </si>
  <si>
    <t>CON.REBATE|CV. SUKSES MAKMUR ABADI CV.SU</t>
  </si>
  <si>
    <t>Block Shelving |GOLDEN HILL|2.00*</t>
  </si>
  <si>
    <t>GONDOLA|GOLDEN HILL|2.00*</t>
  </si>
  <si>
    <t>GONDOLA|ALL BERKEMBANG BERSAMA|10.00*</t>
  </si>
  <si>
    <t>ZI27</t>
  </si>
  <si>
    <t>PT. MENADO PUTRA PERKASA</t>
  </si>
  <si>
    <t>RAFAKSI|CV. MENADO PUTRA PERKASA - TERNA</t>
  </si>
  <si>
    <t>CON.REBATE|PT. MENADO PUTRA PERKASA|15.0</t>
  </si>
  <si>
    <t>3.916.617,51</t>
  </si>
  <si>
    <t>4.125.769,77</t>
  </si>
  <si>
    <t>5.287.869,50</t>
  </si>
  <si>
    <t>MITU BABY WIPES GPP BLUE LILY 50'S BOGOF</t>
  </si>
  <si>
    <t>4.503,74</t>
  </si>
  <si>
    <t>5.213.073,73</t>
  </si>
  <si>
    <t>PT.PUTRA NIAGA SEJAHTERA</t>
  </si>
  <si>
    <t>Celebration Jun25|PT. PUTRA NIAGA SEJAHT</t>
  </si>
  <si>
    <t>GRAND OP|PT. PUTRA NIAGA SEJAHTERA PANGK</t>
  </si>
  <si>
    <t>CON.REBATE|PT. PUTRA NIAGA SEJAHTERA PAN</t>
  </si>
  <si>
    <t>Insentif Sales Des25|PT. PUTRA NIAGA SEJ</t>
  </si>
  <si>
    <t>3.735.684,20</t>
  </si>
  <si>
    <t>7.311,48</t>
  </si>
  <si>
    <t>735.488,38</t>
  </si>
  <si>
    <t>649.372,39</t>
  </si>
  <si>
    <t>35.606,49</t>
  </si>
  <si>
    <t>3.811.200,48</t>
  </si>
  <si>
    <t>1.326.747,72</t>
  </si>
  <si>
    <t>3.737.514,07</t>
  </si>
  <si>
    <t>CV. SINAR MENTARI SUKSES-KEDIRI</t>
  </si>
  <si>
    <t>RAFAKSI|CV. SINAR MENTARI SUKSES KEDIRI|</t>
  </si>
  <si>
    <t>SANITER ECS P2L HW NRSHCLN STRT KIT</t>
  </si>
  <si>
    <t>CON.REBATE|CV. SINAR MENTARI SUKSES KEDI</t>
  </si>
  <si>
    <t>GONDOLA|CV. SINAR MENTARI SUKSES KEDIRI|</t>
  </si>
  <si>
    <t>Inc.Salesman|CV. SINAR MENTARI SUKSES|15</t>
  </si>
  <si>
    <t>2.797.210,86</t>
  </si>
  <si>
    <t>2.085.251,39</t>
  </si>
  <si>
    <t>3.790.556,58</t>
  </si>
  <si>
    <t>3.641.877,88</t>
  </si>
  <si>
    <t>5.705.345,29</t>
  </si>
  <si>
    <t>4.453.669,27</t>
  </si>
  <si>
    <t>4.571.727,36</t>
  </si>
  <si>
    <t>STELLA FUN&amp;FRESH C.MACCHIATO MTP 1+1</t>
  </si>
  <si>
    <t>32.911,94</t>
  </si>
  <si>
    <t>4.933.990,95</t>
  </si>
  <si>
    <t>1.087,46</t>
  </si>
  <si>
    <t>3.834.385,64</t>
  </si>
  <si>
    <t>CV. SINAR MENTARI SUKSES - T.AGUNG</t>
  </si>
  <si>
    <t>THRMaret26|CV.SINAR MENTARI SUKSES TULUN</t>
  </si>
  <si>
    <t>THRMaret26|CV SINAR MENTARI SUKSES|0.00</t>
  </si>
  <si>
    <t>CV. SINAR MENTARI SUKSES - TRENGGAL</t>
  </si>
  <si>
    <t>HIT AEROSOL ORANGE 150ML 13.000</t>
  </si>
  <si>
    <t>GajiJan26|CV SINAR MENTARI SUKSES|0.00</t>
  </si>
  <si>
    <t>249.900,00</t>
  </si>
  <si>
    <t>DN atas CN6956890</t>
  </si>
  <si>
    <t>1.297.447,38</t>
  </si>
  <si>
    <t>1.726.133,01</t>
  </si>
  <si>
    <t>PT.SURI DIAN PERKASA</t>
  </si>
  <si>
    <t>Residual transfer ke PT Suri Dian Perkasa</t>
  </si>
  <si>
    <t>CV. TIGA JAYA PERKASA</t>
  </si>
  <si>
    <t>Insentif Sales Des25|CV. TIGA JAYA PERKA</t>
  </si>
  <si>
    <t>CV. HARAPAN ANUGRAH ABADI</t>
  </si>
  <si>
    <t>Insentif Sales Des25|UD. TIGA JAYA TANJU</t>
  </si>
  <si>
    <t>CV. KARYA JAYA NUNUKAN</t>
  </si>
  <si>
    <t>HIT AER JAPANESE SAKURA 180+30ML EXTRA</t>
  </si>
  <si>
    <t>RAFAKSI|CV. TIGA JAYA PERKASA|0.00*</t>
  </si>
  <si>
    <t>1.998.115,62</t>
  </si>
  <si>
    <t>1.697.822,93</t>
  </si>
  <si>
    <t>STELLA AIO B.JASMINE 42+13GR RJV</t>
  </si>
  <si>
    <t>3.455.974,21</t>
  </si>
  <si>
    <t>4.037.830,61</t>
  </si>
  <si>
    <t>Netoff CN &amp; Inv 9908481 JTO 24 Apr 2026</t>
  </si>
  <si>
    <t>CV. VITA PERMAI</t>
  </si>
  <si>
    <t>CON.REBATE|VITA PERMAI|15.00*</t>
  </si>
  <si>
    <t>SmartPAyerFeb26|VITA PERMAI|15.00</t>
  </si>
  <si>
    <t>RAFAKSI|CV. VITA PERMAI|0.00</t>
  </si>
  <si>
    <t>Inc.OMQ2|VITA PERMAI|15.00</t>
  </si>
  <si>
    <t>1.761.079,35</t>
  </si>
  <si>
    <t>KLINPAK Cling Wrap Refill</t>
  </si>
  <si>
    <t>45.736,20</t>
  </si>
  <si>
    <t>CV. GEMA REJEKI</t>
  </si>
  <si>
    <t>RAFAKSI|CV. GEMA REJEKI|0.00*</t>
  </si>
  <si>
    <t>CV. GEMA REJEKI - MASOHI</t>
  </si>
  <si>
    <t>CV. GEMA REJEKI - BULA</t>
  </si>
  <si>
    <t>1.986.863,13</t>
  </si>
  <si>
    <t>STELLA AIO JEJU ORANGE 42+13GR</t>
  </si>
  <si>
    <t>103.712,10</t>
  </si>
  <si>
    <t>2.255.854,44</t>
  </si>
  <si>
    <t>2.153.072,61</t>
  </si>
  <si>
    <t>2.225.208,91</t>
  </si>
  <si>
    <t>1.798.738,33</t>
  </si>
  <si>
    <t>2.526.641,22</t>
  </si>
  <si>
    <t>2.537.430,74</t>
  </si>
  <si>
    <t>2.506.331,16</t>
  </si>
  <si>
    <t>2.574.938,42</t>
  </si>
  <si>
    <t>MITU BABY WIPES AS REFRESHING 10'S B1G1</t>
  </si>
  <si>
    <t>2.266.297,29</t>
  </si>
  <si>
    <t>1.587.353,31</t>
  </si>
  <si>
    <t>CV.JAYA ABADI (DIR.CHRISTINA DEWI)</t>
  </si>
  <si>
    <t>CV. JAYA ABADI-BIMA</t>
  </si>
  <si>
    <t>30 DAYS AFTER DATE OF INVOICE</t>
  </si>
  <si>
    <t>4.347.875,91</t>
  </si>
  <si>
    <t>BAHARUDDIN</t>
  </si>
  <si>
    <t>PT. ANUTA KARYA PRIMA</t>
  </si>
  <si>
    <t>Insentif Sales Jan26|UD.NAGA MAS - KENDA</t>
  </si>
  <si>
    <t>STELLA AER R. KENANGA 350+50ML RJV</t>
  </si>
  <si>
    <t>2.359.797,88</t>
  </si>
  <si>
    <t>59.231,51</t>
  </si>
  <si>
    <t>ZI26</t>
  </si>
  <si>
    <t>3.590.420,39</t>
  </si>
  <si>
    <t>2.886,56</t>
  </si>
  <si>
    <t>9.131,26</t>
  </si>
  <si>
    <t>STELLA MTC REF W.VERBENA 160ML RJV</t>
  </si>
  <si>
    <t>3.022.934,87</t>
  </si>
  <si>
    <t>STELLA AIO JEJU ORANGE 42+13GR(3+1) MTP</t>
  </si>
  <si>
    <t>5.565.668,49</t>
  </si>
  <si>
    <t>3.641.394,85</t>
  </si>
  <si>
    <t>5.581.685,47</t>
  </si>
  <si>
    <t>3.979.930,49</t>
  </si>
  <si>
    <t>3.681.039,94</t>
  </si>
  <si>
    <t>1.637.930,40</t>
  </si>
  <si>
    <t>30.708,86</t>
  </si>
  <si>
    <t>1.474,67</t>
  </si>
  <si>
    <t>47.853,52</t>
  </si>
  <si>
    <t>CV. SURYA PERKASA</t>
  </si>
  <si>
    <t>45 days from invoice date</t>
  </si>
  <si>
    <t>LISTING|HALIM|2.00*</t>
  </si>
  <si>
    <t>B2B|CV.SURYA PERKASA MAKASAR|2.00*</t>
  </si>
  <si>
    <t>Block Shelving |GRAND TOSERBA|10.00*</t>
  </si>
  <si>
    <t>RAFAKSI|GRAND TOSERBA|0.00*</t>
  </si>
  <si>
    <t>RAFAKSI|TOP MURAH|0.00*</t>
  </si>
  <si>
    <t>RAFAKSI|GRAND TOSERBA ELEKTRONIK|0.00*</t>
  </si>
  <si>
    <t>RAFAKSI|OLALA MURAH|0.00*</t>
  </si>
  <si>
    <t>RAFAKSI|BAJI PAMAI|0.00*</t>
  </si>
  <si>
    <t>RAFAKSI|INDO MODE|0.00*</t>
  </si>
  <si>
    <t>LISTING|BINTANG MODE|2.00*</t>
  </si>
  <si>
    <t>LISTING|CV GRAND BINTANG LESTARI|2.00*</t>
  </si>
  <si>
    <t>LISTING|INDO MODE|2.00*</t>
  </si>
  <si>
    <t>LISTING|WANG MART|2.00*</t>
  </si>
  <si>
    <t>LISTING|ABDI AGUNG|2.00*</t>
  </si>
  <si>
    <t>RAFAKSI|SATU SAMA|0.00*</t>
  </si>
  <si>
    <t>LISTING|GRAND MODE|2.00*</t>
  </si>
  <si>
    <t>Anniversarry PDF Lotte|Surya Perkasa|2</t>
  </si>
  <si>
    <t>Block Shelving |TOP MODE|10.00*</t>
  </si>
  <si>
    <t>Block Shelving |TOP MURAH|10.00*</t>
  </si>
  <si>
    <t>Block Shelving |BINTANG MODE|10.00*</t>
  </si>
  <si>
    <t>Block Shelving |OLALA MURAH|2.00*</t>
  </si>
  <si>
    <t>Block Shelving |PUTRA TUNGGAL|10.00*</t>
  </si>
  <si>
    <t>OTHERS|CV.SURYA PERKASA MAKASAR|0.00*</t>
  </si>
  <si>
    <t>Block Shelving |SATU SAMA|10.00*</t>
  </si>
  <si>
    <t>Block Shelving |INDO MODE|10.00*</t>
  </si>
  <si>
    <t>Block Shelving |BENTENG MART|10.00*</t>
  </si>
  <si>
    <t>Block Shelving |TOP MODE P|10.00*</t>
  </si>
  <si>
    <t>Block Shelving |SATU SAMA H|10.00*</t>
  </si>
  <si>
    <t>Block Shelving |SATU SAMA L|10.00*</t>
  </si>
  <si>
    <t>Block Shelving |GRAND MALL|10.00*</t>
  </si>
  <si>
    <t>Block Shelving |TOP MODE K|10.00*</t>
  </si>
  <si>
    <t>CON.REBATE|INDAH MM|15.00*</t>
  </si>
  <si>
    <t>FIX REBATE|CV.SURYA PERKASA MAKASAR|15.0</t>
  </si>
  <si>
    <t>FIX REBATE|CV.SURYA PERKASA MAKASAR|2.00</t>
  </si>
  <si>
    <t>LISTING|BENTENG MART|2.00*</t>
  </si>
  <si>
    <t>LISTING|CV. 27 JAYA SENTOSA|2.00*</t>
  </si>
  <si>
    <t>LISTING|TOP MODE K|2.00*</t>
  </si>
  <si>
    <t>LISTING|SATU SAMA L|2.00*</t>
  </si>
  <si>
    <t>LISTING|MY MART|2.00*</t>
  </si>
  <si>
    <t>LISTING|TOP MODE P|2.00*</t>
  </si>
  <si>
    <t>CON.REBATE|INDAH MM|15</t>
  </si>
  <si>
    <t>Block Shelving |MISI PASARAYA|2.00*</t>
  </si>
  <si>
    <t>GONDOLA|TOSERBA BERDIKARI|2.00*</t>
  </si>
  <si>
    <t>BIOSOL POUCH REGULAR 700ML</t>
  </si>
  <si>
    <t>BIOSOL POUCH 700 ML BUY 1 GET 1</t>
  </si>
  <si>
    <t>BIOSOL SACHET 20 ML+5 ML PROMO 12+1</t>
  </si>
  <si>
    <t>PROCLIN BLEACH SACHET 25ML</t>
  </si>
  <si>
    <t>PROCLIN PPN PLUS SACHET 25ML (12+1)</t>
  </si>
  <si>
    <t>PROCLIN PENGHILANG NODA PLUS SACHET 25ML</t>
  </si>
  <si>
    <t>PROCLIN PPN SACHET 25ML (12+1)</t>
  </si>
  <si>
    <t>RAFAKSI|CV. SURYA PERKASA|0.00*</t>
  </si>
  <si>
    <t>Block Shelving |GRAND MODE|10.00*</t>
  </si>
  <si>
    <t>LISTING|CV AWAL INTI MANDIRI|2.00*</t>
  </si>
  <si>
    <t>LISTING|BAJI PAMAI|2.00*</t>
  </si>
  <si>
    <t>LISTING|CV DUA TUJUH JAYA SENTOSA|2.00*</t>
  </si>
  <si>
    <t>LISTING|MISI PASARAYA|2.00*</t>
  </si>
  <si>
    <t>LISTING|GRAND TOSERBA|2.00*</t>
  </si>
  <si>
    <t>LISTING|TOP MODE|2.00*</t>
  </si>
  <si>
    <t>LISTING|SATU SAMA H|2.00*</t>
  </si>
  <si>
    <t>LISTING|SATU SAMA P|2.00*</t>
  </si>
  <si>
    <t>LISTING|OLALA MURAH|2.00*</t>
  </si>
  <si>
    <t>INC JAN26|SURYA PERKASA|15</t>
  </si>
  <si>
    <t>LISTING|PUTRA TUNGGAL|2.00*</t>
  </si>
  <si>
    <t>LISTING|HALO MART|2.00*</t>
  </si>
  <si>
    <t>GAJI DES25|SURYA PERKASA</t>
  </si>
  <si>
    <t>CON.REBATE|TOP MODE|15.00*</t>
  </si>
  <si>
    <t>CON.REBATE|OLALA MURAH|15.00*</t>
  </si>
  <si>
    <t>CON.REBATE|GRAND MODE|15.00*</t>
  </si>
  <si>
    <t>CON.REBATE|MISI PASARAYA|15.00*</t>
  </si>
  <si>
    <t>CON.REBATE|AGUNG|15.00*</t>
  </si>
  <si>
    <t>CON.REBATE|BENTENG MART|15.00*</t>
  </si>
  <si>
    <t>CON.REBATE|GRAND TOSERBA HERTASNING|15.0</t>
  </si>
  <si>
    <t>CON.REBATE|INDO MODE|15.00*</t>
  </si>
  <si>
    <t>CON.REBATE|GRAND MALL|15.00*</t>
  </si>
  <si>
    <t>CON.REBATE|WANG MART|15.00*</t>
  </si>
  <si>
    <t>CON.REBATE|HANA|15.00*</t>
  </si>
  <si>
    <t>CON.REBATE|SINAR ANDALAS|15.00*</t>
  </si>
  <si>
    <t>CON.REBATE|BARU|15.00*</t>
  </si>
  <si>
    <t>CON.REBATE|SUPER INTI PERKAKAS|15.00*</t>
  </si>
  <si>
    <t>Stella Mini Mtc Ref. G.Fantasy 40 ml</t>
  </si>
  <si>
    <t>STELLA AIO LEMON 42+13GR(3+1) MTP RJV</t>
  </si>
  <si>
    <t>STELLA CLIP N TWIST AQUA MARINE</t>
  </si>
  <si>
    <t>3.799.678,94</t>
  </si>
  <si>
    <t>MITU BABY WIPES GPP PURPLE FR 50'S BOGOF</t>
  </si>
  <si>
    <t>3.755.003,90</t>
  </si>
  <si>
    <t>3.949.216,56</t>
  </si>
  <si>
    <t>4.521.805,47</t>
  </si>
  <si>
    <t>4.280.791,86</t>
  </si>
  <si>
    <t>3.415.063,92</t>
  </si>
  <si>
    <t>4.480.422,76</t>
  </si>
  <si>
    <t>4.636.387,70</t>
  </si>
  <si>
    <t>55.950,30</t>
  </si>
  <si>
    <t>4.477.585,80</t>
  </si>
  <si>
    <t>4.449.751,26</t>
  </si>
  <si>
    <t>STELLA DF CAR+INDOOR VANILLA TWIST RJV</t>
  </si>
  <si>
    <t>2.799.587,48</t>
  </si>
  <si>
    <t>3.691.884,02</t>
  </si>
  <si>
    <t>3.005.041,68</t>
  </si>
  <si>
    <t>3.225.286,62</t>
  </si>
  <si>
    <t>3.602.818,38</t>
  </si>
  <si>
    <t>4.614,14</t>
  </si>
  <si>
    <t>180.155,40</t>
  </si>
  <si>
    <t>5.349.706,01</t>
  </si>
  <si>
    <t>16.455,97</t>
  </si>
  <si>
    <t>5.069.535,32</t>
  </si>
  <si>
    <t>ZI14</t>
  </si>
  <si>
    <t>PT. SUBUR PLUS</t>
  </si>
  <si>
    <t>2.167.337,29</t>
  </si>
  <si>
    <t>1.311.280,87</t>
  </si>
  <si>
    <t>2.326.138,67</t>
  </si>
  <si>
    <t>6.582,39</t>
  </si>
  <si>
    <t>1.160.704,80</t>
  </si>
  <si>
    <t>2.483.062,65</t>
  </si>
  <si>
    <t>1.180.664,55</t>
  </si>
  <si>
    <t>6.218.144,70</t>
  </si>
  <si>
    <t>5.886.478,70</t>
  </si>
  <si>
    <t>3.291,19</t>
  </si>
  <si>
    <t>PT. AJEKA UTAMA DISTRINDO</t>
  </si>
  <si>
    <t>CON.REBATE|ERIYATI/ ANYAR TOKO|15.00*</t>
  </si>
  <si>
    <t>LISTING|SAHABAT KARTINI|2.00*</t>
  </si>
  <si>
    <t>CON.REBATE|SINAR CAHAYA NIRMALA CV|15.00</t>
  </si>
  <si>
    <t>CON.REBATE|BINA PUTRA CV|15.00*</t>
  </si>
  <si>
    <t>GONDOLA|SINAR CAHAYA NIRMALA|2.00*</t>
  </si>
  <si>
    <t>GONDOLA|RITA RITELINDO|2.00*</t>
  </si>
  <si>
    <t>LISTING|SAHABAT KARTINI TEGAL|2.00*</t>
  </si>
  <si>
    <t>RD Expansion|PT. AJEKA UTAMA DISTRINDO T</t>
  </si>
  <si>
    <t>CON.REBATE|RENKURA MART|15.00*</t>
  </si>
  <si>
    <t>CON.REBATE|KUSUMA JAYA TOKO (PAK HADI)|1</t>
  </si>
  <si>
    <t>CON.REBATE|RITA SM TEGAL|15.00*</t>
  </si>
  <si>
    <t>CON.REBATE|REKSO MARET 2|15.00*</t>
  </si>
  <si>
    <t>CON.REBATE|LANGGENG JAYA CV|15.00*</t>
  </si>
  <si>
    <t>Block Shelving |MITRA|2.00*</t>
  </si>
  <si>
    <t>Block Shelving |DJONI RIJANTO|2.00*</t>
  </si>
  <si>
    <t>GONDOLA|BASA MANDIRI PRIMA|2.00*</t>
  </si>
  <si>
    <t>GONDOLA|SAUDI TOSERBA|2.00*</t>
  </si>
  <si>
    <t>INC SLS JAN26|PT. AJEKA UTAMA DISTRINDO-</t>
  </si>
  <si>
    <t>4.089.931,44</t>
  </si>
  <si>
    <t>31.169,84</t>
  </si>
  <si>
    <t>7.830.217,48</t>
  </si>
  <si>
    <t>13.958.582,84</t>
  </si>
  <si>
    <t>NYU CREME HC BLUE BLACK (S)</t>
  </si>
  <si>
    <t>RAFAKSI|CV. TULUS JAYA SEJAHTERA|0.00*</t>
  </si>
  <si>
    <t>ZI18</t>
  </si>
  <si>
    <t>CV.TULUS JAYA SEJAHTERA</t>
  </si>
  <si>
    <t>CV. TULUS JAYA SEJAHTERA - LOMBOK T</t>
  </si>
  <si>
    <t>Inc.OMQ2|CV.TULUS JAYA SEJAHTERA|15.00</t>
  </si>
  <si>
    <t>Inc.Salesman|CV.TULUS JAYA SEJAHTERA|15.</t>
  </si>
  <si>
    <t>Inc.Salesman|CV. TULUS JAYA SEJAHTERA|15</t>
  </si>
  <si>
    <t>CON.REBATE|CV. TULUS JAYA SEJAHTERA|15.0</t>
  </si>
  <si>
    <t>B2B|CV. TULUS JAYA SEJAHTERA|2.00*</t>
  </si>
  <si>
    <t>74.009,47</t>
  </si>
  <si>
    <t>90 days from invoice date</t>
  </si>
  <si>
    <t>120 days from invoice date</t>
  </si>
  <si>
    <t>3.164.728,16</t>
  </si>
  <si>
    <t>4.551.157,20</t>
  </si>
  <si>
    <t>2.749.609,88</t>
  </si>
  <si>
    <t>5.762.032,90</t>
  </si>
  <si>
    <t>16.841,31</t>
  </si>
  <si>
    <t>182,52</t>
  </si>
  <si>
    <t>7.073.320,16</t>
  </si>
  <si>
    <t>1.561.712,01</t>
  </si>
  <si>
    <t>3.093.420,13</t>
  </si>
  <si>
    <t>3.065.372,28</t>
  </si>
  <si>
    <t>1.172.633,54</t>
  </si>
  <si>
    <t>POLYTEX SPON REGULER NEW</t>
  </si>
  <si>
    <t>7.540.465,43</t>
  </si>
  <si>
    <t>6.367.252,24</t>
  </si>
  <si>
    <t>2.271.828,94</t>
  </si>
  <si>
    <t>STELLA AIO C.LATTE 42+13GR(3+1) MTP RJV</t>
  </si>
  <si>
    <t>4.106,84</t>
  </si>
  <si>
    <t>29,04</t>
  </si>
  <si>
    <t>183,23</t>
  </si>
  <si>
    <t>PT. SENTRA SARANA MEDIKA</t>
  </si>
  <si>
    <t>3.267.750,41</t>
  </si>
  <si>
    <t>STELLA DF CAR+INDOOR ORANGE SUNKIST RJV</t>
  </si>
  <si>
    <t>PT. TRIYANTO SUKSES MANDIRI</t>
  </si>
  <si>
    <t>CON.REBATE|PT.TRIYANTO SUKSES MANDIRI BA</t>
  </si>
  <si>
    <t>Inc.Salesman|PT.TRIYANTO SUKSES MANDIRI|</t>
  </si>
  <si>
    <t>GONDOLA|PT.TRIYANTO SUKSES MANDIRI SUBAN</t>
  </si>
  <si>
    <t>2.100.496,13</t>
  </si>
  <si>
    <t>3.545.172,48</t>
  </si>
  <si>
    <t>31.768,47</t>
  </si>
  <si>
    <t>MITU BABY POWDER F&amp;C CLASSIC 100GR+50%</t>
  </si>
  <si>
    <t>109.723,77</t>
  </si>
  <si>
    <t>2.616.113,93</t>
  </si>
  <si>
    <t>STELLA AER JEJU ORANGE 175+25ML RJV</t>
  </si>
  <si>
    <t>2.260.389,88</t>
  </si>
  <si>
    <t>58.456,15</t>
  </si>
  <si>
    <t>65.265,87</t>
  </si>
  <si>
    <t>1.491.940,43</t>
  </si>
  <si>
    <t>2.628.941,36</t>
  </si>
  <si>
    <t>1.949.417,76</t>
  </si>
  <si>
    <t>2.827,07</t>
  </si>
  <si>
    <t>3.179,43</t>
  </si>
  <si>
    <t>2.054,70</t>
  </si>
  <si>
    <t>1.022.261,38</t>
  </si>
  <si>
    <t>2.455.575,10</t>
  </si>
  <si>
    <t>2.199.504,49</t>
  </si>
  <si>
    <t>1.550.541,44</t>
  </si>
  <si>
    <t>WISANG JOSENG</t>
  </si>
  <si>
    <t>UD. SUPER TOP</t>
  </si>
  <si>
    <t>Celebration Jan26|UD. SUPER TOP - GORONT</t>
  </si>
  <si>
    <t>4.800.662,07</t>
  </si>
  <si>
    <t>3.041.252,64</t>
  </si>
  <si>
    <t>1.660.243,36</t>
  </si>
  <si>
    <t>2.806.217,37</t>
  </si>
  <si>
    <t>3.392.087,65</t>
  </si>
  <si>
    <t>2.345.417,90</t>
  </si>
  <si>
    <t>STELLA AER APPLE 175+25ML RJV</t>
  </si>
  <si>
    <t>ZI12</t>
  </si>
  <si>
    <t>CV. SENTOSA</t>
  </si>
  <si>
    <t>Smart Payer Jan26|CV.SENTOSA-BANDUNG|15.</t>
  </si>
  <si>
    <t>1.044.559,02</t>
  </si>
  <si>
    <t>609.531,72</t>
  </si>
  <si>
    <t>1.297.381,92</t>
  </si>
  <si>
    <t>1.077.070,52</t>
  </si>
  <si>
    <t>Smartpayer 26 Jan 2026</t>
  </si>
  <si>
    <t>PT. BAHAGIA INTRA NIAGA - PROBOLING</t>
  </si>
  <si>
    <t>GONDOLA|DIVA SWALAYAN|2.00*</t>
  </si>
  <si>
    <t>LISTING|DIVA SWALAYAN|2.00*</t>
  </si>
  <si>
    <t>GONDOLA|CV. GRAHA MULIA|2.00*</t>
  </si>
  <si>
    <t>PT. BAHAGIA INTRA NIAGA - LUMAJANG</t>
  </si>
  <si>
    <t>GONDOLA|KPRI MART DWIJA MUKTI|2.00*</t>
  </si>
  <si>
    <t>GONDOLA|PT. BAHAGIA INTRA NIAGA LUMAJANG</t>
  </si>
  <si>
    <t>GONDOLA|MADINA 2|2.00*</t>
  </si>
  <si>
    <t>LISTING|PT. BAHAGIA INTRA NIAGA LUMAJANG</t>
  </si>
  <si>
    <t>PT. BAHAGIA INTRA NIAGA - SUITUBOND</t>
  </si>
  <si>
    <t>GONDOLA|ROXY SUPERMARKET SITUBONDO|2.00*</t>
  </si>
  <si>
    <t>Block Shelving |PT. BAHAGIA INTRA NIAGA</t>
  </si>
  <si>
    <t>GONDOLA|PT. BAHAGIA INTRA NIAGA PROBOLIN</t>
  </si>
  <si>
    <t>Inc.Salesman|PT.BAHAGIA INTRA NIAGA|15.0</t>
  </si>
  <si>
    <t>CON.REBATE|KKMT|15.00*</t>
  </si>
  <si>
    <t>CON.REBATE|PT. BAHAGIA INTRA NIAGA PROBO</t>
  </si>
  <si>
    <t>GONDOLA|SEMERU MART|2.00*</t>
  </si>
  <si>
    <t>RAFAKSI|PT. BAHAGIA INTRA NIAGA|0.00*</t>
  </si>
  <si>
    <t>RAFAKSI|PT. BAHAGIA INTRA NIAGA LUMAJANG</t>
  </si>
  <si>
    <t>GajiJan26|PT. BAHAGIA INTRA NIAGA|2.00</t>
  </si>
  <si>
    <t>CON.REBATE|TIMUN MAS|15.00*</t>
  </si>
  <si>
    <t>CON.REBATE|PT BAHAGIA INTRA NIAGA|15.00*</t>
  </si>
  <si>
    <t>CON.REBATE|KARUNIA DHARMA SENTOSA|15.00*</t>
  </si>
  <si>
    <t>CON.REBATE|KARUNIA DAMAI SELALU|15.00*</t>
  </si>
  <si>
    <t>LISTING|DALWA MART|2.00*</t>
  </si>
  <si>
    <t>LISTING|DUTA SWALAYAN|2.00*</t>
  </si>
  <si>
    <t>LISTING|KOPERASI SETIA KAWAN MM|2.00*</t>
  </si>
  <si>
    <t>Block Shelving |APT SINAR SEJATI|2.00*</t>
  </si>
  <si>
    <t>Block Shelving |EKA JAYA|2.00*</t>
  </si>
  <si>
    <t>Inc.Salesman|PT. BAHAGIA INTRA NIAGA|15.</t>
  </si>
  <si>
    <t>GONDOLA|KHOIRUL MAS|2.00*</t>
  </si>
  <si>
    <t>GONDOLA|OMAGUE|2.00*</t>
  </si>
  <si>
    <t>GONDOLA|CAHAYA BABY SHOP|2.00*</t>
  </si>
  <si>
    <t>GONDOLA|SUDIJONO|2.00*</t>
  </si>
  <si>
    <t>GONDOLA|ADI ANTO JAYA|2.00*</t>
  </si>
  <si>
    <t>GONDOLA|ADINDA|2.00*</t>
  </si>
  <si>
    <t>GONDOLA|ANEKA SEHAT|2.00*</t>
  </si>
  <si>
    <t>GONDOLA|CECEP COLECTION|2.00*</t>
  </si>
  <si>
    <t>PT. BAHAGIA INTRA NIAGA - PAMEKASAN</t>
  </si>
  <si>
    <t>PT. BAHAGIA INTRA NIAGA - JEMBER</t>
  </si>
  <si>
    <t>LISTING|MULYA JAYA|2.00</t>
  </si>
  <si>
    <t>PT. BAHAGIA INTRA NIAGA - BANYUWANG</t>
  </si>
  <si>
    <t>RAFAKSI|PT. BAHAGIA INTRA NIAGA BANYUWAN</t>
  </si>
  <si>
    <t>Rafaksi|PT.BAHAGIA INTRA NIAGA|0.00</t>
  </si>
  <si>
    <t>PT. BAHAGIA INTRA NIAGA - BANGKALAN</t>
  </si>
  <si>
    <t>PT. BAHAGIA INTRA NIAGA - SAMPANG</t>
  </si>
  <si>
    <t>PT. BAHAGIA INTRA NIAGA - SUMENEP</t>
  </si>
  <si>
    <t>HIT AER LILY BLOSSOM 750ML</t>
  </si>
  <si>
    <t>GajiJan26|PT.BAHAGIA INTRA NIAGA|2.00</t>
  </si>
  <si>
    <t>CON.REBATE|PT. BAHAGIA INTRA NIAGA PAMEK</t>
  </si>
  <si>
    <t>GajiJan26|PT. BAHAGIA INTRA NIAGA|0.00</t>
  </si>
  <si>
    <t>CON.REBATE|ANUGRAH BARU UMBULSARI|15.00*</t>
  </si>
  <si>
    <t>CON.REBATE|SETIA ABADI|15.00*</t>
  </si>
  <si>
    <t>CON.REBATE|PT. BAHAGIA INTRA NIAGA BANYU</t>
  </si>
  <si>
    <t>CON.REBATE|KDS SUPERMARKET|15.00*</t>
  </si>
  <si>
    <t>CON.REBATE|SANDI MART|15.00*</t>
  </si>
  <si>
    <t>CON.REBATE|BARES GROSIR 2|15.00*</t>
  </si>
  <si>
    <t>STELLA AER LEMON 175+25ML RJ</t>
  </si>
  <si>
    <t>LISTING|PT. BAHAGIA INTRA NIAGA|2.00</t>
  </si>
  <si>
    <t>LISTING|PT. BAHAGIA INTRA NIAGA JEMBER|2</t>
  </si>
  <si>
    <t>GajiFeb26|PT. BAHAGIA INTRA NIAGA|0.00</t>
  </si>
  <si>
    <t>Outsourcing|PT. BAHAGIA INTRA NIAGA JEMB</t>
  </si>
  <si>
    <t>Block Shelving |NUSA INDAH I|2.00*</t>
  </si>
  <si>
    <t>GONDOLA|INDORAPET 2|2.00*</t>
  </si>
  <si>
    <t>GONDOLA|SAKINAH|2.00*</t>
  </si>
  <si>
    <t>GONDOLA|ANTON BELVA|2.00*</t>
  </si>
  <si>
    <t>GONDOLA|PT. BAHAGIA INTRA NIAGA PAMEKASA</t>
  </si>
  <si>
    <t>GONDOLA|PT. BAHAGIA INTRA NIAGA SAMPANG|</t>
  </si>
  <si>
    <t>GajiFeb26|BAHAGIA INTRA NIAGA|0.00</t>
  </si>
  <si>
    <t>Block Shelving |CV. MITRA BANDAN BAGIYA|</t>
  </si>
  <si>
    <t>GONDOLA|MITRA MART|2.00*</t>
  </si>
  <si>
    <t>GONDOLA|PT. BAHAGIA INTRA NIAGA BANYUWAN</t>
  </si>
  <si>
    <t>GONDOLA|CV. MITRA BANDAN BAGIYA|10.00*</t>
  </si>
  <si>
    <t>CON.REBATE|DIVA SWALAYAN|15.00*</t>
  </si>
  <si>
    <t>CON.REBATE|SINAR TERANG SPM|15.00*</t>
  </si>
  <si>
    <t>CON.REBATE|KARUNIA DAMAI SEJAHTERA|15.00</t>
  </si>
  <si>
    <t>CON.REBATE|CV. GRAHA MULIA|15.00*</t>
  </si>
  <si>
    <t>CON.REBATE|PT. BAHAGIA INTRA NIAGA JEMBE</t>
  </si>
  <si>
    <t>276.876,78</t>
  </si>
  <si>
    <t>8.053.641,56</t>
  </si>
  <si>
    <t>POLYTEX SBT SPON EXTRA BERSIH&amp;THN LAMA</t>
  </si>
  <si>
    <t>1.626.645,59</t>
  </si>
  <si>
    <t>3.283.586,00</t>
  </si>
  <si>
    <t>32.813,02</t>
  </si>
  <si>
    <t>16.813,17</t>
  </si>
  <si>
    <t>2.851.125,62</t>
  </si>
  <si>
    <t>1.821.165,54</t>
  </si>
  <si>
    <t>1.216.007,38</t>
  </si>
  <si>
    <t>1.191.407,80</t>
  </si>
  <si>
    <t>1.520.496,38</t>
  </si>
  <si>
    <t>2.921.606,27</t>
  </si>
  <si>
    <t>HIT MAGIC FRESH 4+2S</t>
  </si>
  <si>
    <t>1.708.217,34</t>
  </si>
  <si>
    <t>480.149,50</t>
  </si>
  <si>
    <t>231.689,68</t>
  </si>
  <si>
    <t>4.450.923,55</t>
  </si>
  <si>
    <t>4.083.908,20</t>
  </si>
  <si>
    <t>342,59</t>
  </si>
  <si>
    <t>252,97</t>
  </si>
  <si>
    <t>3.351,50</t>
  </si>
  <si>
    <t>7.090.112,72</t>
  </si>
  <si>
    <t>5.649.512,55</t>
  </si>
  <si>
    <t>5.002,29</t>
  </si>
  <si>
    <t>2.171.430,00</t>
  </si>
  <si>
    <t>Fogo Lemari Fresh 30 gr</t>
  </si>
  <si>
    <t>3.416.820,83</t>
  </si>
  <si>
    <t>1.954.806,44</t>
  </si>
  <si>
    <t>2.800.881,00</t>
  </si>
  <si>
    <t>5.067.824,84</t>
  </si>
  <si>
    <t>441.418,67</t>
  </si>
  <si>
    <t>2.937.576,35</t>
  </si>
  <si>
    <t>329.991,94</t>
  </si>
  <si>
    <t>423.554,95</t>
  </si>
  <si>
    <t>2.553.367,41</t>
  </si>
  <si>
    <t>7.151.032,28</t>
  </si>
  <si>
    <t>2.076.646,28</t>
  </si>
  <si>
    <t>3.750.190,72</t>
  </si>
  <si>
    <t>105.318,22</t>
  </si>
  <si>
    <t>7.516,53</t>
  </si>
  <si>
    <t>3.941.310,08</t>
  </si>
  <si>
    <t>1.357.973,47</t>
  </si>
  <si>
    <t>27.229,68</t>
  </si>
  <si>
    <t>4.251,54</t>
  </si>
  <si>
    <t>63,98</t>
  </si>
  <si>
    <t>3.073,35</t>
  </si>
  <si>
    <t>23.289,62</t>
  </si>
  <si>
    <t>20.319,32</t>
  </si>
  <si>
    <t>1.472.868,32</t>
  </si>
  <si>
    <t>1.670.786,14</t>
  </si>
  <si>
    <t>NYU CREME HC BURGUNDY (S)</t>
  </si>
  <si>
    <t>CV. INDRA JAYA</t>
  </si>
  <si>
    <t>CV. INDRA JAYA - LABUAN BAJO</t>
  </si>
  <si>
    <t>GONDOLA|CV SURYA AGUNG ABADI|2.00*</t>
  </si>
  <si>
    <t>CON.REBATE|CV INDRA JAYA RUTENG|15.00*</t>
  </si>
  <si>
    <t>Inc.Salesman|CV INDRA JAYA|15.00</t>
  </si>
  <si>
    <t>Inc.CelebNov25|CV. INDRA JAYA|15.00</t>
  </si>
  <si>
    <t>Inc.CelebDes25|CV INDRA JAYA|15.00</t>
  </si>
  <si>
    <t>GajiRDEJan26|CV. INDRA JAYA|2.00</t>
  </si>
  <si>
    <t>Inc.KPIRDQ2|CV INDRA JAYA|15.00</t>
  </si>
  <si>
    <t>Inc.Salesman|CV. INDRA JAYA|15.00</t>
  </si>
  <si>
    <t>GajiJan26|CV INDRA JAYA|0.00</t>
  </si>
  <si>
    <t>RAFAKSI|CV INDRA JAYA RUTENG|0.00*</t>
  </si>
  <si>
    <t>RAFAKSI|CV INDRAJAYA ENDE|0.00*</t>
  </si>
  <si>
    <t>RAFAKSI|INDRAJAYA|0.00</t>
  </si>
  <si>
    <t>CON.REBATE|CV. INDRA JAYA ENDE|15.00*</t>
  </si>
  <si>
    <t>GajiJan26|CV. INDRA JAYA|0.00</t>
  </si>
  <si>
    <t>RDEDes25|CV. INDRA JAYA|2.00</t>
  </si>
  <si>
    <t>GajiFeb26|CV. INDRA JAYA|0.00</t>
  </si>
  <si>
    <t>RDEFeb26|CV. INDRA JAYA|2.00</t>
  </si>
  <si>
    <t>CON.REBATE|CV. INDRA JAYA LABUAN BAJO|15</t>
  </si>
  <si>
    <t>3.273,57</t>
  </si>
  <si>
    <t>995.261,76</t>
  </si>
  <si>
    <t>STELLA SMART MTC BOX RJV 160ML EXTRA</t>
  </si>
  <si>
    <t>1.182.952,46</t>
  </si>
  <si>
    <t>17.528,45</t>
  </si>
  <si>
    <t>17.962,02</t>
  </si>
  <si>
    <t>1.376.658,31</t>
  </si>
  <si>
    <t>853,01</t>
  </si>
  <si>
    <t>STELLA AER JEJU ORANGE 350ML</t>
  </si>
  <si>
    <t>1.661.337,93</t>
  </si>
  <si>
    <t>282,46</t>
  </si>
  <si>
    <t>INv 9909997 Jto 30 Apr</t>
  </si>
  <si>
    <t>PT. SUBUR JAYA GEMILANG</t>
  </si>
  <si>
    <t>CON.REBATE|KANA STORE|15.00*</t>
  </si>
  <si>
    <t>CON.REBATE|WAHANA COSMETIC|15.00*</t>
  </si>
  <si>
    <t>CON.REBATE|ADA SWALAYAN|15.00*</t>
  </si>
  <si>
    <t>CON.REBATE|RDH|15.00*</t>
  </si>
  <si>
    <t>B2B|PT. SUBUR JAYA GEMILANG BOGOR|2.00*</t>
  </si>
  <si>
    <t>CON.REBATE|PT. SUBUR JAYA GEMILANG BOGOR</t>
  </si>
  <si>
    <t>CON.REBATE|PT SULTANZAHRA MONAJAYA SEJAH</t>
  </si>
  <si>
    <t>LISTING|MAHADANA DASHA UTAMA|2.00*</t>
  </si>
  <si>
    <t>CON.REBATE|TOKO MURNI|15.00*</t>
  </si>
  <si>
    <t>CON.REBATE|BERKAH KOSMETIK|15.00*</t>
  </si>
  <si>
    <t>CON.REBATE|ALFA INDAH MAKMUR|15.00*</t>
  </si>
  <si>
    <t>CON.REBATE|OTHNIEL OFFICIAL|15.00*</t>
  </si>
  <si>
    <t>CON.REBATE|ELON SHOP|15.00*</t>
  </si>
  <si>
    <t>CON.REBATE|CV KIANA PERSADA KOSMETIKA|15</t>
  </si>
  <si>
    <t>GONDOLA|PT SUBUR JAYA GEMILANG|2.00*3027</t>
  </si>
  <si>
    <t>INC SLS JAN26|PT. SUBUR JAYA GEMILANG -</t>
  </si>
  <si>
    <t>LISTING|SURYA RANGGA LESTARI|2.00*</t>
  </si>
  <si>
    <t>PROCLIN PENGHILANG NODA PLUS PC 800ML ND</t>
  </si>
  <si>
    <t>GONDOLA|PT. SUBUR JAYA GEMILANG BOGOR|2.</t>
  </si>
  <si>
    <t>Promo Disc Off PO|PT. Subur Jaya Gemilan</t>
  </si>
  <si>
    <t>GONDOLA|TK. HADINDA 3|2.00*</t>
  </si>
  <si>
    <t>GONDOLA|BERKAH LARIS|2.00*</t>
  </si>
  <si>
    <t>GONDOLA|LARIS|2.00*</t>
  </si>
  <si>
    <t>GONDOLA|SEKAR WANGI ADA PERKASA|2.00*</t>
  </si>
  <si>
    <t>RD Expansion|PT. SUBUR JAYA GEMILANG BOG</t>
  </si>
  <si>
    <t>CON.REBATE|TOKO YAMIN|15.00*</t>
  </si>
  <si>
    <t>CON.REBATE|ASTRO|15.00*</t>
  </si>
  <si>
    <t>FIX REBATE|PT. SUBUR JAYA GEMILANG BOGOR</t>
  </si>
  <si>
    <t>CON.REBATE|TK KEDAI ABAH|15.00*</t>
  </si>
  <si>
    <t>CON.REBATE|BEAUTY LOVER|15.00*</t>
  </si>
  <si>
    <t>CON.REBATE|BEAUTY LOVERS|15.00*</t>
  </si>
  <si>
    <t>CON.REBATE|LARIS|15.00*</t>
  </si>
  <si>
    <t>CON.REBATE|FITRI SARI|15.00*</t>
  </si>
  <si>
    <t>CON.REBATE|JAYA MAKMUR|15.00*</t>
  </si>
  <si>
    <t>CON.REBATE|MUSTIKA / NAWI|15.00*</t>
  </si>
  <si>
    <t>CON.REBATE|TK SAMAD|15.00*</t>
  </si>
  <si>
    <t>CON.REBATE|BERKAH LARIS|15.00*</t>
  </si>
  <si>
    <t>CON.REBATE|KIM SUN./ LUCKY.|15.00*</t>
  </si>
  <si>
    <t>CELBEB NOV25|PT. SUBUR JAYA GEMILANG - B</t>
  </si>
  <si>
    <t>KPI RD JAN-MAR25|PT. SUBUR JAYA GEMILANG</t>
  </si>
  <si>
    <t>CON.REBATE|PT. KARUNIA KARSTEN ABADI/IVA</t>
  </si>
  <si>
    <t>CON.REBATE|LINA JAYA|15.00*</t>
  </si>
  <si>
    <t>LISTING|PATLIMATRA KENCANA|2.00*</t>
  </si>
  <si>
    <t>LISTING|TERANG SUBUR ABADI|2.00*</t>
  </si>
  <si>
    <t>LISTING|INDO SUHAR JAYA|2.00*</t>
  </si>
  <si>
    <t>BIOSOL POUCH 400 ML BUY 1 GET 1</t>
  </si>
  <si>
    <t>RAFAKSI|PT. ANUGERAH CAHAYA CHANDRA|0.00</t>
  </si>
  <si>
    <t>GONDOLA|SULTANZAHRA MONAJAYA SEJAHTERA|2</t>
  </si>
  <si>
    <t>RD Expansion|PT. Subur Jaya Gemilang|2.0</t>
  </si>
  <si>
    <t>RAFAKSI|PT SUBUR JAYA GEMILANG|0.00*</t>
  </si>
  <si>
    <t>Block Shelving |HASIL KARSA ERAPERDANA|2</t>
  </si>
  <si>
    <t>GONDOLA|NGESTI DJAJAABADI|2.00*</t>
  </si>
  <si>
    <t>GONDOLA|HASIL KARSA ERAPERDANA|2.00*</t>
  </si>
  <si>
    <t>CELEB DES25|PT. SUBUR JAYA GEMILANG - BO</t>
  </si>
  <si>
    <t>GONDOLA|PT SUBUR JAYA GEMILANG|2.00*</t>
  </si>
  <si>
    <t>GONDOLA|INDO SUHAR JAYA|10.00*</t>
  </si>
  <si>
    <t>GONDOLA|UD. DUA SAUDARA|2.00*</t>
  </si>
  <si>
    <t>LISTING|HASIL KARSA ERAPERDANA|2.00*</t>
  </si>
  <si>
    <t>LISTING|MEGA OAKRIDGE MARKET/MEGA GROUP|</t>
  </si>
  <si>
    <t>GAJI JAN26|PT. Subur Jaya Gemilang</t>
  </si>
  <si>
    <t>DAMAGE ALLOWANCE|PT SUBUR JAYA GEMILANG|</t>
  </si>
  <si>
    <t>STELLA MTC REF JEJU ORANGE 160ML</t>
  </si>
  <si>
    <t>STELLA MATIC BOXSET B.JASMINE S EDITION</t>
  </si>
  <si>
    <t>CON.REBATE|CRYSTAL|15.00*</t>
  </si>
  <si>
    <t>CON.REBATE|MEKAR JAYA|15.00*</t>
  </si>
  <si>
    <t>CON.REBATE|UD MAJU BERSAMA|15.00*</t>
  </si>
  <si>
    <t>CON.REBATE|WAHANA KOSMETIK|15.00*</t>
  </si>
  <si>
    <t>CON.REBATE|CECEP 2|15.00*</t>
  </si>
  <si>
    <t>9.040.238,05</t>
  </si>
  <si>
    <t>140.958,01</t>
  </si>
  <si>
    <t>7.022.726,98</t>
  </si>
  <si>
    <t>1.015.058,53</t>
  </si>
  <si>
    <t>1.630.471,10</t>
  </si>
  <si>
    <t>33.359,41</t>
  </si>
  <si>
    <t>1.022.351,82</t>
  </si>
  <si>
    <t>NYU CREME HC SACHET NATURAL BROWN 20GR</t>
  </si>
  <si>
    <t>5.472.686,64</t>
  </si>
  <si>
    <t>12.068,45</t>
  </si>
  <si>
    <t>2.050.693,92</t>
  </si>
  <si>
    <t>5.282.160,15</t>
  </si>
  <si>
    <t>3.713.464,55</t>
  </si>
  <si>
    <t>1.639.048,98</t>
  </si>
  <si>
    <t>3.976.690,93</t>
  </si>
  <si>
    <t>100.394,24</t>
  </si>
  <si>
    <t>3.571.877,88</t>
  </si>
  <si>
    <t>4.848.931,64</t>
  </si>
  <si>
    <t>1.296.998,24</t>
  </si>
  <si>
    <t>5.274.839,79</t>
  </si>
  <si>
    <t>1.111.374,18</t>
  </si>
  <si>
    <t>4.371.321,70</t>
  </si>
  <si>
    <t>CV. KENCANA MAKMUR MANDIRI</t>
  </si>
  <si>
    <t>RAFAKSI|Kencana Makmur Mandiri|0.00*</t>
  </si>
  <si>
    <t>1.004.059,25</t>
  </si>
  <si>
    <t>1.134.059,96</t>
  </si>
  <si>
    <t>CV. KARYA ADITAMA</t>
  </si>
  <si>
    <t>CON.REBATE|CV. KARYA ADITAMA TIMIKA|15.0</t>
  </si>
  <si>
    <t>CON.REBATE|PT.TIMIKA MAKMUR JAYA SENTOSA</t>
  </si>
  <si>
    <t>STELLA MTC REF ORANGE T. 160+65ML RJV</t>
  </si>
  <si>
    <t>3.666.746,21</t>
  </si>
  <si>
    <t>3.906.729,87</t>
  </si>
  <si>
    <t>STELLA MTC REF ORANGE 2X160ML MTP RJV</t>
  </si>
  <si>
    <t>3.453,71</t>
  </si>
  <si>
    <t>3.013.649,52</t>
  </si>
  <si>
    <t>POLYTEX K SAMPAH L 80x100</t>
  </si>
  <si>
    <t>11.109,73</t>
  </si>
  <si>
    <t>PT. PUTRA MATADOR TIMOR</t>
  </si>
  <si>
    <t>RAFAKSI|PT PUTRA MATADOR TIMOR|0.00*</t>
  </si>
  <si>
    <t>RAFAKSI|PT PUTRA MATADOR TIMOR SOE|0.00*</t>
  </si>
  <si>
    <t>PT. PUTRA MATADOR TIMOR - KUPANG</t>
  </si>
  <si>
    <t>RAFAKSI|PT. PUTRA MATADOR TIMOR KEFA|0.0</t>
  </si>
  <si>
    <t>GajiFeb26|PT. PUTRA MATADOR TIMOR|0.00</t>
  </si>
  <si>
    <t>GONDOLA|HYPER MULTI RETAILINDO|2.00*</t>
  </si>
  <si>
    <t>STELLA All in One CAFE LATTE 42+13gr</t>
  </si>
  <si>
    <t>563.560,34</t>
  </si>
  <si>
    <t>400.106,96</t>
  </si>
  <si>
    <t>HIT MAT GK NEW DEVICE CABLE 6s CLASSIC</t>
  </si>
  <si>
    <t>56.859,48</t>
  </si>
  <si>
    <t>KLINPAK CW Big Roll 500mx45cm</t>
  </si>
  <si>
    <t>2.420.042,20</t>
  </si>
  <si>
    <t>HIT AER LILY BLOSSOM 600+50ML EXTRA</t>
  </si>
  <si>
    <t>55.672,27</t>
  </si>
  <si>
    <t>1.553.025,42</t>
  </si>
  <si>
    <t>STELLA DF CAR+INDOOR ROSE KISS MTP RJV</t>
  </si>
  <si>
    <t>388.360,52</t>
  </si>
  <si>
    <t>3.997.215,54</t>
  </si>
  <si>
    <t>ZIRD03</t>
  </si>
  <si>
    <t>CV. INDO BANGKA PERKASA</t>
  </si>
  <si>
    <t>GAJI DES25|IBP</t>
  </si>
  <si>
    <t>CELEBRATION SEPT25|PANGKAL PINANG|15</t>
  </si>
  <si>
    <t>CON.REBATE|LOVE MART|15.00*</t>
  </si>
  <si>
    <t>RAFAKSI|CV INDO BANGKA PERKASA|0.00*</t>
  </si>
  <si>
    <t>CON.RABATE|LING LING|15</t>
  </si>
  <si>
    <t>CON.REBATE|ASOKA PKP|15.00*</t>
  </si>
  <si>
    <t>CON.REBATE|TEMAN JAYA|15.00*</t>
  </si>
  <si>
    <t>CON.REBATE|ACING JAYA|15.00*</t>
  </si>
  <si>
    <t>GONDOLA|CV. INDO BANGKA PERKASA PANGKAL</t>
  </si>
  <si>
    <t>LISTING|CV. INDO BANGKA PERKASA PANGKAL</t>
  </si>
  <si>
    <t>CELEBRATION DES25|IBP|15</t>
  </si>
  <si>
    <t>CON.REBATE|CV TEDJAYA MAKMURINDO|15.00*</t>
  </si>
  <si>
    <t>CON.REBATE|12|15.00*</t>
  </si>
  <si>
    <t>CON.REBATE|LING LING (TEMPILANG)|15.00*</t>
  </si>
  <si>
    <t>CON.REBATE|ANUGRAH GROSIR|15.00*</t>
  </si>
  <si>
    <t>CON.REBATE|JAILANI|15.00*</t>
  </si>
  <si>
    <t>CON.REBATE|ALPIN|15.00*</t>
  </si>
  <si>
    <t>CON.REBATE|HOI KHIN|15.00*</t>
  </si>
  <si>
    <t>CON.REBATE|MEGA MART 1|15.00*</t>
  </si>
  <si>
    <t>1.325.762,84</t>
  </si>
  <si>
    <t>4.460.072,66</t>
  </si>
  <si>
    <t>11.406,27</t>
  </si>
  <si>
    <t>2.911.462,82</t>
  </si>
  <si>
    <t>105.330,16</t>
  </si>
  <si>
    <t>3.693.797,97</t>
  </si>
  <si>
    <t>2.143,25</t>
  </si>
  <si>
    <t>3.646.390,56</t>
  </si>
  <si>
    <t>1.942.549,37</t>
  </si>
  <si>
    <t>PT.CAHAYA DISTRIBUSI SEJAHTERA</t>
  </si>
  <si>
    <t>927.831,80</t>
  </si>
  <si>
    <t>353.441,53</t>
  </si>
  <si>
    <t>16.374,96</t>
  </si>
  <si>
    <t>1.642.423,77</t>
  </si>
  <si>
    <t>PT. SURYA PANGAN SEJAHTERA</t>
  </si>
  <si>
    <t>GONDOLA|PT. NAGA SWALAYAN|10.00*</t>
  </si>
  <si>
    <t>RAFAKSI|PT. NAGA SWALAYAN</t>
  </si>
  <si>
    <t>CON.REBATE|PT.SURYA PANGAN SEJAHTERA BEK</t>
  </si>
  <si>
    <t>B2B|PT. RAMAYANA LESTARI SENTOSA|2.00*</t>
  </si>
  <si>
    <t>GONDOLA|PT.SURYA PANGAN SEJAHTERA BEKASI</t>
  </si>
  <si>
    <t>GONDOLA|TK CERIA INDAH|2.00*</t>
  </si>
  <si>
    <t>GONDOLA|TK HANSEN|2.00*</t>
  </si>
  <si>
    <t>GONDOLA|TK MULIA COS|2.00*</t>
  </si>
  <si>
    <t>GONDOLA|TK RATU KOSMETIK|2.00*</t>
  </si>
  <si>
    <t>GONDOLA|TK SUNJAYA|2.00*</t>
  </si>
  <si>
    <t>GONDOLA|TK SETIA JAYA|2.00*</t>
  </si>
  <si>
    <t>FIX REBATE|PT.SURYA PANGAN SEJAHTERA BEK</t>
  </si>
  <si>
    <t>CON.REBATE|PT. SURYA PANGAN SEJAHTERA|15</t>
  </si>
  <si>
    <t>LISTING|CV FENNY LESTARI|2.00*</t>
  </si>
  <si>
    <t>GONDOLA|TK CHRISTINE COS|2.00*</t>
  </si>
  <si>
    <t>6.767.073,56</t>
  </si>
  <si>
    <t>8.001.686,17</t>
  </si>
  <si>
    <t>44.952,34</t>
  </si>
  <si>
    <t>6.442.083,60</t>
  </si>
  <si>
    <t>46.365,85</t>
  </si>
  <si>
    <t>1.891.246,86</t>
  </si>
  <si>
    <t>8.942.540,06</t>
  </si>
  <si>
    <t>149.990,26</t>
  </si>
  <si>
    <t>4.820.882,03</t>
  </si>
  <si>
    <t>STELLA MTC REF LEMON 160+65ML RJV</t>
  </si>
  <si>
    <t>391,19</t>
  </si>
  <si>
    <t>4.436.070,82</t>
  </si>
  <si>
    <t>25.738,10</t>
  </si>
  <si>
    <t>3.417.600,18</t>
  </si>
  <si>
    <t>INC SLS DES25|PT. EKA ARTHA BUANA - MALA</t>
  </si>
  <si>
    <t>CON.REBATE|PT. EKA ARTHA BUANA MALANG_SE</t>
  </si>
  <si>
    <t>LISTING|PT. EKA ARTHA BUANA MALANG KOTA|</t>
  </si>
  <si>
    <t>CELEB DES25|PT. EKA ARTHA BUANA - MALANG</t>
  </si>
  <si>
    <t>CON.REBATE|PT. EKA ARTHA BUANA MALANG UT</t>
  </si>
  <si>
    <t>CON.REBATE|PT. EKA ARTHA BUANA MALANG KO</t>
  </si>
  <si>
    <t>INC SLS JAN26|PT. EKA ARTHA BUANA - MALA</t>
  </si>
  <si>
    <t>546.191,53</t>
  </si>
  <si>
    <t>Tagihan atas kelebihan claim discount on</t>
  </si>
  <si>
    <t>4.268.263,66</t>
  </si>
  <si>
    <t>5.079.149,37</t>
  </si>
  <si>
    <t>3.139.024,14</t>
  </si>
  <si>
    <t>3.922.749,39</t>
  </si>
  <si>
    <t>3.859.491,58</t>
  </si>
  <si>
    <t>11.994,87</t>
  </si>
  <si>
    <t>3.874,47</t>
  </si>
  <si>
    <t>2.131,83</t>
  </si>
  <si>
    <t>5.916.133,77</t>
  </si>
  <si>
    <t>8.025.136,10</t>
  </si>
  <si>
    <t>PT. CATUR SENTOSA ANUGERAH</t>
  </si>
  <si>
    <t>STELLA CLIP N TWIST AFTERSMOKE</t>
  </si>
  <si>
    <t>POLYTEX SABUT JARING 5K</t>
  </si>
  <si>
    <t>Carrera Motor Chain Lube 110 ml</t>
  </si>
  <si>
    <t>Stella Mini Matic Set G. Fantasy</t>
  </si>
  <si>
    <t>POLYTEX SPON REG JUM B2B PRO</t>
  </si>
  <si>
    <t>STELLA FUN N FRESH SAKURA BLOSSOM MTP1+1</t>
  </si>
  <si>
    <t>Carrera Penetrant XP 1000 200 ml</t>
  </si>
  <si>
    <t>HIT AER LAVENDER BREEZE 400ML</t>
  </si>
  <si>
    <t>MITU BABY SABUN 2IN1 F&amp;C HONEY 200ML BTL</t>
  </si>
  <si>
    <t>HIT AER COTTON POWDER 400ML</t>
  </si>
  <si>
    <t>HIT PIRAMIDA FLORAL BLOSSOM 10S</t>
  </si>
  <si>
    <t>FOGO LEMARI PAPER PRINCESS 12G</t>
  </si>
  <si>
    <t>STELLA FRESH PROTECT FAB SPRAY PP 245ML</t>
  </si>
  <si>
    <t>Fogo Lemari Floral 30 gr</t>
  </si>
  <si>
    <t>MITU BABY SABUN 2IN1F&amp;C HONEY 400ML REF</t>
  </si>
  <si>
    <t>MITU BABY SABUN 2IN1F&amp;C HONEY 200ML REF</t>
  </si>
  <si>
    <t>MITU BABY HAIR LOTION F&amp;C ALOE 100ML BTL</t>
  </si>
  <si>
    <t>POLYTEX SABUT SPON ANTI GORES ND</t>
  </si>
  <si>
    <t>SANITER SURFACE MULTIPURPOSE WIPES 40's</t>
  </si>
  <si>
    <t>POLYTEX PKT SBTSPON EBTL 2S NEW</t>
  </si>
  <si>
    <t>MAILER|PT CATUR SENTOSA ANUGERAH</t>
  </si>
  <si>
    <t>FIX REBATE|PT.CATUR SENTOSA ANUGERAH JAK</t>
  </si>
  <si>
    <t>CON REBATE|PT CATUR SENTOSA ANUGERAH</t>
  </si>
  <si>
    <t>CON.REBATE|PT.CATUR SENTOSA ANUGERAH JAK</t>
  </si>
  <si>
    <t>GONDOLA|PT.CATUR SENTOSA ANUGERAH JAKART</t>
  </si>
  <si>
    <t>RAFAKSI|PT CATUR SENTOSA ANUGERAH</t>
  </si>
  <si>
    <t>RAFAKSI|PT. CATUR SENTOSA ANUGERAH|0.00*</t>
  </si>
  <si>
    <t>RAFAKSI|PT.CATUR SENTOSA ANUGERAH|0.00*</t>
  </si>
  <si>
    <t>Promo Disc Off PO|PT. CATUR SENTOSAANUGE</t>
  </si>
  <si>
    <t>LISTING|PT CATUR SENTOSA ANUGERAH</t>
  </si>
  <si>
    <t>FIX REBATE|PT. CATUR SENTOSA ANUGERAH|15</t>
  </si>
  <si>
    <t>4.951.493,49</t>
  </si>
  <si>
    <t>ZI09</t>
  </si>
  <si>
    <t>2.500.269,87</t>
  </si>
  <si>
    <t>7.940,85</t>
  </si>
  <si>
    <t>6.973.777,65</t>
  </si>
  <si>
    <t>11.142.035,91</t>
  </si>
  <si>
    <t>7.420.065,97</t>
  </si>
  <si>
    <t>4.752.209,39</t>
  </si>
  <si>
    <t>10.400.089,19</t>
  </si>
  <si>
    <t>111.171,92</t>
  </si>
  <si>
    <t>3.566.082,44</t>
  </si>
  <si>
    <t>351.008,64</t>
  </si>
  <si>
    <t>STELLA DF CAR+INDOOR LILY DREAM RJV</t>
  </si>
  <si>
    <t>12.049.980,16</t>
  </si>
  <si>
    <t>4.139.287,64</t>
  </si>
  <si>
    <t>11.401.831,28</t>
  </si>
  <si>
    <t>1.659.736,07</t>
  </si>
  <si>
    <t>4.666.733,40</t>
  </si>
  <si>
    <t>4.894.684,42</t>
  </si>
  <si>
    <t>6.594.764,29</t>
  </si>
  <si>
    <t>38.649,31</t>
  </si>
  <si>
    <t>9.416.776,01</t>
  </si>
  <si>
    <t>5.505.914,57</t>
  </si>
  <si>
    <t>5.297.224,63</t>
  </si>
  <si>
    <t>6.195.731,33</t>
  </si>
  <si>
    <t>5.692.556,88</t>
  </si>
  <si>
    <t>3.679.161,40</t>
  </si>
  <si>
    <t>SANITER PERSONAL WIPES SANITIZER 50S</t>
  </si>
  <si>
    <t>4.311.935,95</t>
  </si>
  <si>
    <t>103.659,00</t>
  </si>
  <si>
    <t>Cancel CN 6955979|EC26006339</t>
  </si>
  <si>
    <t>5.218.745,02</t>
  </si>
  <si>
    <t>152.346,70</t>
  </si>
  <si>
    <t>474.564,96</t>
  </si>
  <si>
    <t>5.116.456,72</t>
  </si>
  <si>
    <t>65.291,44</t>
  </si>
  <si>
    <t>2.011.562,29</t>
  </si>
  <si>
    <t>8.263.884,30</t>
  </si>
  <si>
    <t>7.016.171,12</t>
  </si>
  <si>
    <t>6.378.524,71</t>
  </si>
  <si>
    <t>6.898.407,95</t>
  </si>
  <si>
    <t>LEM Lalat CapGajah Stick 12s New</t>
  </si>
  <si>
    <t>7.128.195,62</t>
  </si>
  <si>
    <t>8.548.065,80</t>
  </si>
  <si>
    <t>Sisa Netoff CN Cancel DN 31 Mar 26</t>
  </si>
  <si>
    <t>Krg byr 130426 potong CN6958643</t>
  </si>
  <si>
    <t>Sisa byr DN crossmonth</t>
  </si>
  <si>
    <t>LIEM LIAN FOENG</t>
  </si>
  <si>
    <t>UD MODERN</t>
  </si>
  <si>
    <t>GONDOLA|CV. PATMA|2.00*</t>
  </si>
  <si>
    <t>THRMaret26|LIEM LIAN FOENG|0.00</t>
  </si>
  <si>
    <t>CON.REBATE|HANDAYANI|15.00*</t>
  </si>
  <si>
    <t>CON.REBATE|SATIBI BU|15.00*</t>
  </si>
  <si>
    <t>CON.REBATE|TAMAN SISWA KOP|15.00*</t>
  </si>
  <si>
    <t>LISTING|PAMELLA|2.00*</t>
  </si>
  <si>
    <t>GajiMaret26|LIEM LIAN FOENG|0.00</t>
  </si>
  <si>
    <t>104.611,55</t>
  </si>
  <si>
    <t>1.637.740,55</t>
  </si>
  <si>
    <t>3.980.518,83</t>
  </si>
  <si>
    <t>2.345.727,95</t>
  </si>
  <si>
    <t>42.129,83</t>
  </si>
  <si>
    <t>97.323,91</t>
  </si>
  <si>
    <t>STELLA AER SECRET LAVENDER 175+25ML RJV</t>
  </si>
  <si>
    <t>3.008,69</t>
  </si>
  <si>
    <t>4.905,00</t>
  </si>
  <si>
    <t>DN atas CN6956354</t>
  </si>
  <si>
    <t>2.989.000,47</t>
  </si>
  <si>
    <t>21.864,69</t>
  </si>
  <si>
    <t>3.022.964,01</t>
  </si>
  <si>
    <t>2.790.042,76</t>
  </si>
  <si>
    <t>CV. MAKMUR ABADI</t>
  </si>
  <si>
    <t>CV. MAKMUR ABADI - PEKALONGAN</t>
  </si>
  <si>
    <t>LISTING|toko fety|2.00</t>
  </si>
  <si>
    <t>OTHERS|ADA SETIABUDI|2.00*</t>
  </si>
  <si>
    <t>OTHERS|ADA SILIWANGI|2.00*</t>
  </si>
  <si>
    <t>OTHERS|ADA MAJAPAHIT|2.00*</t>
  </si>
  <si>
    <t>GONDOLA|STAR SHOP|2.00*</t>
  </si>
  <si>
    <t>CON.REBATE|GOORI DEMAK|15.00*</t>
  </si>
  <si>
    <t>LISTING|ANEKA JAYA DEMAK 1|2.00</t>
  </si>
  <si>
    <t>LISTING|ANEKA JAYA DEMAK 2|2.00</t>
  </si>
  <si>
    <t>LISTING|ANEKA JAYA SAMBIROTO|2.00*</t>
  </si>
  <si>
    <t>LISTING|ANEKA JAYA BANDUNGREJO|2.00*</t>
  </si>
  <si>
    <t>LISTING|PRIMA SWALAYAN|2.00</t>
  </si>
  <si>
    <t>LISTING|Sama Sama|2.00*</t>
  </si>
  <si>
    <t>Inc.Salesman|CV. MAKMUR ABADI|15.00</t>
  </si>
  <si>
    <t>LISTING|CV. Makmur Abadi Kendal|2.00*</t>
  </si>
  <si>
    <t>GajiFeb26|CV. Makmur Abadi Kendal|0.00</t>
  </si>
  <si>
    <t>GONDOLA|ANEKA JAYA DEMAK 1|2.00*</t>
  </si>
  <si>
    <t>GONDOLA|ANEKA JAYA DEMAK 2|2.00*</t>
  </si>
  <si>
    <t>GONDOLA|GOORI GUNUNGPATI|2.00*</t>
  </si>
  <si>
    <t>GONDOLA|Aneka Jaya Kendal|2.00*</t>
  </si>
  <si>
    <t>GONDOLA|Sama Sama|2.00*</t>
  </si>
  <si>
    <t>GONDOLA|Nur Kholifah (Kosmetik)|2.00*</t>
  </si>
  <si>
    <t>GONDOLA|Al Mubarok|2.00*</t>
  </si>
  <si>
    <t>GONDOLA|Yani Kosmetik|2.00*</t>
  </si>
  <si>
    <t>GONDOLA|RB Mantep 2|2.00*</t>
  </si>
  <si>
    <t>GONDOLA|RB Mantep 1|2.00*</t>
  </si>
  <si>
    <t>GONDOLA|RAMAI SANTOSO SEJAHTERA|2.00*</t>
  </si>
  <si>
    <t>GONDOLA|BERLIAN BERKAH MULIA|2.00*</t>
  </si>
  <si>
    <t>Block Shelving |RAMAI SANTOSO SEJAHTERA|</t>
  </si>
  <si>
    <t>HIT AEROSOL LAVENDER BREEZE 750ML</t>
  </si>
  <si>
    <t>Promo Disc Off PO|CV.MAKMUR ABADI SEMARA</t>
  </si>
  <si>
    <t>B2B|CV.MAKMUR ABADI SEMARANG|2.00*</t>
  </si>
  <si>
    <t>FIX REBATE|CV.MAKMUR ABADI SEMARANG|15.0</t>
  </si>
  <si>
    <t>FIX REBATE|CV.MAKMUR ABADI SEMARANG|2.00</t>
  </si>
  <si>
    <t>CON.REBATE|LARIS AMBARAWA|15.00*</t>
  </si>
  <si>
    <t>CON.REBATE|TOKO ANEKA JAYA BATANG|15.00*</t>
  </si>
  <si>
    <t>7.588.821,12</t>
  </si>
  <si>
    <t>131.246,22</t>
  </si>
  <si>
    <t>2.697.925,71</t>
  </si>
  <si>
    <t>579.116,44</t>
  </si>
  <si>
    <t>26.901,07</t>
  </si>
  <si>
    <t>2.952.272,04</t>
  </si>
  <si>
    <t>10.106,99</t>
  </si>
  <si>
    <t>7.500.279,21</t>
  </si>
  <si>
    <t>2.341.897,87</t>
  </si>
  <si>
    <t>LEM Lalat Kertas CapGajah 3s</t>
  </si>
  <si>
    <t>7.012,18</t>
  </si>
  <si>
    <t>2.364,76</t>
  </si>
  <si>
    <t>3.447.585,03</t>
  </si>
  <si>
    <t>3.305.067,09</t>
  </si>
  <si>
    <t>STELLA DF CAR+INDOOR VANILLA TWIST MTP R</t>
  </si>
  <si>
    <t>2.171.407,29</t>
  </si>
  <si>
    <t>1.860.652,49</t>
  </si>
  <si>
    <t>8.667.458,33</t>
  </si>
  <si>
    <t>1.144.489,56</t>
  </si>
  <si>
    <t>25.273,55</t>
  </si>
  <si>
    <t>1.688.271,11</t>
  </si>
  <si>
    <t>66.173,80</t>
  </si>
  <si>
    <t>1.094,05</t>
  </si>
  <si>
    <t>PT. GALAXY INDAH JAYA</t>
  </si>
  <si>
    <t>Payment GCPI CN GDI GALAXY</t>
  </si>
  <si>
    <t>CON.REBATE|PT.EKA ARTHA BUANA BALI UTARA</t>
  </si>
  <si>
    <t>FIX REBATE|PT.EKA ARTHA BUANA BALI UTARA</t>
  </si>
  <si>
    <t>INC SLS JAN26|PT.EKA ARTHA BUANA - NEGAR</t>
  </si>
  <si>
    <t>CON.REBATE|PT.EKA ARTHA BUANA KLUNGKUNG|</t>
  </si>
  <si>
    <t>CON.REBATE|PT.EKA ARTHA BUANA NEGARA|15.</t>
  </si>
  <si>
    <t>CON.REBATE|PT.EKA ARTHA BUANA SINGARAJA|</t>
  </si>
  <si>
    <t>6.267.831,09</t>
  </si>
  <si>
    <t>6.262.903,36</t>
  </si>
  <si>
    <t>6.649.116,09</t>
  </si>
  <si>
    <t>6.893.519,85</t>
  </si>
  <si>
    <t>1.403.617,24</t>
  </si>
  <si>
    <t>1.259.418,10</t>
  </si>
  <si>
    <t>1.027.921,89</t>
  </si>
  <si>
    <t>48.896,19</t>
  </si>
  <si>
    <t>31,44</t>
  </si>
  <si>
    <t>279,42</t>
  </si>
  <si>
    <t>84,82</t>
  </si>
  <si>
    <t>6.625.768,93</t>
  </si>
  <si>
    <t>61.732,07</t>
  </si>
  <si>
    <t>3.139.820,77</t>
  </si>
  <si>
    <t>58.948,73</t>
  </si>
  <si>
    <t>1.339.094,96</t>
  </si>
  <si>
    <t>3.544.842,05</t>
  </si>
  <si>
    <t>STELLA AIO F.SENSATION 42+10GR RJV</t>
  </si>
  <si>
    <t>97.380,92</t>
  </si>
  <si>
    <t>9.028.777,25</t>
  </si>
  <si>
    <t>7.137.057,80</t>
  </si>
  <si>
    <t>8.446.957,24</t>
  </si>
  <si>
    <t>8.262.302,09</t>
  </si>
  <si>
    <t>POLYTEX SABUT JARING ANTI GORES NS</t>
  </si>
  <si>
    <t>7.412.957,77</t>
  </si>
  <si>
    <t>LISTING|PT.TRIYANTO SUKSES MANDIRI TASIK</t>
  </si>
  <si>
    <t>GONDOLA|PT.TRIYANTO SUKSES MANDIRI BANDU</t>
  </si>
  <si>
    <t>Block Shelving |PT.TRIYANTO SUKSES MANDI</t>
  </si>
  <si>
    <t>GONDOLA|PT.TRIYANTO SUKSES MANDIRI TASIK</t>
  </si>
  <si>
    <t>Inc.CelebOkt25|PT.TRIYANTO SUKSES MANDIR</t>
  </si>
  <si>
    <t>Inc.CelebNov25|PT.TRIYANTO SUKSES MANDIR</t>
  </si>
  <si>
    <t>Inc.celebDes|PT.TRIYANTO SUKSES MANDIRI|</t>
  </si>
  <si>
    <t>CON.REBATE|PT.TRIYANTO SUKSES MANDIRI TA</t>
  </si>
  <si>
    <t>COND.REBATE|PT.TRIYANTO SUKSES MANDIRI|1</t>
  </si>
  <si>
    <t>MAILER|PT.TRIYANTO SUKSES MANDIRI TASIKM</t>
  </si>
  <si>
    <t>RAFAKSI|PT.TRIYANTO SUKSES MANDIRI|0.00*</t>
  </si>
  <si>
    <t>RAFAKSI|PT. TRIYANTO SUKSES MANDIRI|0.00</t>
  </si>
  <si>
    <t>Inc.OMQ2|PT.TRIYANTO SUKSES MANDIRI|15.0</t>
  </si>
  <si>
    <t>GajiNov25|PT. TRIYANTO SUKSES MANDIRI|0.</t>
  </si>
  <si>
    <t>LISTING|PT.TRIYANTO SUKSES MANDIRI|2.00</t>
  </si>
  <si>
    <t>Block Shelving |HARJA GUNATAMA LESTARI|2</t>
  </si>
  <si>
    <t>Block Shelving |PT PANCA TOKMA LESTARI|2</t>
  </si>
  <si>
    <t>GajiSep25|PT. TRIYANTO SUKSES MANDIRI|0.</t>
  </si>
  <si>
    <t>GajiJan26|PT. TRIYANTO SUKSES MANDIRI|0.</t>
  </si>
  <si>
    <t>2.714.244,90</t>
  </si>
  <si>
    <t>1.460.872,86</t>
  </si>
  <si>
    <t>HIT MAGIC FLORAL 4+2S</t>
  </si>
  <si>
    <t>7.124.220,85</t>
  </si>
  <si>
    <t>HIT MAGIC LILY BLOSSOM 4+2S</t>
  </si>
  <si>
    <t>7.071.132,52</t>
  </si>
  <si>
    <t>1.475.813,38</t>
  </si>
  <si>
    <t>2.524.222,92</t>
  </si>
  <si>
    <t>1.984.796,68</t>
  </si>
  <si>
    <t>Autosol Metal polish  15g</t>
  </si>
  <si>
    <t>4.981,28</t>
  </si>
  <si>
    <t>169,81</t>
  </si>
  <si>
    <t>3.637.486,63</t>
  </si>
  <si>
    <t>1.365.472,76</t>
  </si>
  <si>
    <t>2.655.659,69</t>
  </si>
  <si>
    <t>6.754.484,49</t>
  </si>
  <si>
    <t>GONDOLA|CV. TERLAKSANA SUKSES MANDIRI CI</t>
  </si>
  <si>
    <t>LISTING|CV. TERLAKSANA SUKSES MANDIRI CI</t>
  </si>
  <si>
    <t>LISTING|CV. TERLAKSANA SUKSES MANDIRI|2.</t>
  </si>
  <si>
    <t>Inc.SAlesman|CV. TERLAKSANA SUKSES MANDI</t>
  </si>
  <si>
    <t>Inc.Salesman|CV. TERLAKSANA SUKSES MANDI</t>
  </si>
  <si>
    <t>MAILER|CV. TERLAKSANA SUKSES MANDIRI CIR</t>
  </si>
  <si>
    <t>RAFAKSI|CV. TERLAKSANA SUKSES MANDIRI|0.</t>
  </si>
  <si>
    <t>GajiNov25|CV. TERLAKSANA SUKSES MANDIRI|</t>
  </si>
  <si>
    <t>Inc.CelebDes25|CV. TERLAKSANA SUKSES MAN</t>
  </si>
  <si>
    <t>Inc.CelebAug25|CV. TERLAKSANA SUKSES MAN</t>
  </si>
  <si>
    <t>8.129.142,65</t>
  </si>
  <si>
    <t>28.052,45</t>
  </si>
  <si>
    <t>2.700.749,81</t>
  </si>
  <si>
    <t>5.864.225,57</t>
  </si>
  <si>
    <t>1.662.699,77</t>
  </si>
  <si>
    <t>34.896,86</t>
  </si>
  <si>
    <t>2.612.207,78</t>
  </si>
  <si>
    <t>2.474.750,64</t>
  </si>
  <si>
    <t>PT. MAKMUR MANDIRI PRATAMA</t>
  </si>
  <si>
    <t>3.024.932,11</t>
  </si>
  <si>
    <t>97.466,30</t>
  </si>
  <si>
    <t>2.676.270,52</t>
  </si>
  <si>
    <t>FIX REBATE|PT. MAKMUR MANDIRI PRATAMA BA</t>
  </si>
  <si>
    <t>RAFAKSI|PT AKUR PRATAMA|0.00*</t>
  </si>
  <si>
    <t>RAFAKSI|PT AKUR PRATAMA</t>
  </si>
  <si>
    <t>RAFAKSI|PT GRIYA PRATAMA|0.00*</t>
  </si>
  <si>
    <t>RAFAKSI|PT GRIYA PRATAMA</t>
  </si>
  <si>
    <t>RAFAKSI|BORMA DAGO|0.00*</t>
  </si>
  <si>
    <t>GONDOLA|PT GRIYA PRATAMA|2.00*</t>
  </si>
  <si>
    <t>GRAND OP|PT GRIYA PRATAMA|0.00*</t>
  </si>
  <si>
    <t>GRAND OP|PT AKUR PRATAMA|2.00*</t>
  </si>
  <si>
    <t>MAILER|PT. MAKMUR MANDIRI PRATAMA BANDUN</t>
  </si>
  <si>
    <t>Promo Disc Off PO|PT MAKMUR MANDIRI PRAT</t>
  </si>
  <si>
    <t>GONDOLA|PT HARJA GUNATAMA LESTARI|2.00*</t>
  </si>
  <si>
    <t>Promo Disc Off PO|PT HARJA GUNATAMA LEST</t>
  </si>
  <si>
    <t>Promo Disc Off PO|PT. MAKMUR MANDIRI PRA</t>
  </si>
  <si>
    <t>CON.REBATE|PT. MAKMUR MANDIRI PRATAMA BA</t>
  </si>
  <si>
    <t>RAFAKSI|PT AKUR PRATAMA|2.00*</t>
  </si>
  <si>
    <t>73.620,26</t>
  </si>
  <si>
    <t>8.142.848,53</t>
  </si>
  <si>
    <t>6.007.367,82</t>
  </si>
  <si>
    <t>9.571.602,22</t>
  </si>
  <si>
    <t>6.887.006,10</t>
  </si>
  <si>
    <t>14.967,42</t>
  </si>
  <si>
    <t>10.774.573,64</t>
  </si>
  <si>
    <t>10.093.287,94</t>
  </si>
  <si>
    <t>7.392.529,34</t>
  </si>
  <si>
    <t>6.104.974,05</t>
  </si>
  <si>
    <t>Pay 150426 CN cancel 6958978</t>
  </si>
  <si>
    <t>PT. SAERAH SURYA PERKASA - LAMONGAN</t>
  </si>
  <si>
    <t>INC KPI RD JUL-SEP25|SSP LAMONGAN</t>
  </si>
  <si>
    <t>PT. SAERAH SURYA PERKASA - BOJONEGO</t>
  </si>
  <si>
    <t>INC KPI RD JUL-SEP25|SSP BOJONEGORO</t>
  </si>
  <si>
    <t>PT. SAERAH SURYA PERKASA - SBY TIMU</t>
  </si>
  <si>
    <t>INC SLS KPI RD JUL-SEP25|SSP SBY TIMUR</t>
  </si>
  <si>
    <t>PT. SAERAH SURYA PERKASA - GRESIK</t>
  </si>
  <si>
    <t>CON.REBATE|PT. SAERAH SURYA PERKASA MOJO</t>
  </si>
  <si>
    <t>CARRERA SPON SABUT MOBIL</t>
  </si>
  <si>
    <t>CON.REBATE|PT.SAERAH SURYA PERKASA SIDOA</t>
  </si>
  <si>
    <t>CON.REBATE|PT. SAERAH SURYA PERKASA GRES</t>
  </si>
  <si>
    <t>CON.REBATE|PT Saerah Surya Perkasa|15.00</t>
  </si>
  <si>
    <t>INC SLS JAN26|SSP LAMONGAN</t>
  </si>
  <si>
    <t>CON.REBATE|PT. SAERAH SURYA PERKASA BOJO</t>
  </si>
  <si>
    <t>GONDOLA|PT. SAERAH SURYA PERKASA BOJONEG</t>
  </si>
  <si>
    <t>INC SLS JAN26|SSP BOJONEGORO</t>
  </si>
  <si>
    <t>Block Shelving |PT. SAERAH SURYA PERKASA</t>
  </si>
  <si>
    <t>INC SLS JAN26|SSP SBY TIMUR</t>
  </si>
  <si>
    <t>LISTING|PT.SAERAH SURYA PERKASA SIDOARJO</t>
  </si>
  <si>
    <t>LISTING PT SAERAH SURYA PERKASA</t>
  </si>
  <si>
    <t>LISTING|SAERAH SURYA PERKASA</t>
  </si>
  <si>
    <t>LISTING|PT. SAERAH SURYA PERKASA MOJOKER</t>
  </si>
  <si>
    <t>Promo Disc Off PO|PT.SAERAH SURYA PERKAS</t>
  </si>
  <si>
    <t>Block Shelving |PT.SAERAH SURYA PERKASA</t>
  </si>
  <si>
    <t>GONDOLA|PT.SAERAH SURYA PERKASA SURABAYA</t>
  </si>
  <si>
    <t>LISTING|PT.SAERAH SURYA PERKASA SURABAYA</t>
  </si>
  <si>
    <t>Klaim Biaya Peralihan Vendor Hit &amp; Stell</t>
  </si>
  <si>
    <t>LISTING|PT SAERAH SURYA PERKASA</t>
  </si>
  <si>
    <t>INC SLS DES25|PT SSP JOMBANG-MOJOKERTO</t>
  </si>
  <si>
    <t>INC SLS DES25|SSP LAMONGAN</t>
  </si>
  <si>
    <t>INC SLS DES25|SSP-BOJONEGORO</t>
  </si>
  <si>
    <t>INC SLS DES25|SSP SBY TIMUR</t>
  </si>
  <si>
    <t>CON.REBATE|PT. SAERAH SURYA PERKASA LAMO</t>
  </si>
  <si>
    <t>219.642,75</t>
  </si>
  <si>
    <t>5.430,03</t>
  </si>
  <si>
    <t>10.165,82</t>
  </si>
  <si>
    <t>6.465.173,82</t>
  </si>
  <si>
    <t>7.540.047,01</t>
  </si>
  <si>
    <t>3.962.794,31</t>
  </si>
  <si>
    <t>8.213.370,47</t>
  </si>
  <si>
    <t>1.773.280,66</t>
  </si>
  <si>
    <t>HIT MAGIC FRESH 10S</t>
  </si>
  <si>
    <t>10.076.385,59</t>
  </si>
  <si>
    <t>6.006.675,38</t>
  </si>
  <si>
    <t>1.502.469,36</t>
  </si>
  <si>
    <t>6.991.061,87</t>
  </si>
  <si>
    <t>7.443.360,92</t>
  </si>
  <si>
    <t>4.780.362,19</t>
  </si>
  <si>
    <t>49.367,92</t>
  </si>
  <si>
    <t>2.523.640,50</t>
  </si>
  <si>
    <t>6.518.203,18</t>
  </si>
  <si>
    <t>508,29</t>
  </si>
  <si>
    <t>3.482.275,64</t>
  </si>
  <si>
    <t>3.353,65</t>
  </si>
  <si>
    <t>69,53</t>
  </si>
  <si>
    <t>112.624,33</t>
  </si>
  <si>
    <t>5.685,78</t>
  </si>
  <si>
    <t>11.379.386,89</t>
  </si>
  <si>
    <t>5.287.932,04</t>
  </si>
  <si>
    <t>3.506,09</t>
  </si>
  <si>
    <t>1.885,58</t>
  </si>
  <si>
    <t>Carrera Spon Serba Guna</t>
  </si>
  <si>
    <t>10.086.661,80</t>
  </si>
  <si>
    <t>8.090.213,29</t>
  </si>
  <si>
    <t>3.716.078,34</t>
  </si>
  <si>
    <t>7.010.675,73</t>
  </si>
  <si>
    <t>7.475.526,72</t>
  </si>
  <si>
    <t>5.222.219,62</t>
  </si>
  <si>
    <t>9.790.910,04</t>
  </si>
  <si>
    <t>8.652.239,57</t>
  </si>
  <si>
    <t>1.517.080,20</t>
  </si>
  <si>
    <t>2.626,90</t>
  </si>
  <si>
    <t>8.515.072,36</t>
  </si>
  <si>
    <t>PT. RAFKA MANDIRI PRATAMA</t>
  </si>
  <si>
    <t>45 DAYS AFTER DATE OF INVOICE</t>
  </si>
  <si>
    <t>POLYTEX PKT SBT SPON REGULAR 2S ND</t>
  </si>
  <si>
    <t>STELLA MTC REF B. JASMINE S 160ML RJV</t>
  </si>
  <si>
    <t>HIT MAT GREEN TEA 18+9's (NP)</t>
  </si>
  <si>
    <t>STELLA AER APPLE 2X400ML MTP RJV</t>
  </si>
  <si>
    <t>STELLA MTC REF R.KENANGA 225ML RJV</t>
  </si>
  <si>
    <t>STELLA AER B. JASMINE S 400ML RJV</t>
  </si>
  <si>
    <t>STELLA AER SECRET LAVENDER 200 ML RJV</t>
  </si>
  <si>
    <t>HIT Liq Pouch GTea Extra 360ml</t>
  </si>
  <si>
    <t>STELLA AER ORANGE 2X400ML MTP RJV</t>
  </si>
  <si>
    <t>MITU BABY POWDER F&amp;C CLASSIC 200GR+50%</t>
  </si>
  <si>
    <t>POLYTEX SABUT SPON EXTRA KUAT</t>
  </si>
  <si>
    <t>HIT MAT GK REFILL 15S</t>
  </si>
  <si>
    <t>POLYTEX K SAMPAH XL 100x120</t>
  </si>
  <si>
    <t>GONDOLA|PT. CATUR SENTOSAANUGERAH|10.00*</t>
  </si>
  <si>
    <t>GONDOLA|PT.CATUR SENTOSA ANUGERAH JAMBI|</t>
  </si>
  <si>
    <t>CON.REBATE|PT.CATUR SENTOSA ANUGERAH JAM</t>
  </si>
  <si>
    <t>LISTING|PT.CATUR SENTOSA ANUGERAH JAMBI|</t>
  </si>
  <si>
    <t>ZI06</t>
  </si>
  <si>
    <t>PT.CATUR SENTOSA ANUGERAH</t>
  </si>
  <si>
    <t>PT. CATUR SENTOSA ANUGERAH - L.LING</t>
  </si>
  <si>
    <t>497,26</t>
  </si>
  <si>
    <t>928.493,03</t>
  </si>
  <si>
    <t>1.302.069,67</t>
  </si>
  <si>
    <t>HIT PIRAMIDA CLASSY LILY 10S</t>
  </si>
  <si>
    <t>1.518.048,68</t>
  </si>
  <si>
    <t>1.625.013,33</t>
  </si>
  <si>
    <t>874.377,57</t>
  </si>
  <si>
    <t>7.709.104,12</t>
  </si>
  <si>
    <t>767.140,76</t>
  </si>
  <si>
    <t>1.518.704,91</t>
  </si>
  <si>
    <t>2.976.592,48</t>
  </si>
  <si>
    <t>2.318.312,09</t>
  </si>
  <si>
    <t>1.576.730,78</t>
  </si>
  <si>
    <t>1.865.957,64</t>
  </si>
  <si>
    <t>9.577.522,24</t>
  </si>
  <si>
    <t>2.049.232,32</t>
  </si>
  <si>
    <t>651.239,05</t>
  </si>
  <si>
    <t>2.563.050,92</t>
  </si>
  <si>
    <t>5.218.269,60</t>
  </si>
  <si>
    <t>Proclin Bottle Regular 1000 ml</t>
  </si>
  <si>
    <t>PT.SUMBER JAYA ADIDAYA</t>
  </si>
  <si>
    <t>Insentif Sales Des25|PT. SUMBER JAYA ADI</t>
  </si>
  <si>
    <t>CON.REBATE|TK MEGARIA (FNP)|15.00*</t>
  </si>
  <si>
    <t>Smart Payer Feb26|PT. SUMBER JAYA ADIDAY</t>
  </si>
  <si>
    <t>Celebration Des25|PT. SUMBER JAYA ADIDAY</t>
  </si>
  <si>
    <t>CON.REBATE|TK MURAH MERIAH|15.00*</t>
  </si>
  <si>
    <t>BG 700jt Periode 01Apr26-31Mar27|PT. SUM</t>
  </si>
  <si>
    <t>RAFAKSI|PT. SUMBER JAYA ADIDAYA|0.00*</t>
  </si>
  <si>
    <t>2.240.528,66</t>
  </si>
  <si>
    <t>15.594,01</t>
  </si>
  <si>
    <t>1.867.080,22</t>
  </si>
  <si>
    <t>ZI23</t>
  </si>
  <si>
    <t>PT.DISTRIBUSI JAYA UTAMA</t>
  </si>
  <si>
    <t>Insentif Sales Okt25|PT. DISTRIBUSI JAYA</t>
  </si>
  <si>
    <t>Insentif Sales Nov25|PT. DISTRIBUSI JAYA</t>
  </si>
  <si>
    <t>POLYTEX MTP SPON EXTRA BERSIH ISI 3</t>
  </si>
  <si>
    <t>STE MTC REF FRESH&amp;PROTECT F.CITRUS 225ML</t>
  </si>
  <si>
    <t>STELLA AER LEMON 350ML RJV</t>
  </si>
  <si>
    <t>HIT AER JAPANESE SAKURA 600ML</t>
  </si>
  <si>
    <t>Insentif Sales Des25|PT. DISTRIBUSI JAYA</t>
  </si>
  <si>
    <t>UD. MITRA KENCANA</t>
  </si>
  <si>
    <t>STELLA AER JEJU ORANGE 2X350ML MTP</t>
  </si>
  <si>
    <t>1.146.779,81</t>
  </si>
  <si>
    <t>4.089.439,53</t>
  </si>
  <si>
    <t>1.427.712,66</t>
  </si>
  <si>
    <t>2.584.141,61</t>
  </si>
  <si>
    <t>4.856.787,22</t>
  </si>
  <si>
    <t>1.494.930,51</t>
  </si>
  <si>
    <t>ZI08</t>
  </si>
  <si>
    <t>CON.REBATE|PT.CATUR SENTOSA ANUGERAH LAM</t>
  </si>
  <si>
    <t>LISTING|PT.CATUR SENTOSA ANUGERAH LAMPUN</t>
  </si>
  <si>
    <t>1.053.010,27</t>
  </si>
  <si>
    <t>2.067.521,53</t>
  </si>
  <si>
    <t>5.936.754,88</t>
  </si>
  <si>
    <t>947.776,03</t>
  </si>
  <si>
    <t>572.932,96</t>
  </si>
  <si>
    <t>833.111,65</t>
  </si>
  <si>
    <t>1.162.089,79</t>
  </si>
  <si>
    <t>7.692.770,32</t>
  </si>
  <si>
    <t>3.943.830,41</t>
  </si>
  <si>
    <t>808.138,03</t>
  </si>
  <si>
    <t>CV. Duta Prima</t>
  </si>
  <si>
    <t>Cash Before Delivery</t>
  </si>
  <si>
    <t>Insentif Sales Nov24|CV. DUTA PRIMA - TO</t>
  </si>
  <si>
    <t>Celebration Jan-Feb25|CV. DUTA PRIMA - T</t>
  </si>
  <si>
    <t>Celebration Maret25|CV. DUTA PRIMA - TOL</t>
  </si>
  <si>
    <t>Insentif OM Q2|CV. DUTA PRIMA|15.00*</t>
  </si>
  <si>
    <t>Gaji Sales Juli25|CV. DUTA PRIMA|0.00*</t>
  </si>
  <si>
    <t>Gaji Sales Agustus25|CV. DUTA PRIMA|0.00</t>
  </si>
  <si>
    <t>Insentif Sales Agst25|CV. DUTA PRIMA - T</t>
  </si>
  <si>
    <t>Insentif Sales Sept25|CV. DUTA PRIMA - T</t>
  </si>
  <si>
    <t>Insentif Sales Jun25|CV. DUTA PRIMA - TO</t>
  </si>
  <si>
    <t>Gaji September25|CV. DUTA PRIMA|0.00*</t>
  </si>
  <si>
    <t>Insentif OM Q3|CV. DUTA PRIMA - TOLI-TOL</t>
  </si>
  <si>
    <t>HIT MAT CLASSIC 18+9's (NP)</t>
  </si>
  <si>
    <t>CV. DUTA PRIMA</t>
  </si>
  <si>
    <t>STELLA AER JEJU ORANGE 140ML</t>
  </si>
  <si>
    <t>STELLA MTC REF LEMON 160ML RJV</t>
  </si>
  <si>
    <t>POLYTEX K SAMPAH M 60x80</t>
  </si>
  <si>
    <t>STELLA DF CAR+INDOOR ROSE KISS RJV</t>
  </si>
  <si>
    <t>Insentif Sales Jan25|CV. DUTA PRIMA - TO</t>
  </si>
  <si>
    <t>Insentif Sales Feb25|CV. DUTA PRIMA - TO</t>
  </si>
  <si>
    <t>Insentif OM Q4|CV. DUTA PRIMA - TOLI-TOL</t>
  </si>
  <si>
    <t>Celebration Nov-Dec24|CV. DUTA PRIMA - T</t>
  </si>
  <si>
    <t>Insentif Sales Des24|CV. DUTA PRIMA - TO</t>
  </si>
  <si>
    <t>Gaji Sales Nov25|CV. DUTA PRIMA|0.00*</t>
  </si>
  <si>
    <t>Gaji Sales Okt25|CV. DUTA PRIMA|0.00*</t>
  </si>
  <si>
    <t>Net 6929010 dgn 9862251</t>
  </si>
  <si>
    <t>PT.MAKMUR MANDIRI UTAMA</t>
  </si>
  <si>
    <t>21 days from invoice date</t>
  </si>
  <si>
    <t>CON.REBATE|PT. MAKMUR MANDIRI UTAMA SUKA</t>
  </si>
  <si>
    <t>INC SLS JAN26|MMU SUKABUMI</t>
  </si>
  <si>
    <t>LISTING|DARUTAQWA|2.00*</t>
  </si>
  <si>
    <t>LISTING|MITRA</t>
  </si>
  <si>
    <t>GONDOLA|DARUTAQWA|2.00*</t>
  </si>
  <si>
    <t>GAJI SLS JAN 26|MMU SUKABUMI</t>
  </si>
  <si>
    <t>3.147.789,93</t>
  </si>
  <si>
    <t>1.862.177,16</t>
  </si>
  <si>
    <t>1.394.174,76</t>
  </si>
  <si>
    <t>216.149,10</t>
  </si>
  <si>
    <t>2.572.321,97</t>
  </si>
  <si>
    <t>ZI20</t>
  </si>
  <si>
    <t>PT. PILAR CATUR MAKMUR</t>
  </si>
  <si>
    <t>CON.REBATE|TOP MARKET|15.00*</t>
  </si>
  <si>
    <t>CON.REBATE|HOLIDAY ECO|15.00*</t>
  </si>
  <si>
    <t>Celebration Nov25|PT. PILAR CATUR MAKMUR</t>
  </si>
  <si>
    <t>PT. PILAR CATUR MAKMUR - KETAPANG</t>
  </si>
  <si>
    <t>CON.REBATE|TOKO ABC|15.00*</t>
  </si>
  <si>
    <t>CON.REBATE|ANEKA MART / BONG SUNG TET|15</t>
  </si>
  <si>
    <t>CON.REBATE|TUJUH BINTANG MART|15.00*</t>
  </si>
  <si>
    <t>CON.REBATE|WOMAN COSMETIC STORE|15.00*</t>
  </si>
  <si>
    <t>CON.REBATE|CV. ARLI|15.00*</t>
  </si>
  <si>
    <t>CON.REBATE|TOKO SAHAJA|15.00*</t>
  </si>
  <si>
    <t>CON.REBATE|ANEKA MART / BONG SUN TET|15.</t>
  </si>
  <si>
    <t>Reimburse Dekorasi Pohon Natal|HOLIDAY M</t>
  </si>
  <si>
    <t>CON.REBATE|INTAN MARKET 2|15.00*</t>
  </si>
  <si>
    <t>MD09</t>
  </si>
  <si>
    <t>Insentif Sales Des25|PT. PILAR CATUR MAK</t>
  </si>
  <si>
    <t>1.474,46</t>
  </si>
  <si>
    <t>2.159,35</t>
  </si>
  <si>
    <t>1.099.076,49</t>
  </si>
  <si>
    <t>1.894.791,02</t>
  </si>
  <si>
    <t>739.883,73</t>
  </si>
  <si>
    <t>1.784.079,47</t>
  </si>
  <si>
    <t>3.707.032,59</t>
  </si>
  <si>
    <t>4.604.624,60</t>
  </si>
  <si>
    <t>21.719,86</t>
  </si>
  <si>
    <t>1.640.215,10</t>
  </si>
  <si>
    <t>4.271.732,41</t>
  </si>
  <si>
    <t>1.343.998,00</t>
  </si>
  <si>
    <t>3.153,18</t>
  </si>
  <si>
    <t>11.037,34</t>
  </si>
  <si>
    <t>10.442,55</t>
  </si>
  <si>
    <t>2.130.248,80</t>
  </si>
  <si>
    <t>2.231.468,54</t>
  </si>
  <si>
    <t>16.103,88</t>
  </si>
  <si>
    <t>ZI15</t>
  </si>
  <si>
    <t>PT. TRI USAHA JAYA</t>
  </si>
  <si>
    <t>PT. TRI USAHA JAYA - SLEMAN-BANTUL</t>
  </si>
  <si>
    <t>GONDOLA|PT. TRI USAHA JAYA SLEMAN BANTUL</t>
  </si>
  <si>
    <t>PT. TRI USAHA JAYA - GROBOGAN</t>
  </si>
  <si>
    <t>LISTING|PT. TRI USAHA JAYA SLEMAN BANTUL</t>
  </si>
  <si>
    <t>RAFAKSI|PT. TRI USAHA JAYA|0.00*</t>
  </si>
  <si>
    <t>Inc.Salesman|PT. TRI USAHA JAYA|15.00</t>
  </si>
  <si>
    <t>PT. TRI USAHA JAYA - KUDUS 2</t>
  </si>
  <si>
    <t>PT. TRI USAHA JAYA - PATI 2</t>
  </si>
  <si>
    <t>LISTING|PT. TRI USAHA JAYA KUDUS|2.00*</t>
  </si>
  <si>
    <t>LISTING|PT. TRI USAHA JAYA|2.00</t>
  </si>
  <si>
    <t>COND.REBATE|PT. TRI USAHA JAYA|15.00</t>
  </si>
  <si>
    <t>CON.REBATE|PT. TRI USAHA JAYA KUDUS|15.0</t>
  </si>
  <si>
    <t>LISTING|PT. TRI USAHA JAYA PATI|2.00*</t>
  </si>
  <si>
    <t>PT. TRI USAHA JAYA - BLORA - REMBAN</t>
  </si>
  <si>
    <t>GONDOLA|PT. TRI USAHA JAYA KUDUS|2.00*</t>
  </si>
  <si>
    <t>GONDOLA|PT. TRI USAHA JAYA PATI|10.00*</t>
  </si>
  <si>
    <t>CON.REBATE|PT. TRI USAHA JAYA SLEMAN BAN</t>
  </si>
  <si>
    <t>CON.REBATE|PT. TRI USAHA JAYA PATI|15.00</t>
  </si>
  <si>
    <t>2.482.348,30</t>
  </si>
  <si>
    <t>PT. TRI USAHA JAYA - GROBOGAN 2</t>
  </si>
  <si>
    <t>1.531.266,87</t>
  </si>
  <si>
    <t>97.269,83</t>
  </si>
  <si>
    <t>4.823.016,49</t>
  </si>
  <si>
    <t>3.936.587,41</t>
  </si>
  <si>
    <t>8.817,57</t>
  </si>
  <si>
    <t>195.211,53</t>
  </si>
  <si>
    <t>351.024,56</t>
  </si>
  <si>
    <t>3.767.695,43</t>
  </si>
  <si>
    <t>4.754.326,31</t>
  </si>
  <si>
    <t>583.499,52</t>
  </si>
  <si>
    <t>2.733.744,05</t>
  </si>
  <si>
    <t>3.519.559,65</t>
  </si>
  <si>
    <t>MITU BABY PREMIUM GIFT SET</t>
  </si>
  <si>
    <t>35.868,10</t>
  </si>
  <si>
    <t>1.578.343,41</t>
  </si>
  <si>
    <t>22.239,60</t>
  </si>
  <si>
    <t>2.965.971,19</t>
  </si>
  <si>
    <t>71.736,19</t>
  </si>
  <si>
    <t>2.222.472,17</t>
  </si>
  <si>
    <t>3.066.742,99</t>
  </si>
  <si>
    <t>1.199.960,95</t>
  </si>
  <si>
    <t>34.831,97</t>
  </si>
  <si>
    <t>21.814,87</t>
  </si>
  <si>
    <t>5.837,48</t>
  </si>
  <si>
    <t>5.549,39</t>
  </si>
  <si>
    <t>4.032.221,34</t>
  </si>
  <si>
    <t>2.784.503,18</t>
  </si>
  <si>
    <t>1.119.578,83</t>
  </si>
  <si>
    <t>1.071.338,52</t>
  </si>
  <si>
    <t>2.542.803,56</t>
  </si>
  <si>
    <t>1.218.906,98</t>
  </si>
  <si>
    <t>5.202.393,29</t>
  </si>
  <si>
    <t>1.488.401,31</t>
  </si>
  <si>
    <t>1.783.802,96</t>
  </si>
  <si>
    <t>PT. TRI USAHA JAYA - KUDUS</t>
  </si>
  <si>
    <t>PT. MAKMUR MANDIRI UTAMA</t>
  </si>
  <si>
    <t>CON.REBATE|PT ASIA TRITUNGGAL JAYA|15.00</t>
  </si>
  <si>
    <t>CON REBATE|PT ASIA</t>
  </si>
  <si>
    <t>GONDOLA|AI NURJANAH|2.00*</t>
  </si>
  <si>
    <t>CON.REBATE|CV YOMA|15.00*</t>
  </si>
  <si>
    <t>GONDOLA|ROBI RACHMADI|2.00*</t>
  </si>
  <si>
    <t>Block Shelving |PT ASIA TRITUNGGAL JAYA|</t>
  </si>
  <si>
    <t>CON.REBATE|YOMA|15.00*</t>
  </si>
  <si>
    <t>Block Shelving |ASIA TRITUNGGAL JAYA|2.0</t>
  </si>
  <si>
    <t>GONDOLA|ASIA TRITUNGGAL JAYA|2.00*</t>
  </si>
  <si>
    <t>1.765.568,46</t>
  </si>
  <si>
    <t>1.837.435,84</t>
  </si>
  <si>
    <t>548,03</t>
  </si>
  <si>
    <t>2.949.246,33</t>
  </si>
  <si>
    <t>1.566.165,53</t>
  </si>
  <si>
    <t>4.095.683,15</t>
  </si>
  <si>
    <t>CV. SUMBER JAYA BHAKTITAMA</t>
  </si>
  <si>
    <t>RAFAKSI|CV. SUMBER JAYA BHAKTITAMA - BAC</t>
  </si>
  <si>
    <t>Insentif Sales Jan26|CV. SUMBER JAYA BHA</t>
  </si>
  <si>
    <t>CV. SENDISTAR UTAMA ABADI</t>
  </si>
  <si>
    <t>Insentif Sales Des25|CV. SENDISTAR UTAMA</t>
  </si>
  <si>
    <t>4.108.432,10</t>
  </si>
  <si>
    <t>3.701.815,46</t>
  </si>
  <si>
    <t>5.488,88</t>
  </si>
  <si>
    <t>4.373.656,00</t>
  </si>
  <si>
    <t>66.210,03</t>
  </si>
  <si>
    <t>4.013.201,09</t>
  </si>
  <si>
    <t>Net 6956516 dg 9103019362,9905801</t>
  </si>
  <si>
    <t>CV. MAKMUR PERMAI</t>
  </si>
  <si>
    <t>617.307,67</t>
  </si>
  <si>
    <t>140.597,00</t>
  </si>
  <si>
    <t>CV. INTI JAYA</t>
  </si>
  <si>
    <t>Insentif Sales Des25|CV. INTI JAYA|15.00</t>
  </si>
  <si>
    <t>Insentif Sales Jan26|CV. INTI JAYA|15.00</t>
  </si>
  <si>
    <t>RAFAKSI|inti jaya|0.00*</t>
  </si>
  <si>
    <t>2.589.048,54</t>
  </si>
  <si>
    <t>3.296.327,64</t>
  </si>
  <si>
    <t>PT.MITRA UTAMA NUSA SANGIHE</t>
  </si>
  <si>
    <t>6.472,72</t>
  </si>
  <si>
    <t>8.300,22</t>
  </si>
  <si>
    <t>778.899,68</t>
  </si>
  <si>
    <t>PT. KARYA SUKSES PERMATA - BATAM</t>
  </si>
  <si>
    <t>VAT Different 9914809</t>
  </si>
  <si>
    <t>VAT Different 9914854</t>
  </si>
  <si>
    <t>VAT Different 9914855</t>
  </si>
  <si>
    <t>VAT Different 9914856</t>
  </si>
  <si>
    <t>VAT Different 9914857</t>
  </si>
  <si>
    <t>VAT Different 9917498</t>
  </si>
  <si>
    <t>VAT Different 9918442</t>
  </si>
  <si>
    <t>VAT Different 9918546</t>
  </si>
  <si>
    <t>VAT Different 9920034</t>
  </si>
  <si>
    <t>VAT Different 9921348</t>
  </si>
  <si>
    <t>INC JAN26|KSP BATAM|15</t>
  </si>
  <si>
    <t>Promo Disc Off PO|PT. KARYA SUKSES PERMA</t>
  </si>
  <si>
    <t>B2B|PT. KARYA SUKSES PERMATA BATAM|2.00*</t>
  </si>
  <si>
    <t>CON.REBATE|TOP 100 SEJATI SPM|15.00*</t>
  </si>
  <si>
    <t>CON.REBATE|VICTORIA KAVLING LAMA|15.00*</t>
  </si>
  <si>
    <t>CON.REBATE|JODOH CENTER BALOI|15.00*</t>
  </si>
  <si>
    <t>CON.REBATE|VICTORIA TIBAN|15.00*</t>
  </si>
  <si>
    <t>CON.REBATE|BPS NAGOYA TK|15.00*</t>
  </si>
  <si>
    <t>CON.REBATE|ROYAL SUPERMARKET DAPUR 12|15</t>
  </si>
  <si>
    <t>CON.REBATE|SUPER MURAH 8000 TK|15.00*</t>
  </si>
  <si>
    <t>CON.REBATE|GLOBAL SUN TK|15.00*</t>
  </si>
  <si>
    <t>CON.REBATE|SUPERMARKET EMERALD|15.00*</t>
  </si>
  <si>
    <t>CON.REBATE|AAN GROSIR 3 MART|15.00*</t>
  </si>
  <si>
    <t>CON.REBATE|BEST MART MM|15.00*</t>
  </si>
  <si>
    <t>CON.REBATE|SAHABAT NATO|15.00*</t>
  </si>
  <si>
    <t>CON.REBATE|INTER SUPERMARKET|15.00*</t>
  </si>
  <si>
    <t>CON.REBATE|ECO MART|15.00*</t>
  </si>
  <si>
    <t>CON.REBATE|DELIMA INDAH|15.00*</t>
  </si>
  <si>
    <t>CON.REBATE|PEN JAYA SUKSES MANDIRI|15.00</t>
  </si>
  <si>
    <t>CON.REBATE|CV PEN JAYA SUKSES MANDIRI|15</t>
  </si>
  <si>
    <t>27.300,00-</t>
  </si>
  <si>
    <t>STELLA FUN &amp; FRESH SAKURA BLOSSOM SP</t>
  </si>
  <si>
    <t>4.875.514,41</t>
  </si>
  <si>
    <t>3.229.041,22</t>
  </si>
  <si>
    <t>3.393.131,14</t>
  </si>
  <si>
    <t>STELLA POCKET BATHROOM BLUE RJV</t>
  </si>
  <si>
    <t>3.030.531,97</t>
  </si>
  <si>
    <t>NYU CREME HC COPPERY BROWN (S)</t>
  </si>
  <si>
    <t>2.776.768,94</t>
  </si>
  <si>
    <t>5.261.768,43</t>
  </si>
  <si>
    <t>4.732.795,60</t>
  </si>
  <si>
    <t>4.712.282,56</t>
  </si>
  <si>
    <t>4.977.976,44</t>
  </si>
  <si>
    <t>4.375.189,41</t>
  </si>
  <si>
    <t>46.627,86</t>
  </si>
  <si>
    <t>4.195.197,14</t>
  </si>
  <si>
    <t>STELLA FUN &amp; FRESH FRUITY N FRESH</t>
  </si>
  <si>
    <t>4.414.040,47</t>
  </si>
  <si>
    <t>3.382.443,04</t>
  </si>
  <si>
    <t>5.774.599,53</t>
  </si>
  <si>
    <t>4.766.723,04</t>
  </si>
  <si>
    <t>DEWATA MULTI PERKASA</t>
  </si>
  <si>
    <t>740.417,06</t>
  </si>
  <si>
    <t>INv 9909997 Jto 4 May</t>
  </si>
  <si>
    <t>LISTING|PT. LIGO MITRA JAYA|2.00*</t>
  </si>
  <si>
    <t>LISTING|CITRA NIAGA ADIS|2.00*</t>
  </si>
  <si>
    <t>LISTING|CITRA NIAGA KOBAR|2.00*</t>
  </si>
  <si>
    <t>Insentif Sales Jan26|PT. PILAR CATUR MAK</t>
  </si>
  <si>
    <t>GONDOLA|PT. EKARIC BERSAUDARA|10.00*</t>
  </si>
  <si>
    <t>GONDOLA|PT. ROYAL HARAPAN CITRA RITELIND</t>
  </si>
  <si>
    <t>CON.REBATE|GARUDA MITRA|15.00*</t>
  </si>
  <si>
    <t>CON.REBATE|PT. EKARIC CITRA RITELINDO|15</t>
  </si>
  <si>
    <t>CON.REBATE|PT. EKARIC DWI PUTRA|15.00*</t>
  </si>
  <si>
    <t>CON.REBATE|PT. EKARIC BERSAUDARA|15.00*</t>
  </si>
  <si>
    <t>CON.REBATE|SANGAT MANIS. MM|15.00*</t>
  </si>
  <si>
    <t>CON.REBATE|PT. ROYAL HARAPAN CITRA RITEL</t>
  </si>
  <si>
    <t>CON.REBATE|PT. MITRA RITELINDO LESTARI|1</t>
  </si>
  <si>
    <t>CON.REBATE|CV. DAYA AGUNG|15.00*</t>
  </si>
  <si>
    <t>CON.REBATE|CV. THEO (IDOL)|15.00*</t>
  </si>
  <si>
    <t>CON.REBATE|ATENG / CV. JAYA WIJAYA BERSA</t>
  </si>
  <si>
    <t>CON.REBATE|PT. KAISAR PERDANA MAKMUR|15.</t>
  </si>
  <si>
    <t>GONDOLA|PT. EKARIC DWI PUTRA|10.00*</t>
  </si>
  <si>
    <t>GONDOLA|PT. LIGO MITRA JAYA|10.00*</t>
  </si>
  <si>
    <t>LISTING|PT. EKARIC CITRA RETAILINDO|2.00</t>
  </si>
  <si>
    <t>RAFAKSI|PT. PILAR CATUR MAKMUR PONTIANAK</t>
  </si>
  <si>
    <t>LISTING|CV. THEO (IDOL)|2.00*</t>
  </si>
  <si>
    <t>CON.REBATE|CV. IHSAN MAJU BERSAMA|15.00*</t>
  </si>
  <si>
    <t>LISTING|CV. DAYA AGUNG|2.00*</t>
  </si>
  <si>
    <t>CON.REBATE|PT. CITRA RETAIL OPTIMAL|15.0</t>
  </si>
  <si>
    <t>LISTING|CV. BORNEO FRESH|2.00*</t>
  </si>
  <si>
    <t>RAFAKSI|PT. LIGO MITRA JAYA|0.00*</t>
  </si>
  <si>
    <t>CON.REBATE|TK. MANURUNG|15.00*</t>
  </si>
  <si>
    <t>CON.REBATE|CORY MAX|15.00*</t>
  </si>
  <si>
    <t>CON.REBATE|IHSAN MART|15.00*</t>
  </si>
  <si>
    <t>CON.REBATE|PT. EKARIC CITRA RETAILINDO|1</t>
  </si>
  <si>
    <t>Celebration Jan26|PT. PILAR CATUR MAKMUR</t>
  </si>
  <si>
    <t>3.394.909,45</t>
  </si>
  <si>
    <t>3.265.178,33</t>
  </si>
  <si>
    <t>3.198.538,93</t>
  </si>
  <si>
    <t>2.982.948,08</t>
  </si>
  <si>
    <t>Proclin Bottle Regular 200 ml</t>
  </si>
  <si>
    <t>2.965.166,47</t>
  </si>
  <si>
    <t>1.915.051,79</t>
  </si>
  <si>
    <t>5.315.532,27</t>
  </si>
  <si>
    <t>6.152.085,52</t>
  </si>
  <si>
    <t>7.351,71</t>
  </si>
  <si>
    <t>3.048,91</t>
  </si>
  <si>
    <t>9.780,81</t>
  </si>
  <si>
    <t>1.016.360,49</t>
  </si>
  <si>
    <t>KLINPAK Cling Wrap Jumbo</t>
  </si>
  <si>
    <t>5.346.965,77</t>
  </si>
  <si>
    <t>4.904.892,02</t>
  </si>
  <si>
    <t>21.971,07</t>
  </si>
  <si>
    <t>5.503.967,08</t>
  </si>
  <si>
    <t>15.399,70</t>
  </si>
  <si>
    <t>CV. AGUNG RAYA LESTARI</t>
  </si>
  <si>
    <t>Price Protection|CV. AGUNG RAYA LESTARI|</t>
  </si>
  <si>
    <t>191.139,06</t>
  </si>
  <si>
    <t>3.480.456,99</t>
  </si>
  <si>
    <t>333,29</t>
  </si>
  <si>
    <t>ZI02</t>
  </si>
  <si>
    <t>PT. EXCELLENT KENCANA</t>
  </si>
  <si>
    <t>CON.REBATE|KIM KOSMETIK|15.00*</t>
  </si>
  <si>
    <t>CON.REBATE|ROLL MART|15.00*</t>
  </si>
  <si>
    <t>CON.REBATE|AILING|15.00*</t>
  </si>
  <si>
    <t>CON.REBATE|KENZIE SWALAYAN|15.00*</t>
  </si>
  <si>
    <t>CON.REBATE|SITI BIMA MART|15.00*</t>
  </si>
  <si>
    <t>INC AGT25|EKA|15</t>
  </si>
  <si>
    <t>CELEBRATION JUNI25|EKA BRASTAGI|15</t>
  </si>
  <si>
    <t>PT. EXCELLENT KENCANA - LANGSA</t>
  </si>
  <si>
    <t>CELEBRATION JUN25|EKA BIREUN|15</t>
  </si>
  <si>
    <t>PT. EXCELLENT KENCANA - BANDA ACEH</t>
  </si>
  <si>
    <t>CON.REBATE|CV KILAU PERMATA SEJ|15.00*</t>
  </si>
  <si>
    <t>CON.REBATE|DIAMOBND KW|15.00*</t>
  </si>
  <si>
    <t>CON.REBATE|happy swalayan|15.00*</t>
  </si>
  <si>
    <t>CON.REBATE|atlanta|15.00*</t>
  </si>
  <si>
    <t>CON.REBATE|ANEKA RAGAM|15.00*</t>
  </si>
  <si>
    <t>CON.REBATE|JASA DELIMA|15.00*</t>
  </si>
  <si>
    <t>CON.REBATE|CITRA COSMETIC|15.00*</t>
  </si>
  <si>
    <t>CON.REBATE|BARUNGU JAYA|15.00*</t>
  </si>
  <si>
    <t>CON.REBATE|FASCO MM|15.00*</t>
  </si>
  <si>
    <t>CON.REBATE|MM RAYON BARU|15.00*</t>
  </si>
  <si>
    <t>CON.REBATE|TK. MURSAL|15.00*</t>
  </si>
  <si>
    <t>CON.REBATE|ZATUL MUNA|15.00*</t>
  </si>
  <si>
    <t>CON.REBATE|TIA JAYA|15.00*</t>
  </si>
  <si>
    <t>CON.REBATE|HEPPY|15.00*</t>
  </si>
  <si>
    <t>CON.REBATE|SUMBER PLASTIK|15.00*</t>
  </si>
  <si>
    <t>CON.REBATE|BERINGIN JAYA|15.00*</t>
  </si>
  <si>
    <t>CON.REBATE|KM SOLID|15.00*</t>
  </si>
  <si>
    <t>CON.REBATE|TIMUR JAYA MM|15.00*</t>
  </si>
  <si>
    <t>CON.REBATE|ROLL MART / ROLI MART|15.00*</t>
  </si>
  <si>
    <t>CON.REBATE|JAYA BARU|15.00*</t>
  </si>
  <si>
    <t>CON.REBATE|SUBUR BARU|15.00*</t>
  </si>
  <si>
    <t>CON.REBATE|BINA SETIA BUDI|15.00*</t>
  </si>
  <si>
    <t>CON.REBATE|BINA KARYA|15.00*</t>
  </si>
  <si>
    <t>CON.REBATE|DELI BARU|15.00*</t>
  </si>
  <si>
    <t>CON.REBATE|GLORIA|15.00*</t>
  </si>
  <si>
    <t>CON.REBATE|METRO SWALAYAN|15.00*</t>
  </si>
  <si>
    <t>CON.REBATE|MAHMAL MART|15.00*</t>
  </si>
  <si>
    <t>CON.REBATE|AJ ABADI|15.00*</t>
  </si>
  <si>
    <t>CON.REBATE|sari|15.00*</t>
  </si>
  <si>
    <t>CON.REBATE|PT sun kado mabar|15.00*</t>
  </si>
  <si>
    <t>CON.REBATE|MAJU BERSAMA GLUGUR|15.00*</t>
  </si>
  <si>
    <t>CON.REBATE|KEMANG INDAH PASAR BUAH|15.00</t>
  </si>
  <si>
    <t>CON.REBATE|CV.PONDOK INDAH PASAR BUAH|15</t>
  </si>
  <si>
    <t>CON.REBATE|CEMARA ASRI PASAR BUAH|15.00*</t>
  </si>
  <si>
    <t>CON.REBATE|K.M SOLID PERKASA|15.00*</t>
  </si>
  <si>
    <t>CON.REBATE|IRIAN|15.00*</t>
  </si>
  <si>
    <t>CON.REBATE|ISTANA SWALAYAN|15.00*</t>
  </si>
  <si>
    <t>CON.REBATE|VICTORY|15.00*</t>
  </si>
  <si>
    <t>CON.REBATE|WILLOW|15.00*</t>
  </si>
  <si>
    <t>CON.REBATE|AROMA SUPERMARKET|15.00*</t>
  </si>
  <si>
    <t>CON.REBATE|TOSERBA SWALAYAN|15.00*</t>
  </si>
  <si>
    <t>CON.REBATE|RR mini market|15.00*</t>
  </si>
  <si>
    <t>CON.REBATE|AA MARKET|15.00*</t>
  </si>
  <si>
    <t>CON.REBATE|UD OSAKA|15.00*</t>
  </si>
  <si>
    <t>CON.REBATE|pondok indah|15.00*</t>
  </si>
  <si>
    <t>CON.REBATE|MAJU BERSAMA|15.00*</t>
  </si>
  <si>
    <t>CON.REBATE|bali kado johor|15.00*</t>
  </si>
  <si>
    <t>CON.REBATE|bina karya|15.00*</t>
  </si>
  <si>
    <t>CON.REBATE|asri pasar buah|15.00*</t>
  </si>
  <si>
    <t>CON.REBATE|metro swalayan|15.00*</t>
  </si>
  <si>
    <t>CON.REBATE|gloria swalayan|15.00*</t>
  </si>
  <si>
    <t>CON.REBATE|mandiri exspress|15.00*</t>
  </si>
  <si>
    <t>CON.REBATE|irian|15.00*</t>
  </si>
  <si>
    <t>CON.REBATE|tiara|15.00*</t>
  </si>
  <si>
    <t>CON.REBATE|CV ASAHAN CAHAYA FAJAR|15.00*</t>
  </si>
  <si>
    <t>CON.REBATE|bina johor|15.00*</t>
  </si>
  <si>
    <t>CON.REBATE|oke supermarket tamora|15.00*</t>
  </si>
  <si>
    <t>CON.REBATE|victory|15.00*</t>
  </si>
  <si>
    <t>CON.REBATE|anugrah jaya bersama|15.00*</t>
  </si>
  <si>
    <t>CON.REBATE|oke mart|15.00*</t>
  </si>
  <si>
    <t>CON.REBATE|aliang|15.00*</t>
  </si>
  <si>
    <t>CON.REBATE|JUNTAK KOSMETIK|15.00*</t>
  </si>
  <si>
    <t>CON.REBATE|CV IRAMA HOUSE|15.00*</t>
  </si>
  <si>
    <t>CON.REBATE|ATLANTA|15.00*</t>
  </si>
  <si>
    <t>CON.REBATE|ANEKA BARU|15.00*</t>
  </si>
  <si>
    <t>CON.REBATE|ANEKA WARNA|15.00*</t>
  </si>
  <si>
    <t>CON.REBATE|TRI JAYA|15.00*</t>
  </si>
  <si>
    <t>CON.REBATE|BINTANG JAYA MAKMUR|15.00*</t>
  </si>
  <si>
    <t>CON.REBATE|ARWANA|15.00*</t>
  </si>
  <si>
    <t>CON.REBATE|ALIANG|15.00*</t>
  </si>
  <si>
    <t>CON.REBATE|ANDI SUKSES|15.00*</t>
  </si>
  <si>
    <t>CON.REBATE|CV SEMPURNA ABADI|15.00*</t>
  </si>
  <si>
    <t>CON.REBATE|DEVI|15.00*</t>
  </si>
  <si>
    <t>CON.REBATE|ANGGEL|15.00*</t>
  </si>
  <si>
    <t>CON.REBATE|ARIF JAYA|15.00*</t>
  </si>
  <si>
    <t>CON.REBATE|SYIFA|15.00*</t>
  </si>
  <si>
    <t>CON.REBATE|MURSAL|15.00*</t>
  </si>
  <si>
    <t>CON.REBATE|SINAR DUNIA|15.00*</t>
  </si>
  <si>
    <t>CON.REBATE|ARUN BUNGA LESTA|15.00*</t>
  </si>
  <si>
    <t>PT. EXCELLENT KENCANA - BIREUN</t>
  </si>
  <si>
    <t>PT. EXCELLENT KENCANA - LHOKSEUMAWE</t>
  </si>
  <si>
    <t>PT. EXCELLENT KENCANA - PEKANBARU</t>
  </si>
  <si>
    <t>LISTING|HAPPY MM|2</t>
  </si>
  <si>
    <t>LISTING|IDO SWALAYAN SIMALINGKAR|2.00*</t>
  </si>
  <si>
    <t>LISTING|CV.K.M.SOLID PERKASA|2</t>
  </si>
  <si>
    <t>LISTING|SMARCO MANDIRI SUKSES|2.00*</t>
  </si>
  <si>
    <t>Block Shelving |BINA SETIA BUDI|2.00*</t>
  </si>
  <si>
    <t>FIX REBATE|PT. EXCELLENT KENCANA|15.00*</t>
  </si>
  <si>
    <t>Block Shelving |PT MITRA BELANJA ANDA|2.</t>
  </si>
  <si>
    <t>Block Shelving |SMARCO MANDIRI SUKSES|2.</t>
  </si>
  <si>
    <t>CON.REBATE|RAZAN. TOKO OBAT|15.00*</t>
  </si>
  <si>
    <t>CON.REBATE|CV. SAMA JAYA SWALAY|15.00*</t>
  </si>
  <si>
    <t>CON.REBATE|ANISA SHOP COSMETIC|15.00*</t>
  </si>
  <si>
    <t>CON.REBATE|ASWIN (5)|15.00*</t>
  </si>
  <si>
    <t>CON.REBATE|ACHUN|15.00*</t>
  </si>
  <si>
    <t>CON.REBATE|MARHADI|15.00*</t>
  </si>
  <si>
    <t>CON.REBATE|ANDIKA|15.00*</t>
  </si>
  <si>
    <t>CON.REBATE|S.PASARIBU|15.00*</t>
  </si>
  <si>
    <t>CON.REBATE|ARAFAH MART|15.00*</t>
  </si>
  <si>
    <t>CON.REBATE|ALIMA|15.00*</t>
  </si>
  <si>
    <t>CON.REBATE|AISYAH|15.00*</t>
  </si>
  <si>
    <t>LISTING|SONY|2</t>
  </si>
  <si>
    <t>CON.REBATE|SMARCO|15</t>
  </si>
  <si>
    <t>CON.REBATE|IRIAN GROUP|15</t>
  </si>
  <si>
    <t>CON.REBATE|safana|15.00*</t>
  </si>
  <si>
    <t>CON.REBATE|panama|15.00*</t>
  </si>
  <si>
    <t>CON.REBATE|BUDI|15.00*</t>
  </si>
  <si>
    <t>CON.REBATE|indri|15.00*</t>
  </si>
  <si>
    <t>CON.REBATE|smarco sukses|15.00*</t>
  </si>
  <si>
    <t>CON.REBATE|ARON|15.00*</t>
  </si>
  <si>
    <t>CON.REBATE|SAQINA 2|15.00*</t>
  </si>
  <si>
    <t>CON.REBATE|MOGANA|15.00*</t>
  </si>
  <si>
    <t>CON.REBATE|ARISMA|15.00*</t>
  </si>
  <si>
    <t>CON.REBATE|KASYI|15.00*</t>
  </si>
  <si>
    <t>CON.REBATE|TUNAS BARU|15.00*</t>
  </si>
  <si>
    <t>CON.REBATE|SAQINA|15.00*</t>
  </si>
  <si>
    <t>CON.REBATE|ALAN|15.00*</t>
  </si>
  <si>
    <t>GONDOLA|LOTTE MART|2.00*</t>
  </si>
  <si>
    <t>FIX REBATE|PT. EXCELLENT KENCANA|2.00*</t>
  </si>
  <si>
    <t>Block Shelving |CV TRI SAKTI PERKASA|2.0</t>
  </si>
  <si>
    <t>Block Shelving |CV. TIGA M SUKSES ABADI|</t>
  </si>
  <si>
    <t>Block Shelving |PT. METRO ABADI SEMPURNA</t>
  </si>
  <si>
    <t>GONDOLA|IRIAN BAHAGIA|2.00*</t>
  </si>
  <si>
    <t>GONDOLA|IRIAN AKSARA|2.00*</t>
  </si>
  <si>
    <t>GONDOLA|IRIAN KARYA|2.00*</t>
  </si>
  <si>
    <t>Block Shelving |BRASTAGI GROUP|2.00*</t>
  </si>
  <si>
    <t>Block Shelving |CV ASAHAN CAHAYA FAJAR|2</t>
  </si>
  <si>
    <t>GONDOLA|WILLOW MART|2.00*</t>
  </si>
  <si>
    <t>GONDOLA|pt pasar buah 88|2.00*</t>
  </si>
  <si>
    <t>RAFAKSI|PT EXCELLENT KENCANA|0.00*</t>
  </si>
  <si>
    <t>LISTING|OKE SUPERMARKET SIMALINGKAR|2.00</t>
  </si>
  <si>
    <t>LISTING|SUPER SETIA SAGITA|2</t>
  </si>
  <si>
    <t>LISTING|SUPER SETIA SAGITA|2.00*</t>
  </si>
  <si>
    <t>LISTING|SUZUYA BINJAI|2</t>
  </si>
  <si>
    <t>LISTING|PLANGKARAYA SEMI MART|2</t>
  </si>
  <si>
    <t>LISTING|CV.K.M.SOLID PERKASA|2.00*</t>
  </si>
  <si>
    <t>LISTING|CV.MANDIRI EXPRESS MART|2.00*</t>
  </si>
  <si>
    <t>LISTING|MAJU BERSAMA|2.00*</t>
  </si>
  <si>
    <t>LISTING|SUN SUPERMARKET|2.00*</t>
  </si>
  <si>
    <t>LISTING|OKE SUPERMARKET|2.00*</t>
  </si>
  <si>
    <t>LISTING|RR MINI MARKET|2</t>
  </si>
  <si>
    <t>PENGIRIMAN ANDALAS OKT25|EXCELLENT|2</t>
  </si>
  <si>
    <t>PENGIRIMAN ANDALAS NOV25|EXCELLENT|2*</t>
  </si>
  <si>
    <t>CON.REBATE|TIGA PUTRA JAYA|15.00*</t>
  </si>
  <si>
    <t>CON.REBATE|TK. TRB KAMPAS|15.00*</t>
  </si>
  <si>
    <t>CON.REBATE|PURNAMA|15.00*</t>
  </si>
  <si>
    <t>CON.REBATE|ABADI|15.00*</t>
  </si>
  <si>
    <t>CON.REBATE|ANDI JAYA|15.00*</t>
  </si>
  <si>
    <t>CON.REBATE|TEGUH|15.00*</t>
  </si>
  <si>
    <t>CON.REBATE|KRISNA|15.00*</t>
  </si>
  <si>
    <t>CON.REBATE|SALIM|15.00*</t>
  </si>
  <si>
    <t>CON.REBATE|SINAR BARU|15.00*</t>
  </si>
  <si>
    <t>CON.REBATE|SUGENG MAKMUR|15.00*</t>
  </si>
  <si>
    <t>CON.REBATE|DENY|15.00*</t>
  </si>
  <si>
    <t>CON.REBATE|SILALAHI|15.00*</t>
  </si>
  <si>
    <t>CON.REBATE|MELINDA|15.00*</t>
  </si>
  <si>
    <t>CON.REBATE|ASEN MARELAN|15.00*</t>
  </si>
  <si>
    <t>CON.REBATE|SEGIMAS|15.00*</t>
  </si>
  <si>
    <t>CON.REBATE|GUNAWAN JAYA|15.00*</t>
  </si>
  <si>
    <t>CON.REBATE|UD MUFTY RIZKY|15.00*</t>
  </si>
  <si>
    <t>CON.REBATE|TRIJAYA INTAN MAKMUR|15.00*</t>
  </si>
  <si>
    <t>CON.REBATE|U MART|15.00*</t>
  </si>
  <si>
    <t>CON.REBATE|MAJU BERSAMA GLLUGUR|15.00*</t>
  </si>
  <si>
    <t>CON.REBATE|PT ASIA BINA SUKSES|15.00*</t>
  </si>
  <si>
    <t>CON.REBATE|SB|15.00*</t>
  </si>
  <si>
    <t>7.528.800,60</t>
  </si>
  <si>
    <t>8.819.314,99</t>
  </si>
  <si>
    <t>8.982.267,01</t>
  </si>
  <si>
    <t>7.025.565,67</t>
  </si>
  <si>
    <t>8.099.727,03</t>
  </si>
  <si>
    <t>8.135.554,77</t>
  </si>
  <si>
    <t>8.510.790,22</t>
  </si>
  <si>
    <t>7.719.677,13</t>
  </si>
  <si>
    <t>7.963.432,73</t>
  </si>
  <si>
    <t>7.400.875,58</t>
  </si>
  <si>
    <t>7.775.181,84</t>
  </si>
  <si>
    <t>1.978.383,37</t>
  </si>
  <si>
    <t>9.543.290,36</t>
  </si>
  <si>
    <t>9.472.761,09</t>
  </si>
  <si>
    <t>874.918,07</t>
  </si>
  <si>
    <t>9.740.263,05</t>
  </si>
  <si>
    <t>9.125.169,43</t>
  </si>
  <si>
    <t>8.425.488,61</t>
  </si>
  <si>
    <t>8.693.184,10</t>
  </si>
  <si>
    <t>79.989,31</t>
  </si>
  <si>
    <t>CD27</t>
  </si>
  <si>
    <t>2.903.742,02</t>
  </si>
  <si>
    <t>5.292.184,25</t>
  </si>
  <si>
    <t>9.959.744,75</t>
  </si>
  <si>
    <t>8.316.938,07</t>
  </si>
  <si>
    <t>7.642.156,33</t>
  </si>
  <si>
    <t>9.822.045,06</t>
  </si>
  <si>
    <t>7.283.725,92</t>
  </si>
  <si>
    <t>6.770.209,28</t>
  </si>
  <si>
    <t>5.873.175,75</t>
  </si>
  <si>
    <t>31.551,22</t>
  </si>
  <si>
    <t>1.538.740,92</t>
  </si>
  <si>
    <t>4.362.907,39</t>
  </si>
  <si>
    <t>1.799.640,62</t>
  </si>
  <si>
    <t>148.128,92</t>
  </si>
  <si>
    <t>8.364.208,89</t>
  </si>
  <si>
    <t>9.552.365,87</t>
  </si>
  <si>
    <t>7.658.156,71</t>
  </si>
  <si>
    <t>STELLA MTC REF C.LATTE 160ML RJV</t>
  </si>
  <si>
    <t>7.619.442,80</t>
  </si>
  <si>
    <t>8.846.061,39</t>
  </si>
  <si>
    <t>9.559.178,92</t>
  </si>
  <si>
    <t>CV.MAKMUR PERKASA</t>
  </si>
  <si>
    <t>Inc.Salesman|CV. MAKMUR PERKASA|15.00</t>
  </si>
  <si>
    <t>RAFAKSI|CV. MAKMUR PERKASA|0.00</t>
  </si>
  <si>
    <t>129.695,22</t>
  </si>
  <si>
    <t>62.318,85</t>
  </si>
  <si>
    <t>5.797,59</t>
  </si>
  <si>
    <t>4.024.465,10</t>
  </si>
  <si>
    <t>151,19</t>
  </si>
  <si>
    <t>HIT AEROSOL PINK BLOSSOM 150ML NP</t>
  </si>
  <si>
    <t>Inv 9903176 jto 21 Apr</t>
  </si>
  <si>
    <t>CV. SEJATI MANDIRI - BAU BAU</t>
  </si>
  <si>
    <t>CV. SEJATI MANDIRI - RAHA</t>
  </si>
  <si>
    <t>35 DAYS INV DATE &amp; 6 DAYS LEAD</t>
  </si>
  <si>
    <t>RAFAKSI|CV. SEJATI MANDIRI|0.00*</t>
  </si>
  <si>
    <t>Insentif Sales Jan26|CV. SEJATI MANDIRI</t>
  </si>
  <si>
    <t>2.595.875,53</t>
  </si>
  <si>
    <t>1.892.889,19</t>
  </si>
  <si>
    <t>STELLA MTC SET PARFUMIST SMART</t>
  </si>
  <si>
    <t>3.297.347,29</t>
  </si>
  <si>
    <t>Kurang bayar, payment tgl 17 Apr</t>
  </si>
  <si>
    <t>PT. CATUR SENTOSA ANUGERAH - BENGKU</t>
  </si>
  <si>
    <t>1.913.425,14</t>
  </si>
  <si>
    <t>2.692.535,19</t>
  </si>
  <si>
    <t>STELLA POCKET BATHROOM GREEN RJV</t>
  </si>
  <si>
    <t>1.399.399,64</t>
  </si>
  <si>
    <t>PT. SUMBER UTAMA MANDIRI</t>
  </si>
  <si>
    <t>RAFAKSI|PT. SUMBER UTAMA MANDIRI|0.00*</t>
  </si>
  <si>
    <t>2.256.430,24</t>
  </si>
  <si>
    <t>262,07</t>
  </si>
  <si>
    <t>ZI28</t>
  </si>
  <si>
    <t>PT. MAKMUR SUMBER SENTOSA</t>
  </si>
  <si>
    <t>Gaji Sales Jan26|PT MAKMUR SUMBER SENTOS</t>
  </si>
  <si>
    <t>RAFAKSI|PT MAKMUR SUMBER SENTOSA|0.00*</t>
  </si>
  <si>
    <t>1.790.502,77</t>
  </si>
  <si>
    <t>Sisa Net CN 6955571 dgn DN 9906431 dan 9914980</t>
  </si>
  <si>
    <t>CV. NURHIDAYAT ABADI NUSANTARA - JE</t>
  </si>
  <si>
    <t>CV. NURHIDAYAT ABADI NUSANTARA - BU</t>
  </si>
  <si>
    <t>RAFAKSI|CV NURHIDAYAT ABADI NUSANTARA|0.</t>
  </si>
  <si>
    <t>CV. NURHIDAYAT ABADI NUSANTARA - PA</t>
  </si>
  <si>
    <t>RAFAKSI|CV NURHIDAYAT ABADI NUSANTARA PA</t>
  </si>
  <si>
    <t>CV. NURHIDAYAT ABADI NUSANTARA - MA</t>
  </si>
  <si>
    <t>RAFAKSI|NURHIDAYAT ABADI NUSANTARA|0.00*</t>
  </si>
  <si>
    <t>Insentif Sales Jan26|CV NURHIDAYAT ABADI</t>
  </si>
  <si>
    <t>RD Expansion Nov25|CV NURHIDAYAT ABADI N</t>
  </si>
  <si>
    <t>RD Expansion Feb26|CV NURHIDAYAT ABADI N</t>
  </si>
  <si>
    <t>RD Expansion Jan26|NURHIDAYAT ABADI NUSA</t>
  </si>
  <si>
    <t>1.300,70</t>
  </si>
  <si>
    <t>1.187.386,96</t>
  </si>
  <si>
    <t>48.623,86</t>
  </si>
  <si>
    <t>1.037.761,13</t>
  </si>
  <si>
    <t>1.110.087,07</t>
  </si>
  <si>
    <t>822.579,00</t>
  </si>
  <si>
    <t>5.225,29</t>
  </si>
  <si>
    <t>2.049,22</t>
  </si>
  <si>
    <t>PT. DINETA JAYA - DENPASAR</t>
  </si>
  <si>
    <t>PT. DINETA JAYA - SINGARAJA</t>
  </si>
  <si>
    <t>RD Expansion|PT DINETA JAYA CAB SINGARAJ</t>
  </si>
  <si>
    <t>PT. DINETA JAYA - LOMBOK</t>
  </si>
  <si>
    <t>RD Expansion|PT. DINETA JAYA LOMBOK BARA</t>
  </si>
  <si>
    <t>RDEJan26|PT. DINETA JAYA|2.00</t>
  </si>
  <si>
    <t>RAFAKSI|PT DINETA JAYA CAB SINGARAJA|0.0</t>
  </si>
  <si>
    <t>RAFAKSI|PT. DINETA JAYA LOMBOK BARAT|0.0</t>
  </si>
  <si>
    <t>RDEJan26|PT DINETA JAYA|2.00</t>
  </si>
  <si>
    <t>RDEFeb26|PT. DINETA JAYA|2.00</t>
  </si>
  <si>
    <t>RDEDes25|PT. DINETA JAYA|2.00</t>
  </si>
  <si>
    <t>HIT LV GOODKNIGHT NON-STOP SET NF</t>
  </si>
  <si>
    <t>597.807,86</t>
  </si>
  <si>
    <t>2.295.109,52</t>
  </si>
  <si>
    <t>KLINPAK Aluminium Foil</t>
  </si>
  <si>
    <t>363.370,58</t>
  </si>
  <si>
    <t>3.460,14</t>
  </si>
  <si>
    <t>2.101.723,33</t>
  </si>
  <si>
    <t>Inv9918274 dgn CN 6953186 lombok jto 2 May</t>
  </si>
  <si>
    <t>CV. MITRA USAHA BERKAT INDONESIA</t>
  </si>
  <si>
    <t>Gaji Sales Feb26|CV. MITRA USAHA BERKAT</t>
  </si>
  <si>
    <t>1.421.454,86</t>
  </si>
  <si>
    <t>4.042,61</t>
  </si>
  <si>
    <t>PERDANA DISTRIBUSI - KAPUAS</t>
  </si>
  <si>
    <t>Insentif Sales Jan26|CV. PERDANA DISTRIB</t>
  </si>
  <si>
    <t>Celebration Jan26|CV. PERDANA DISTRIBUSI</t>
  </si>
  <si>
    <t>Gaji Sales Feb26|CV. PERDANA DISTRIBUSI</t>
  </si>
  <si>
    <t>945.378,54</t>
  </si>
  <si>
    <t>16.143,84</t>
  </si>
  <si>
    <t>814.664,12</t>
  </si>
  <si>
    <t>860.860,94</t>
  </si>
  <si>
    <t>KEMAKMURAN - TOMOHON</t>
  </si>
  <si>
    <t>RAFAKSI|CV KEMAKMURAN|0.00*</t>
  </si>
  <si>
    <t>2.456.756,47</t>
  </si>
  <si>
    <t>KEMAKMURAN - KOTAMOBAGU</t>
  </si>
  <si>
    <t>1.334.961,70</t>
  </si>
  <si>
    <t>SUMBER CAHAYA NIAGA MANDIRI - BONE</t>
  </si>
  <si>
    <t>LISTING|SURYA INDAH SUKAWATI|2.00*</t>
  </si>
  <si>
    <t>Gaji Sales Des25|PT. SUMBER CAHAYA NIAGA</t>
  </si>
  <si>
    <t>Gaji Sales Feb26|PT. SUMBER CAHAYA NIAGA</t>
  </si>
  <si>
    <t>2.991.057,02</t>
  </si>
  <si>
    <t>23.312,00</t>
  </si>
  <si>
    <t>BOGE KANAL SEJAHTERA - LARANTUKA</t>
  </si>
  <si>
    <t>BOGE KANAL SEJAHTERA - ADONARA</t>
  </si>
  <si>
    <t>543.083,95</t>
  </si>
  <si>
    <t>YAFINDO BINTAN PERMATA - TANJUNG PI</t>
  </si>
  <si>
    <t>GAJI SEPT25|YAFINDO TJ PINANG</t>
  </si>
  <si>
    <t>GAJI OKT25|YAFINDO TJ PINANG</t>
  </si>
  <si>
    <t>INC DES25|TANJUNG PINANG|15</t>
  </si>
  <si>
    <t>CELEBRATION DES25|TANJUNG PINANG|15</t>
  </si>
  <si>
    <t>GAJI NOV25|TANJUNG PINANG</t>
  </si>
  <si>
    <t>GAJI DES25|TANJUNG PINANG</t>
  </si>
  <si>
    <t>CON.REBATE|CV. LIMAN FAMILY|15.00*</t>
  </si>
  <si>
    <t>CON.REBATE|PT. MITRA LANCAR JAYA|15.00*</t>
  </si>
  <si>
    <t>CON.REBATE|PT. PASAR RAYA MAHLIGAI|15.00</t>
  </si>
  <si>
    <t>RAFAKSI|PT. YAFINDO BINTAN PERMATA TANJU</t>
  </si>
  <si>
    <t>GAJI JAN26|YAFINDO T PINANG</t>
  </si>
  <si>
    <t>CON.REBATE|PT. PINANG LESTARI|15.00*</t>
  </si>
  <si>
    <t>CON.REBATE|PT. PINANG KENCANA|15.00*</t>
  </si>
  <si>
    <t>CON.REBATE|CV. KURNIA JAYA|15.00*</t>
  </si>
  <si>
    <t>CON.REBATE|PT. INDOCEMERLANG KARYA LTIGA</t>
  </si>
  <si>
    <t>4.081.559,22</t>
  </si>
  <si>
    <t>143.564,96</t>
  </si>
  <si>
    <t>4.543.456,73</t>
  </si>
  <si>
    <t>24.215,76</t>
  </si>
  <si>
    <t>4.977,21</t>
  </si>
  <si>
    <t>5.841,69</t>
  </si>
  <si>
    <t>4.170.834,32</t>
  </si>
  <si>
    <t>54.494,30</t>
  </si>
  <si>
    <t>3.340.710,21</t>
  </si>
  <si>
    <t>3.974.077,54</t>
  </si>
  <si>
    <t>8.492,85</t>
  </si>
  <si>
    <t>Netoff 31 Maret 2026</t>
  </si>
  <si>
    <t>YAFINDO MITRA PERMATA - TANJUNG BAL</t>
  </si>
  <si>
    <t>YAFINDO MITRA PERMATA - TANJUNG BAT</t>
  </si>
  <si>
    <t>RAFAKSI|PT. YAFINDO MITRA PERMATA TANJUN</t>
  </si>
  <si>
    <t>GAJI NOV25| YAFINDO TBATU</t>
  </si>
  <si>
    <t>CON.REBATE|NAGA MAS KARIMUN PT|15.00*</t>
  </si>
  <si>
    <t>CON.REBATE|INDO A YANI MM|15.00*</t>
  </si>
  <si>
    <t>CON.REBATE|MAMPIR MM|15.00*</t>
  </si>
  <si>
    <t>CON.REBATE|PADIMAS SM|15.00*</t>
  </si>
  <si>
    <t>CON.REBATE|NAGAMAS SM|15.00*</t>
  </si>
  <si>
    <t>CON.REBATE|INDO BALI MM|15.00*</t>
  </si>
  <si>
    <t>CON.REBATE|INDO PN MM|15.00*</t>
  </si>
  <si>
    <t>CON.REBATE|ASLI MART MM|15.00*</t>
  </si>
  <si>
    <t>5.126.129,47</t>
  </si>
  <si>
    <t>46.624,00</t>
  </si>
  <si>
    <t>3.013,44</t>
  </si>
  <si>
    <t>765.780,95</t>
  </si>
  <si>
    <t>3.983,21</t>
  </si>
  <si>
    <t>507,48</t>
  </si>
  <si>
    <t>CN 6951583 6952133-36</t>
  </si>
  <si>
    <t>JETHRO POSO</t>
  </si>
  <si>
    <t>Insentif Sales Jan26|CV. JETHRO POSO - P</t>
  </si>
  <si>
    <t>RAFAKSI|CV. JETHRO POSO|0.00*</t>
  </si>
  <si>
    <t>CON.REBATE|CV. JETHRO POSO POSO|15.00*</t>
  </si>
  <si>
    <t>1.479.222,16</t>
  </si>
  <si>
    <t>9.324,80</t>
  </si>
  <si>
    <t>97,95</t>
  </si>
  <si>
    <t>PT. CAHAYA CEMPAKA MAS - PEKANBARU</t>
  </si>
  <si>
    <t>INC DES25|CAHAYA CEMPAKA MAS PKU|15</t>
  </si>
  <si>
    <t>852.781,70</t>
  </si>
  <si>
    <t>368.830,13</t>
  </si>
  <si>
    <t>CV. UTAMA DISTRIBUTOR</t>
  </si>
  <si>
    <t>BG 300jt Periode 01Feb26-01Feb27|CV. UTA</t>
  </si>
  <si>
    <t>Insentif Sales Jan26|CV. UTAMA DISTRIBUT</t>
  </si>
  <si>
    <t>1.279.748,58</t>
  </si>
  <si>
    <t>24.261,31</t>
  </si>
  <si>
    <t>95,97</t>
  </si>
  <si>
    <t>HIT LV GOODKNIGHT XPRESS REFILL APPLE NF</t>
  </si>
  <si>
    <t>CN 6951302,6952583,6952974</t>
  </si>
  <si>
    <t>CV. Senja Indah</t>
  </si>
  <si>
    <t>Inv 9903576 jto 20 Apr net 9103018050</t>
  </si>
  <si>
    <t>CV JETHRO SEMPURNA - LUWUK</t>
  </si>
  <si>
    <t>Insentif Sales Jan26|CV. JETHRO SEMPURNA</t>
  </si>
  <si>
    <t>Gaji Sales Jan26|CV. JETHRO SEMPURNA - L</t>
  </si>
  <si>
    <t>RD Expansion Jan26|CV. JETHRO SEMPURNA -</t>
  </si>
  <si>
    <t>15.326,05</t>
  </si>
  <si>
    <t>2.251.705,91</t>
  </si>
  <si>
    <t>4.208,61</t>
  </si>
  <si>
    <t>PT. AYLA JAVA MANDIRA - SOLO</t>
  </si>
  <si>
    <t>1.082.083,77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</si>
</sst>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yyyy\-mm\-dd\ h:mm:ss"/>
    <numFmt numFmtId="165" formatCode="0.00000%"/>
    <numFmt numFmtId="166" formatCode="dd\-mmm\-yyyy"/>
  </numFmts>
  <fonts count="6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name val="Arial"/>
      <family val="2"/>
    </font>
    <font>
      <b/>
      <sz val="11"/>
      <color rgb="FFFFFFFF"/>
      <name val="Calibri"/>
    </font>
    <font>
      <sz val="11"/>
      <color rgb="FFFFFFFF"/>
      <name val="Aptos Narrow"/>
    </font>
    <font>
      <b/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0000"/>
      </patternFill>
    </fill>
    <fill>
      <patternFill patternType="solid">
        <fgColor rgb="FFF4B183"/>
      </patternFill>
    </fill>
    <fill>
      <patternFill patternType="solid">
        <fgColor rgb="FFA9D18E"/>
      </patternFill>
    </fill>
    <fill>
      <patternFill patternType="solid">
        <fgColor rgb="FF203864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2" fillId="0" borderId="0"/>
    <xf numFmtId="9" fontId="2" fillId="0" borderId="0"/>
    <xf numFmtId="43" fontId="2" fillId="0" borderId="0"/>
    <xf numFmtId="0" fontId="2" fillId="0" borderId="0"/>
    <xf numFmtId="0" fontId="2" fillId="0" borderId="0"/>
  </cellStyleXfs>
  <cellXfs count="31">
    <xf numFmtId="0" fontId="0" fillId="0" borderId="0" xfId="0"/>
    <xf numFmtId="0" fontId="2" fillId="0" borderId="0" xfId="5" applyAlignment="1">
      <alignment vertical="top"/>
    </xf>
    <xf numFmtId="3" fontId="2" fillId="0" borderId="0" xfId="5" applyNumberFormat="1" applyAlignment="1">
      <alignment horizontal="right" vertical="top"/>
    </xf>
    <xf numFmtId="0" fontId="1" fillId="3" borderId="1" xfId="0" applyFont="1" applyFill="1" applyBorder="1" applyAlignment="1">
      <alignment vertical="top"/>
    </xf>
    <xf numFmtId="0" fontId="1" fillId="3" borderId="1" xfId="0" quotePrefix="1" applyFont="1" applyFill="1" applyBorder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2" borderId="1" xfId="0" applyFont="1" applyFill="1" applyBorder="1" applyAlignment="1">
      <alignment vertical="top"/>
    </xf>
    <xf numFmtId="14" fontId="0" fillId="0" borderId="0" xfId="0" applyNumberFormat="1"/>
    <xf numFmtId="0" fontId="1" fillId="3" borderId="1" xfId="0" applyFont="1" applyFill="1" applyBorder="1" applyAlignment="1">
      <alignment vertical="top" wrapText="1"/>
    </xf>
    <xf numFmtId="164" fontId="1" fillId="0" borderId="0" xfId="0" applyNumberFormat="1" applyFont="1" applyAlignment="1">
      <alignment vertical="top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3" fillId="4" borderId="0" xfId="0" applyFont="1" applyFill="1" applyAlignment="1">
      <alignment horizontal="center" vertical="center" wrapText="1"/>
    </xf>
    <xf numFmtId="166" fontId="3" fillId="4" borderId="0" xfId="0" applyNumberFormat="1" applyFont="1" applyFill="1" applyAlignment="1">
      <alignment horizontal="center" vertical="center" wrapText="1"/>
    </xf>
    <xf numFmtId="0" fontId="4" fillId="0" borderId="0" xfId="0" applyFont="1"/>
    <xf numFmtId="0" fontId="3" fillId="4" borderId="0" xfId="0" applyFont="1" applyFill="1"/>
    <xf numFmtId="0" fontId="3" fillId="4" borderId="0" xfId="0" applyFont="1" applyFill="1" applyAlignment="1">
      <alignment horizontal="left" vertical="center"/>
    </xf>
    <xf numFmtId="3" fontId="3" fillId="4" borderId="0" xfId="0" applyNumberFormat="1" applyFont="1" applyFill="1"/>
    <xf numFmtId="0" fontId="5" fillId="8" borderId="2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5" borderId="0" xfId="0" applyFont="1" applyFill="1"/>
    <xf numFmtId="3" fontId="5" fillId="5" borderId="0" xfId="0" applyNumberFormat="1" applyFont="1" applyFill="1"/>
    <xf numFmtId="0" fontId="5" fillId="6" borderId="0" xfId="0" applyFont="1" applyFill="1" applyAlignment="1">
      <alignment horizontal="left" vertical="center"/>
    </xf>
    <xf numFmtId="0" fontId="5" fillId="6" borderId="0" xfId="0" applyFont="1" applyFill="1"/>
    <xf numFmtId="3" fontId="5" fillId="6" borderId="0" xfId="0" applyNumberFormat="1" applyFont="1" applyFill="1"/>
    <xf numFmtId="0" fontId="3" fillId="7" borderId="0" xfId="0" applyFont="1" applyFill="1" applyAlignment="1">
      <alignment horizontal="left" vertical="center"/>
    </xf>
    <xf numFmtId="0" fontId="3" fillId="7" borderId="0" xfId="0" applyFont="1" applyFill="1"/>
    <xf numFmtId="3" fontId="3" fillId="7" borderId="0" xfId="0" applyNumberFormat="1" applyFont="1" applyFill="1"/>
  </cellXfs>
  <cellStyles count="6">
    <cellStyle name="Comma 2" xfId="3" xr:uid="{00000000-0005-0000-0000-000003000000}"/>
    <cellStyle name="Normal" xfId="0" builtinId="0"/>
    <cellStyle name="Normal 2" xfId="1" xr:uid="{00000000-0005-0000-0000-000001000000}"/>
    <cellStyle name="Normal 3" xfId="4" xr:uid="{00000000-0005-0000-0000-000004000000}"/>
    <cellStyle name="Normal 4" xfId="5" xr:uid="{00000000-0005-0000-0000-000005000000}"/>
    <cellStyle name="Percent 2" xfId="2" xr:uid="{00000000-0005-0000-0000-000002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4" customWidth="1"/>
    <col min="3" max="3" width="30" customWidth="1"/>
    <col min="4" max="4" width="14" customWidth="1"/>
    <col min="5" max="6" width="13" customWidth="1"/>
    <col min="7" max="8" width="16" customWidth="1"/>
    <col min="9" max="12" width="18" customWidth="1"/>
  </cols>
  <sheetData>
    <row r="1" spans="1:15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6">
        <v>46196</v>
      </c>
      <c r="J1" s="16">
        <v>46197</v>
      </c>
      <c r="K1" s="16">
        <v>46198</v>
      </c>
      <c r="L1" s="16">
        <v>46199</v>
      </c>
      <c r="O1" s="13">
        <v>2.2000000000000001E-4</v>
      </c>
    </row>
    <row r="2" spans="1:15" x14ac:dyDescent="0.35">
      <c r="A2">
        <v>3001240</v>
      </c>
      <c r="B2">
        <v>3001240</v>
      </c>
      <c r="C2" t="s">
        <v>8</v>
      </c>
      <c r="D2">
        <v>9915823</v>
      </c>
      <c r="E2" s="9">
        <v>46096</v>
      </c>
      <c r="F2" s="9">
        <v>46216</v>
      </c>
      <c r="G2" s="14">
        <v>7400947</v>
      </c>
      <c r="H2" s="14">
        <f>G2/1.11</f>
        <v>6667519.8198198192</v>
      </c>
      <c r="I2" s="14">
        <f>(F2-I$1)*$O$1*H2</f>
        <v>29337.087207207205</v>
      </c>
      <c r="J2" s="14">
        <f>(F2-J$1)*$O$1*H2</f>
        <v>27870.232846846848</v>
      </c>
      <c r="K2" s="14">
        <f>(F2-K$1)*$O$1*H2</f>
        <v>26403.378486486483</v>
      </c>
      <c r="L2" s="14">
        <f>(F2-L$1)*$O$1*H2</f>
        <v>24936.524126126125</v>
      </c>
      <c r="N2" s="17" t="s">
        <v>8</v>
      </c>
      <c r="O2">
        <f>O1*365</f>
        <v>8.0299999999999996E-2</v>
      </c>
    </row>
    <row r="3" spans="1:15" x14ac:dyDescent="0.35">
      <c r="A3" s="18"/>
      <c r="B3" s="18"/>
      <c r="C3" s="19" t="s">
        <v>9</v>
      </c>
      <c r="D3" s="18"/>
      <c r="E3" s="18"/>
      <c r="F3" s="18"/>
      <c r="G3" s="20">
        <f t="shared" ref="G3:L3" si="0">SUM(G2:G2)</f>
        <v>7400947</v>
      </c>
      <c r="H3" s="20">
        <f t="shared" si="0"/>
        <v>6667519.8198198192</v>
      </c>
      <c r="I3" s="20">
        <f t="shared" si="0"/>
        <v>29337.087207207205</v>
      </c>
      <c r="J3" s="20">
        <f t="shared" si="0"/>
        <v>27870.232846846848</v>
      </c>
      <c r="K3" s="20">
        <f t="shared" si="0"/>
        <v>26403.378486486483</v>
      </c>
      <c r="L3" s="20">
        <f t="shared" si="0"/>
        <v>24936.524126126125</v>
      </c>
      <c r="N3" s="17"/>
    </row>
    <row r="4" spans="1:15" x14ac:dyDescent="0.35">
      <c r="A4">
        <v>3001420</v>
      </c>
      <c r="B4">
        <v>3100636</v>
      </c>
      <c r="C4" t="s">
        <v>10</v>
      </c>
      <c r="D4">
        <v>9915828</v>
      </c>
      <c r="E4" s="9">
        <v>46096</v>
      </c>
      <c r="F4" s="9">
        <v>46216</v>
      </c>
      <c r="G4" s="14">
        <v>27687678</v>
      </c>
      <c r="H4" s="14">
        <f>G4/1.11</f>
        <v>24943854.054054052</v>
      </c>
      <c r="I4" s="14">
        <f>(F4-I$1)*$O$1*H4</f>
        <v>109752.95783783784</v>
      </c>
      <c r="J4" s="14">
        <f>(F4-J$1)*$O$1*H4</f>
        <v>104265.30994594595</v>
      </c>
      <c r="K4" s="14">
        <f>(F4-K$1)*$O$1*H4</f>
        <v>98777.662054054046</v>
      </c>
      <c r="L4" s="14">
        <f>(F4-L$1)*$O$1*H4</f>
        <v>93290.014162162159</v>
      </c>
      <c r="N4" s="17" t="s">
        <v>10</v>
      </c>
    </row>
    <row r="5" spans="1:15" x14ac:dyDescent="0.35">
      <c r="A5" s="18"/>
      <c r="B5" s="18"/>
      <c r="C5" s="19" t="s">
        <v>11</v>
      </c>
      <c r="D5" s="18"/>
      <c r="E5" s="18"/>
      <c r="F5" s="18"/>
      <c r="G5" s="20">
        <f t="shared" ref="G5:L5" si="1">SUM(G4:G4)</f>
        <v>27687678</v>
      </c>
      <c r="H5" s="20">
        <f t="shared" si="1"/>
        <v>24943854.054054052</v>
      </c>
      <c r="I5" s="20">
        <f t="shared" si="1"/>
        <v>109752.95783783784</v>
      </c>
      <c r="J5" s="20">
        <f t="shared" si="1"/>
        <v>104265.30994594595</v>
      </c>
      <c r="K5" s="20">
        <f t="shared" si="1"/>
        <v>98777.662054054046</v>
      </c>
      <c r="L5" s="20">
        <f t="shared" si="1"/>
        <v>93290.014162162159</v>
      </c>
      <c r="N5" s="17"/>
    </row>
    <row r="6" spans="1:15" x14ac:dyDescent="0.35">
      <c r="A6">
        <v>3001558</v>
      </c>
      <c r="B6">
        <v>3001558</v>
      </c>
      <c r="C6" t="s">
        <v>12</v>
      </c>
      <c r="D6">
        <v>9915842</v>
      </c>
      <c r="E6" s="9">
        <v>46096</v>
      </c>
      <c r="F6" s="9">
        <v>46216</v>
      </c>
      <c r="G6" s="14">
        <v>54619153</v>
      </c>
      <c r="H6" s="14">
        <f>G6/1.11</f>
        <v>49206444.14414414</v>
      </c>
      <c r="I6" s="14">
        <f>(F6-I$1)*$O$1*H6</f>
        <v>216508.35423423423</v>
      </c>
      <c r="J6" s="14">
        <f>(F6-J$1)*$O$1*H6</f>
        <v>205682.93652252253</v>
      </c>
      <c r="K6" s="14">
        <f>(F6-K$1)*$O$1*H6</f>
        <v>194857.51881081078</v>
      </c>
      <c r="L6" s="14">
        <f>(F6-L$1)*$O$1*H6</f>
        <v>184032.10109909909</v>
      </c>
      <c r="N6" s="17" t="s">
        <v>12</v>
      </c>
    </row>
    <row r="7" spans="1:15" x14ac:dyDescent="0.35">
      <c r="A7" s="18"/>
      <c r="B7" s="18"/>
      <c r="C7" s="19" t="s">
        <v>13</v>
      </c>
      <c r="D7" s="18"/>
      <c r="E7" s="18"/>
      <c r="F7" s="18"/>
      <c r="G7" s="20">
        <f t="shared" ref="G7:L7" si="2">SUM(G6:G6)</f>
        <v>54619153</v>
      </c>
      <c r="H7" s="20">
        <f t="shared" si="2"/>
        <v>49206444.14414414</v>
      </c>
      <c r="I7" s="20">
        <f t="shared" si="2"/>
        <v>216508.35423423423</v>
      </c>
      <c r="J7" s="20">
        <f t="shared" si="2"/>
        <v>205682.93652252253</v>
      </c>
      <c r="K7" s="20">
        <f t="shared" si="2"/>
        <v>194857.51881081078</v>
      </c>
      <c r="L7" s="20">
        <f t="shared" si="2"/>
        <v>184032.10109909909</v>
      </c>
      <c r="N7" s="17"/>
    </row>
    <row r="8" spans="1:15" x14ac:dyDescent="0.35">
      <c r="A8">
        <v>3100068</v>
      </c>
      <c r="B8">
        <v>3100067</v>
      </c>
      <c r="C8" t="s">
        <v>14</v>
      </c>
      <c r="D8">
        <v>9915833</v>
      </c>
      <c r="E8" s="9">
        <v>46096</v>
      </c>
      <c r="F8" s="9">
        <v>46216</v>
      </c>
      <c r="G8" s="14">
        <v>21964275</v>
      </c>
      <c r="H8" s="14">
        <f>G8/1.11</f>
        <v>19787635.135135133</v>
      </c>
      <c r="I8" s="14">
        <f>(F8-I$1)*$O$1*H8</f>
        <v>87065.594594594586</v>
      </c>
      <c r="J8" s="14">
        <f>(F8-J$1)*$O$1*H8</f>
        <v>82712.314864864864</v>
      </c>
      <c r="K8" s="14">
        <f>(F8-K$1)*$O$1*H8</f>
        <v>78359.035135135127</v>
      </c>
      <c r="L8" s="14">
        <f>(F8-L$1)*$O$1*H8</f>
        <v>74005.755405405405</v>
      </c>
      <c r="N8" s="17" t="s">
        <v>14</v>
      </c>
    </row>
    <row r="9" spans="1:15" x14ac:dyDescent="0.35">
      <c r="A9" s="18"/>
      <c r="B9" s="18"/>
      <c r="C9" s="19" t="s">
        <v>15</v>
      </c>
      <c r="D9" s="18"/>
      <c r="E9" s="18"/>
      <c r="F9" s="18"/>
      <c r="G9" s="20">
        <f t="shared" ref="G9:L9" si="3">SUM(G8:G8)</f>
        <v>21964275</v>
      </c>
      <c r="H9" s="20">
        <f t="shared" si="3"/>
        <v>19787635.135135133</v>
      </c>
      <c r="I9" s="20">
        <f t="shared" si="3"/>
        <v>87065.594594594586</v>
      </c>
      <c r="J9" s="20">
        <f t="shared" si="3"/>
        <v>82712.314864864864</v>
      </c>
      <c r="K9" s="20">
        <f t="shared" si="3"/>
        <v>78359.035135135127</v>
      </c>
      <c r="L9" s="20">
        <f t="shared" si="3"/>
        <v>74005.755405405405</v>
      </c>
      <c r="N9" s="17"/>
    </row>
    <row r="14" spans="1:15" x14ac:dyDescent="0.35">
      <c r="C14" s="21" t="s">
        <v>8</v>
      </c>
      <c r="G14" s="22" t="s">
        <v>16</v>
      </c>
      <c r="H14" s="23"/>
      <c r="I14" s="24">
        <f>SUMIF($N$2:$N$9,$C$14,$I$2:$I$9)*15%</f>
        <v>4400.5630810810808</v>
      </c>
      <c r="J14" s="24">
        <f>SUMIF($N$2:$N$9,$C$14,$J$2:$J$9)*15%</f>
        <v>4180.5349270270272</v>
      </c>
      <c r="K14" s="24">
        <f>SUMIF($N$2:$N$9,$C$14,$K$2:$K$9)*15%</f>
        <v>3960.5067729729722</v>
      </c>
      <c r="L14" s="24">
        <f>SUMIF($N$2:$N$9,$C$14,$L$2:$L$9)*15%</f>
        <v>3740.4786189189185</v>
      </c>
    </row>
    <row r="15" spans="1:15" x14ac:dyDescent="0.35">
      <c r="G15" s="25" t="s">
        <v>17</v>
      </c>
      <c r="H15" s="26"/>
      <c r="I15" s="27">
        <f>SUMIF($N$2:$N$9,$C$14,$I$2:$I$9)-I14</f>
        <v>24936.524126126125</v>
      </c>
      <c r="J15" s="27">
        <f>SUMIF($N$2:$N$9,$C$14,$J$2:$J$9)-J14</f>
        <v>23689.697919819821</v>
      </c>
      <c r="K15" s="27">
        <f>SUMIF($N$2:$N$9,$C$14,$K$2:$K$9)-K14</f>
        <v>22442.871713513512</v>
      </c>
      <c r="L15" s="27">
        <f>SUMIF($N$2:$N$9,$C$14,$L$2:$L$9)-L14</f>
        <v>21196.045507207207</v>
      </c>
    </row>
    <row r="16" spans="1:15" x14ac:dyDescent="0.35">
      <c r="G16" s="28" t="s">
        <v>18</v>
      </c>
      <c r="H16" s="29"/>
      <c r="I16" s="30">
        <f>SUMIF($N$2:$N$9,$C$14,$G$2:$G$9)-I15</f>
        <v>7376010.4758738736</v>
      </c>
      <c r="J16" s="30">
        <f>SUMIF($N$2:$N$9,$C$14,$G$2:$G$9)-J15</f>
        <v>7377257.3020801805</v>
      </c>
      <c r="K16" s="30">
        <f>SUMIF($N$2:$N$9,$C$14,$G$2:$G$9)-K15</f>
        <v>7378504.1282864865</v>
      </c>
      <c r="L16" s="30">
        <f>SUMIF($N$2:$N$9,$C$14,$G$2:$G$9)-L15</f>
        <v>7379750.9544927925</v>
      </c>
    </row>
  </sheetData>
  <autoFilter ref="A1:L9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_PayerList!$A$1:$A$4</xm:f>
          </x14:formula1>
          <xm:sqref>C14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U3716"/>
  <sheetViews>
    <sheetView topLeftCell="F1" zoomScale="80" zoomScaleNormal="80" workbookViewId="0">
      <pane ySplit="1" topLeftCell="A2" activePane="bottomLeft" state="frozen"/>
      <selection pane="bottomLeft" activeCell="L2" sqref="L2"/>
    </sheetView>
  </sheetViews>
  <sheetFormatPr defaultColWidth="36.81640625" defaultRowHeight="12.5" x14ac:dyDescent="0.35"/>
  <cols>
    <col min="1" max="1" width="7.81640625" style="1" bestFit="1" customWidth="1"/>
    <col min="2" max="2" width="9.54296875" style="1" bestFit="1" customWidth="1"/>
    <col min="3" max="3" width="11.26953125" style="1" bestFit="1" customWidth="1"/>
    <col min="4" max="4" width="11.453125" style="1" bestFit="1" customWidth="1"/>
    <col min="5" max="5" width="14.453125" style="1" bestFit="1" customWidth="1"/>
    <col min="6" max="6" width="40.54296875" style="1" bestFit="1" customWidth="1"/>
    <col min="7" max="7" width="40.7265625" style="1" bestFit="1" customWidth="1"/>
    <col min="8" max="8" width="9.7265625" style="1" bestFit="1" customWidth="1"/>
    <col min="9" max="9" width="15.81640625" style="1" bestFit="1" customWidth="1"/>
    <col min="10" max="10" width="12.26953125" style="1" bestFit="1" customWidth="1"/>
    <col min="11" max="11" width="14.1796875" style="1" bestFit="1" customWidth="1"/>
    <col min="12" max="12" width="15.453125" style="1" bestFit="1" customWidth="1"/>
    <col min="13" max="13" width="16" style="1" bestFit="1" customWidth="1"/>
    <col min="14" max="14" width="15.453125" style="1" bestFit="1" customWidth="1"/>
    <col min="15" max="15" width="11.81640625" style="1" customWidth="1"/>
    <col min="16" max="16" width="15.81640625" style="1" bestFit="1" customWidth="1"/>
    <col min="17" max="17" width="11.81640625" style="1" bestFit="1" customWidth="1"/>
    <col min="18" max="18" width="15.453125" style="1" bestFit="1" customWidth="1"/>
    <col min="19" max="19" width="16" style="1" bestFit="1" customWidth="1"/>
    <col min="20" max="20" width="15.453125" style="1" bestFit="1" customWidth="1"/>
    <col min="21" max="21" width="14.81640625" style="1" bestFit="1" customWidth="1"/>
    <col min="22" max="22" width="14.1796875" style="1" bestFit="1" customWidth="1"/>
    <col min="23" max="23" width="14.7265625" style="1" bestFit="1" customWidth="1"/>
    <col min="24" max="26" width="22.453125" style="1" bestFit="1" customWidth="1"/>
    <col min="27" max="27" width="23.54296875" style="1" bestFit="1" customWidth="1"/>
    <col min="28" max="29" width="24.81640625" style="1" bestFit="1" customWidth="1"/>
    <col min="30" max="30" width="25" style="1" bestFit="1" customWidth="1"/>
    <col min="31" max="31" width="8.26953125" style="1" bestFit="1" customWidth="1"/>
    <col min="32" max="32" width="17.54296875" style="1" bestFit="1" customWidth="1"/>
    <col min="33" max="33" width="32.54296875" style="1" bestFit="1" customWidth="1"/>
    <col min="34" max="34" width="9.54296875" style="1" bestFit="1" customWidth="1"/>
    <col min="35" max="35" width="15.81640625" style="1" bestFit="1" customWidth="1"/>
    <col min="36" max="36" width="17" style="1" bestFit="1" customWidth="1"/>
    <col min="37" max="37" width="14.1796875" style="1" bestFit="1" customWidth="1"/>
    <col min="38" max="38" width="45.453125" style="1" bestFit="1" customWidth="1"/>
    <col min="39" max="39" width="15.81640625" style="1" bestFit="1" customWidth="1"/>
    <col min="40" max="40" width="18.54296875" style="1" bestFit="1" customWidth="1"/>
    <col min="41" max="41" width="16.453125" style="1" bestFit="1" customWidth="1"/>
    <col min="42" max="42" width="14.54296875" style="1" bestFit="1" customWidth="1"/>
    <col min="43" max="43" width="9.54296875" style="1" bestFit="1" customWidth="1"/>
    <col min="44" max="44" width="14.54296875" style="1" bestFit="1" customWidth="1"/>
    <col min="45" max="45" width="15.54296875" style="1" bestFit="1" customWidth="1"/>
    <col min="46" max="46" width="12.54296875" style="1" bestFit="1" customWidth="1"/>
    <col min="47" max="47" width="14.7265625" style="1" bestFit="1" customWidth="1"/>
    <col min="48" max="48" width="46.26953125" style="1" bestFit="1" customWidth="1"/>
    <col min="49" max="116" width="36.81640625" style="1" customWidth="1"/>
    <col min="117" max="16384" width="36.81640625" style="1"/>
  </cols>
  <sheetData>
    <row r="1" spans="1:32" ht="31" customHeight="1" x14ac:dyDescent="0.35">
      <c r="A1" s="3" t="s">
        <v>19</v>
      </c>
      <c r="B1" s="3" t="s">
        <v>20</v>
      </c>
      <c r="C1" s="3" t="s">
        <v>21</v>
      </c>
      <c r="D1" s="8" t="s">
        <v>0</v>
      </c>
      <c r="E1" s="8" t="s">
        <v>1</v>
      </c>
      <c r="F1" s="8" t="s">
        <v>2</v>
      </c>
      <c r="G1" s="3" t="s">
        <v>22</v>
      </c>
      <c r="H1" s="3" t="s">
        <v>23</v>
      </c>
      <c r="I1" s="3" t="s">
        <v>3</v>
      </c>
      <c r="J1" s="3" t="s">
        <v>24</v>
      </c>
      <c r="K1" s="3" t="s">
        <v>25</v>
      </c>
      <c r="L1" s="3" t="s">
        <v>5</v>
      </c>
      <c r="M1" s="3" t="s">
        <v>26</v>
      </c>
      <c r="N1" s="8" t="s">
        <v>6</v>
      </c>
      <c r="O1" s="3" t="s">
        <v>27</v>
      </c>
      <c r="P1" s="3" t="s">
        <v>28</v>
      </c>
      <c r="Q1" s="3" t="s">
        <v>29</v>
      </c>
      <c r="R1" s="3" t="s">
        <v>30</v>
      </c>
      <c r="S1" s="10" t="s">
        <v>31</v>
      </c>
      <c r="T1" s="10" t="s">
        <v>32</v>
      </c>
      <c r="U1" s="10" t="s">
        <v>33</v>
      </c>
      <c r="V1" s="10" t="s">
        <v>34</v>
      </c>
      <c r="W1" s="10" t="s">
        <v>35</v>
      </c>
      <c r="X1" s="10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4" t="s">
        <v>41</v>
      </c>
      <c r="AD1" s="4" t="s">
        <v>42</v>
      </c>
      <c r="AE1" s="3" t="s">
        <v>43</v>
      </c>
      <c r="AF1" s="3" t="s">
        <v>44</v>
      </c>
    </row>
    <row r="2" spans="1:32" ht="15.65" customHeight="1" x14ac:dyDescent="0.35">
      <c r="A2" s="5" t="s">
        <v>45</v>
      </c>
      <c r="B2" s="5" t="s">
        <v>46</v>
      </c>
      <c r="C2" s="5" t="s">
        <v>47</v>
      </c>
      <c r="D2" s="5">
        <v>3000010</v>
      </c>
      <c r="E2" s="5">
        <v>3000010</v>
      </c>
      <c r="F2" s="5" t="s">
        <v>48</v>
      </c>
      <c r="G2" s="5" t="s">
        <v>48</v>
      </c>
      <c r="H2" s="5" t="s">
        <v>49</v>
      </c>
      <c r="I2" s="5">
        <v>9102032676</v>
      </c>
      <c r="J2" s="6">
        <v>45596</v>
      </c>
      <c r="K2" s="6">
        <v>45596</v>
      </c>
      <c r="L2" s="6">
        <v>45596</v>
      </c>
      <c r="M2" s="7">
        <v>536</v>
      </c>
      <c r="N2" s="7">
        <v>-652959</v>
      </c>
      <c r="O2" s="7">
        <v>-652959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-652959</v>
      </c>
      <c r="Y2" s="5" t="s">
        <v>47</v>
      </c>
      <c r="Z2" s="6"/>
      <c r="AA2" s="5" t="s">
        <v>50</v>
      </c>
      <c r="AB2" s="5" t="s">
        <v>51</v>
      </c>
      <c r="AC2" s="5" t="s">
        <v>51</v>
      </c>
      <c r="AD2" s="5" t="s">
        <v>51</v>
      </c>
      <c r="AE2" s="5" t="s">
        <v>51</v>
      </c>
      <c r="AF2" s="5" t="s">
        <v>52</v>
      </c>
    </row>
    <row r="3" spans="1:32" ht="15.65" customHeight="1" x14ac:dyDescent="0.35">
      <c r="A3" s="5" t="s">
        <v>45</v>
      </c>
      <c r="B3" s="5" t="s">
        <v>46</v>
      </c>
      <c r="C3" s="5" t="s">
        <v>47</v>
      </c>
      <c r="D3" s="5">
        <v>3000029</v>
      </c>
      <c r="E3" s="5">
        <v>3000029</v>
      </c>
      <c r="F3" s="5" t="s">
        <v>53</v>
      </c>
      <c r="G3" s="5" t="s">
        <v>53</v>
      </c>
      <c r="H3" s="5" t="s">
        <v>54</v>
      </c>
      <c r="I3" s="5">
        <v>6955035</v>
      </c>
      <c r="J3" s="6">
        <v>46092</v>
      </c>
      <c r="K3" s="6">
        <v>46092</v>
      </c>
      <c r="L3" s="6">
        <v>46092</v>
      </c>
      <c r="M3" s="7">
        <v>40</v>
      </c>
      <c r="N3" s="7">
        <v>-50498141</v>
      </c>
      <c r="O3" s="7">
        <v>-50498141</v>
      </c>
      <c r="P3" s="7">
        <v>0</v>
      </c>
      <c r="Q3" s="7">
        <v>0</v>
      </c>
      <c r="R3" s="7">
        <v>-50498141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5" t="s">
        <v>47</v>
      </c>
      <c r="Z3" s="6"/>
      <c r="AA3" s="5" t="s">
        <v>55</v>
      </c>
      <c r="AB3" s="5" t="s">
        <v>51</v>
      </c>
      <c r="AC3" s="5" t="s">
        <v>51</v>
      </c>
      <c r="AD3" s="5" t="s">
        <v>51</v>
      </c>
      <c r="AE3" s="5" t="s">
        <v>51</v>
      </c>
      <c r="AF3" s="5" t="s">
        <v>56</v>
      </c>
    </row>
    <row r="4" spans="1:32" ht="15.65" customHeight="1" x14ac:dyDescent="0.35">
      <c r="A4" s="5" t="s">
        <v>45</v>
      </c>
      <c r="B4" s="5" t="s">
        <v>46</v>
      </c>
      <c r="C4" s="5" t="s">
        <v>47</v>
      </c>
      <c r="D4" s="5">
        <v>3000029</v>
      </c>
      <c r="E4" s="11">
        <v>3000029</v>
      </c>
      <c r="F4" s="11" t="s">
        <v>53</v>
      </c>
      <c r="G4" s="5" t="s">
        <v>53</v>
      </c>
      <c r="H4" s="5" t="s">
        <v>54</v>
      </c>
      <c r="I4" s="5">
        <v>6957250</v>
      </c>
      <c r="J4" s="6">
        <v>46106</v>
      </c>
      <c r="K4" s="6">
        <v>46106</v>
      </c>
      <c r="L4" s="6">
        <v>46106</v>
      </c>
      <c r="M4" s="7">
        <v>26</v>
      </c>
      <c r="N4" s="7">
        <v>-6818392</v>
      </c>
      <c r="O4" s="7">
        <v>-6818392</v>
      </c>
      <c r="P4" s="7">
        <v>0</v>
      </c>
      <c r="Q4" s="7">
        <v>-6818392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5" t="s">
        <v>47</v>
      </c>
      <c r="Z4" s="6"/>
      <c r="AA4" s="5" t="s">
        <v>55</v>
      </c>
      <c r="AB4" s="5" t="s">
        <v>51</v>
      </c>
      <c r="AC4" s="5" t="s">
        <v>51</v>
      </c>
      <c r="AD4" s="5" t="s">
        <v>51</v>
      </c>
      <c r="AE4" s="5" t="s">
        <v>51</v>
      </c>
      <c r="AF4" s="5" t="s">
        <v>57</v>
      </c>
    </row>
    <row r="5" spans="1:32" ht="15.65" customHeight="1" x14ac:dyDescent="0.35">
      <c r="A5" s="5" t="s">
        <v>45</v>
      </c>
      <c r="B5" s="5" t="s">
        <v>46</v>
      </c>
      <c r="C5" s="5" t="s">
        <v>47</v>
      </c>
      <c r="D5" s="5">
        <v>3000029</v>
      </c>
      <c r="E5" s="11">
        <v>3000029</v>
      </c>
      <c r="F5" s="11" t="s">
        <v>53</v>
      </c>
      <c r="G5" s="5" t="s">
        <v>53</v>
      </c>
      <c r="H5" s="5" t="s">
        <v>54</v>
      </c>
      <c r="I5" s="5">
        <v>6958583</v>
      </c>
      <c r="J5" s="6">
        <v>46121</v>
      </c>
      <c r="K5" s="6">
        <v>46121</v>
      </c>
      <c r="L5" s="6">
        <v>46121</v>
      </c>
      <c r="M5" s="7">
        <v>11</v>
      </c>
      <c r="N5" s="7">
        <v>-4645781</v>
      </c>
      <c r="O5" s="7">
        <v>-4645781</v>
      </c>
      <c r="P5" s="7">
        <v>0</v>
      </c>
      <c r="Q5" s="7">
        <v>-4645781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5" t="s">
        <v>47</v>
      </c>
      <c r="Z5" s="6"/>
      <c r="AA5" s="5" t="s">
        <v>55</v>
      </c>
      <c r="AB5" s="5" t="s">
        <v>51</v>
      </c>
      <c r="AC5" s="5" t="s">
        <v>51</v>
      </c>
      <c r="AD5" s="5" t="s">
        <v>51</v>
      </c>
      <c r="AE5" s="5" t="s">
        <v>51</v>
      </c>
      <c r="AF5" s="5" t="s">
        <v>58</v>
      </c>
    </row>
    <row r="6" spans="1:32" ht="15.65" customHeight="1" x14ac:dyDescent="0.35">
      <c r="A6" s="5" t="s">
        <v>45</v>
      </c>
      <c r="B6" s="5" t="s">
        <v>46</v>
      </c>
      <c r="C6" s="5" t="s">
        <v>47</v>
      </c>
      <c r="D6" s="5">
        <v>3000029</v>
      </c>
      <c r="E6" s="11">
        <v>3000029</v>
      </c>
      <c r="F6" s="11" t="s">
        <v>53</v>
      </c>
      <c r="G6" s="5" t="s">
        <v>53</v>
      </c>
      <c r="H6" s="5" t="s">
        <v>54</v>
      </c>
      <c r="I6" s="5">
        <v>6959175</v>
      </c>
      <c r="J6" s="6">
        <v>46126</v>
      </c>
      <c r="K6" s="6">
        <v>46126</v>
      </c>
      <c r="L6" s="6">
        <v>46126</v>
      </c>
      <c r="M6" s="7">
        <v>6</v>
      </c>
      <c r="N6" s="7">
        <v>-39456801</v>
      </c>
      <c r="O6" s="7">
        <v>-39456801</v>
      </c>
      <c r="P6" s="7">
        <v>0</v>
      </c>
      <c r="Q6" s="7">
        <v>-39456801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5" t="s">
        <v>47</v>
      </c>
      <c r="Z6" s="6"/>
      <c r="AA6" s="5" t="s">
        <v>55</v>
      </c>
      <c r="AB6" s="5" t="s">
        <v>51</v>
      </c>
      <c r="AC6" s="5" t="s">
        <v>51</v>
      </c>
      <c r="AD6" s="5" t="s">
        <v>51</v>
      </c>
      <c r="AE6" s="5" t="s">
        <v>51</v>
      </c>
      <c r="AF6" s="5" t="s">
        <v>56</v>
      </c>
    </row>
    <row r="7" spans="1:32" ht="15.65" customHeight="1" x14ac:dyDescent="0.35">
      <c r="A7" s="5" t="s">
        <v>45</v>
      </c>
      <c r="B7" s="5" t="s">
        <v>46</v>
      </c>
      <c r="C7" s="5" t="s">
        <v>47</v>
      </c>
      <c r="D7" s="5">
        <v>3000029</v>
      </c>
      <c r="E7" s="11">
        <v>3000029</v>
      </c>
      <c r="F7" s="11" t="s">
        <v>53</v>
      </c>
      <c r="G7" s="5" t="s">
        <v>53</v>
      </c>
      <c r="H7" s="5" t="s">
        <v>54</v>
      </c>
      <c r="I7" s="5">
        <v>6959255</v>
      </c>
      <c r="J7" s="6">
        <v>46126</v>
      </c>
      <c r="K7" s="6">
        <v>46126</v>
      </c>
      <c r="L7" s="6">
        <v>46126</v>
      </c>
      <c r="M7" s="7">
        <v>6</v>
      </c>
      <c r="N7" s="7">
        <v>-10716368</v>
      </c>
      <c r="O7" s="7">
        <v>-10716368</v>
      </c>
      <c r="P7" s="7">
        <v>0</v>
      </c>
      <c r="Q7" s="7">
        <v>-10716368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5" t="s">
        <v>47</v>
      </c>
      <c r="Z7" s="6"/>
      <c r="AA7" s="5" t="s">
        <v>55</v>
      </c>
      <c r="AB7" s="5" t="s">
        <v>51</v>
      </c>
      <c r="AC7" s="5" t="s">
        <v>51</v>
      </c>
      <c r="AD7" s="5" t="s">
        <v>51</v>
      </c>
      <c r="AE7" s="5" t="s">
        <v>51</v>
      </c>
      <c r="AF7" s="5" t="s">
        <v>59</v>
      </c>
    </row>
    <row r="8" spans="1:32" ht="15.65" customHeight="1" x14ac:dyDescent="0.35">
      <c r="A8" s="5" t="s">
        <v>45</v>
      </c>
      <c r="B8" s="5" t="s">
        <v>46</v>
      </c>
      <c r="C8" s="5" t="s">
        <v>60</v>
      </c>
      <c r="D8" s="5">
        <v>3000029</v>
      </c>
      <c r="E8" s="11">
        <v>3100695</v>
      </c>
      <c r="F8" s="11" t="s">
        <v>53</v>
      </c>
      <c r="G8" s="5" t="s">
        <v>53</v>
      </c>
      <c r="H8" s="5" t="s">
        <v>54</v>
      </c>
      <c r="I8" s="5">
        <v>9910634</v>
      </c>
      <c r="J8" s="6">
        <v>46081</v>
      </c>
      <c r="K8" s="6">
        <v>46081</v>
      </c>
      <c r="L8" s="6">
        <v>46132</v>
      </c>
      <c r="M8" s="7">
        <v>0</v>
      </c>
      <c r="N8" s="7">
        <v>245749791</v>
      </c>
      <c r="O8" s="7">
        <v>0</v>
      </c>
      <c r="P8" s="7">
        <v>245749791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5" t="s">
        <v>60</v>
      </c>
      <c r="Z8" s="6"/>
      <c r="AA8" s="5" t="s">
        <v>55</v>
      </c>
      <c r="AB8" s="5" t="s">
        <v>61</v>
      </c>
      <c r="AC8" s="5" t="s">
        <v>51</v>
      </c>
      <c r="AD8" s="5" t="s">
        <v>51</v>
      </c>
      <c r="AE8" s="5" t="s">
        <v>51</v>
      </c>
      <c r="AF8" s="5" t="s">
        <v>62</v>
      </c>
    </row>
    <row r="9" spans="1:32" ht="15.65" customHeight="1" x14ac:dyDescent="0.35">
      <c r="A9" s="5" t="s">
        <v>45</v>
      </c>
      <c r="B9" s="5" t="s">
        <v>46</v>
      </c>
      <c r="C9" s="5" t="s">
        <v>60</v>
      </c>
      <c r="D9" s="5">
        <v>3000029</v>
      </c>
      <c r="E9" s="11">
        <v>3100695</v>
      </c>
      <c r="F9" s="11" t="s">
        <v>53</v>
      </c>
      <c r="G9" s="5" t="s">
        <v>53</v>
      </c>
      <c r="H9" s="5" t="s">
        <v>54</v>
      </c>
      <c r="I9" s="5">
        <v>9910684</v>
      </c>
      <c r="J9" s="6">
        <v>46081</v>
      </c>
      <c r="K9" s="6">
        <v>46081</v>
      </c>
      <c r="L9" s="6">
        <v>46132</v>
      </c>
      <c r="M9" s="7">
        <v>0</v>
      </c>
      <c r="N9" s="7">
        <v>6093847</v>
      </c>
      <c r="O9" s="7">
        <v>0</v>
      </c>
      <c r="P9" s="7">
        <v>6093847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5" t="s">
        <v>60</v>
      </c>
      <c r="Z9" s="6"/>
      <c r="AA9" s="5" t="s">
        <v>55</v>
      </c>
      <c r="AB9" s="5" t="s">
        <v>63</v>
      </c>
      <c r="AC9" s="5" t="s">
        <v>51</v>
      </c>
      <c r="AD9" s="5" t="s">
        <v>51</v>
      </c>
      <c r="AE9" s="5" t="s">
        <v>51</v>
      </c>
      <c r="AF9" s="5" t="s">
        <v>64</v>
      </c>
    </row>
    <row r="10" spans="1:32" ht="15.65" customHeight="1" x14ac:dyDescent="0.35">
      <c r="A10" s="5" t="s">
        <v>45</v>
      </c>
      <c r="B10" s="5" t="s">
        <v>46</v>
      </c>
      <c r="C10" s="5" t="s">
        <v>60</v>
      </c>
      <c r="D10" s="5">
        <v>3000029</v>
      </c>
      <c r="E10" s="11">
        <v>3100695</v>
      </c>
      <c r="F10" s="11" t="s">
        <v>53</v>
      </c>
      <c r="G10" s="5" t="s">
        <v>53</v>
      </c>
      <c r="H10" s="5" t="s">
        <v>54</v>
      </c>
      <c r="I10" s="5">
        <v>9911369</v>
      </c>
      <c r="J10" s="6">
        <v>46085</v>
      </c>
      <c r="K10" s="6">
        <v>46085</v>
      </c>
      <c r="L10" s="6">
        <v>46136</v>
      </c>
      <c r="M10" s="7">
        <v>-4</v>
      </c>
      <c r="N10" s="7">
        <v>300059493</v>
      </c>
      <c r="O10" s="7">
        <v>0</v>
      </c>
      <c r="P10" s="7">
        <v>300059493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5" t="s">
        <v>60</v>
      </c>
      <c r="Z10" s="6"/>
      <c r="AA10" s="5" t="s">
        <v>55</v>
      </c>
      <c r="AB10" s="5" t="s">
        <v>51</v>
      </c>
      <c r="AC10" s="5" t="s">
        <v>65</v>
      </c>
      <c r="AD10" s="5" t="s">
        <v>51</v>
      </c>
      <c r="AE10" s="5" t="s">
        <v>51</v>
      </c>
      <c r="AF10" s="5" t="s">
        <v>62</v>
      </c>
    </row>
    <row r="11" spans="1:32" ht="15.65" customHeight="1" x14ac:dyDescent="0.35">
      <c r="A11" s="5" t="s">
        <v>45</v>
      </c>
      <c r="B11" s="5" t="s">
        <v>46</v>
      </c>
      <c r="C11" s="5" t="s">
        <v>60</v>
      </c>
      <c r="D11" s="5">
        <v>3000029</v>
      </c>
      <c r="E11" s="11">
        <v>3100695</v>
      </c>
      <c r="F11" s="11" t="s">
        <v>53</v>
      </c>
      <c r="G11" s="5" t="s">
        <v>53</v>
      </c>
      <c r="H11" s="5" t="s">
        <v>54</v>
      </c>
      <c r="I11" s="5">
        <v>9917480</v>
      </c>
      <c r="J11" s="6">
        <v>46106</v>
      </c>
      <c r="K11" s="6">
        <v>46106</v>
      </c>
      <c r="L11" s="6">
        <v>46157</v>
      </c>
      <c r="M11" s="7">
        <v>-25</v>
      </c>
      <c r="N11" s="7">
        <v>323785990</v>
      </c>
      <c r="O11" s="7">
        <v>0</v>
      </c>
      <c r="P11" s="7">
        <v>323785990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5" t="s">
        <v>60</v>
      </c>
      <c r="Z11" s="6"/>
      <c r="AA11" s="5" t="s">
        <v>55</v>
      </c>
      <c r="AB11" s="5" t="s">
        <v>51</v>
      </c>
      <c r="AC11" s="5" t="s">
        <v>51</v>
      </c>
      <c r="AD11" s="5" t="s">
        <v>51</v>
      </c>
      <c r="AE11" s="5" t="s">
        <v>66</v>
      </c>
      <c r="AF11" s="5" t="s">
        <v>67</v>
      </c>
    </row>
    <row r="12" spans="1:32" ht="15.65" customHeight="1" x14ac:dyDescent="0.35">
      <c r="A12" s="5" t="s">
        <v>45</v>
      </c>
      <c r="B12" s="5" t="s">
        <v>46</v>
      </c>
      <c r="C12" s="5" t="s">
        <v>60</v>
      </c>
      <c r="D12" s="5">
        <v>3000029</v>
      </c>
      <c r="E12" s="11">
        <v>3100695</v>
      </c>
      <c r="F12" s="11" t="s">
        <v>53</v>
      </c>
      <c r="G12" s="5" t="s">
        <v>53</v>
      </c>
      <c r="H12" s="5" t="s">
        <v>54</v>
      </c>
      <c r="I12" s="5">
        <v>9921092</v>
      </c>
      <c r="J12" s="6">
        <v>46112</v>
      </c>
      <c r="K12" s="6">
        <v>46112</v>
      </c>
      <c r="L12" s="6">
        <v>46163</v>
      </c>
      <c r="M12" s="7">
        <v>-31</v>
      </c>
      <c r="N12" s="7">
        <v>297702480</v>
      </c>
      <c r="O12" s="7">
        <v>0</v>
      </c>
      <c r="P12" s="7">
        <v>297702480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5" t="s">
        <v>60</v>
      </c>
      <c r="Z12" s="6"/>
      <c r="AA12" s="5" t="s">
        <v>55</v>
      </c>
      <c r="AB12" s="5" t="s">
        <v>51</v>
      </c>
      <c r="AC12" s="5" t="s">
        <v>51</v>
      </c>
      <c r="AD12" s="5" t="s">
        <v>51</v>
      </c>
      <c r="AE12" s="5" t="s">
        <v>68</v>
      </c>
      <c r="AF12" s="5" t="s">
        <v>69</v>
      </c>
    </row>
    <row r="13" spans="1:32" ht="15.65" customHeight="1" x14ac:dyDescent="0.35">
      <c r="A13" s="5" t="s">
        <v>45</v>
      </c>
      <c r="B13" s="5" t="s">
        <v>46</v>
      </c>
      <c r="C13" s="5" t="s">
        <v>60</v>
      </c>
      <c r="D13" s="5">
        <v>3000029</v>
      </c>
      <c r="E13" s="5">
        <v>3100695</v>
      </c>
      <c r="F13" s="5" t="s">
        <v>53</v>
      </c>
      <c r="G13" s="5" t="s">
        <v>53</v>
      </c>
      <c r="H13" s="5" t="s">
        <v>54</v>
      </c>
      <c r="I13" s="5">
        <v>9921108</v>
      </c>
      <c r="J13" s="6">
        <v>46112</v>
      </c>
      <c r="K13" s="6">
        <v>46112</v>
      </c>
      <c r="L13" s="6">
        <v>46163</v>
      </c>
      <c r="M13" s="7">
        <v>-31</v>
      </c>
      <c r="N13" s="7">
        <v>60577928</v>
      </c>
      <c r="O13" s="7">
        <v>0</v>
      </c>
      <c r="P13" s="7">
        <v>60577928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5" t="s">
        <v>60</v>
      </c>
      <c r="Z13" s="6"/>
      <c r="AA13" s="5" t="s">
        <v>55</v>
      </c>
      <c r="AB13" s="5" t="s">
        <v>51</v>
      </c>
      <c r="AC13" s="5" t="s">
        <v>51</v>
      </c>
      <c r="AD13" s="5" t="s">
        <v>51</v>
      </c>
      <c r="AE13" s="5" t="s">
        <v>70</v>
      </c>
      <c r="AF13" s="5" t="s">
        <v>69</v>
      </c>
    </row>
    <row r="14" spans="1:32" ht="15.65" customHeight="1" x14ac:dyDescent="0.35">
      <c r="A14" s="5" t="s">
        <v>45</v>
      </c>
      <c r="B14" s="5" t="s">
        <v>46</v>
      </c>
      <c r="C14" s="5" t="s">
        <v>60</v>
      </c>
      <c r="D14" s="5">
        <v>3000029</v>
      </c>
      <c r="E14" s="11">
        <v>3100695</v>
      </c>
      <c r="F14" s="11" t="s">
        <v>53</v>
      </c>
      <c r="G14" s="5" t="s">
        <v>53</v>
      </c>
      <c r="H14" s="5" t="s">
        <v>54</v>
      </c>
      <c r="I14" s="5">
        <v>9927278</v>
      </c>
      <c r="J14" s="6">
        <v>46130</v>
      </c>
      <c r="K14" s="6">
        <v>46130</v>
      </c>
      <c r="L14" s="6">
        <v>46181</v>
      </c>
      <c r="M14" s="7">
        <v>-49</v>
      </c>
      <c r="N14" s="7">
        <v>138644237</v>
      </c>
      <c r="O14" s="7">
        <v>0</v>
      </c>
      <c r="P14" s="7">
        <v>138644237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5" t="s">
        <v>60</v>
      </c>
      <c r="Z14" s="6"/>
      <c r="AA14" s="5" t="s">
        <v>55</v>
      </c>
      <c r="AB14" s="5" t="s">
        <v>51</v>
      </c>
      <c r="AC14" s="5" t="s">
        <v>51</v>
      </c>
      <c r="AD14" s="5" t="s">
        <v>51</v>
      </c>
      <c r="AE14" s="5" t="s">
        <v>71</v>
      </c>
      <c r="AF14" s="5" t="s">
        <v>72</v>
      </c>
    </row>
    <row r="15" spans="1:32" ht="15.65" customHeight="1" x14ac:dyDescent="0.35">
      <c r="A15" s="5" t="s">
        <v>73</v>
      </c>
      <c r="B15" s="5" t="s">
        <v>74</v>
      </c>
      <c r="C15" s="5" t="s">
        <v>47</v>
      </c>
      <c r="D15" s="5">
        <v>3000041</v>
      </c>
      <c r="E15" s="11">
        <v>3000041</v>
      </c>
      <c r="F15" s="11" t="s">
        <v>75</v>
      </c>
      <c r="G15" s="5" t="s">
        <v>75</v>
      </c>
      <c r="H15" s="5" t="s">
        <v>54</v>
      </c>
      <c r="I15" s="5">
        <v>6955573</v>
      </c>
      <c r="J15" s="6">
        <v>46095</v>
      </c>
      <c r="K15" s="6">
        <v>46095</v>
      </c>
      <c r="L15" s="6">
        <v>46095</v>
      </c>
      <c r="M15" s="7">
        <v>37</v>
      </c>
      <c r="N15" s="7">
        <v>-2061614</v>
      </c>
      <c r="O15" s="7">
        <v>-2061614</v>
      </c>
      <c r="P15" s="7">
        <v>0</v>
      </c>
      <c r="Q15" s="7">
        <v>0</v>
      </c>
      <c r="R15" s="7">
        <v>-2061614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5" t="s">
        <v>47</v>
      </c>
      <c r="Z15" s="6"/>
      <c r="AA15" s="5" t="s">
        <v>76</v>
      </c>
      <c r="AB15" s="5" t="s">
        <v>51</v>
      </c>
      <c r="AC15" s="5" t="s">
        <v>51</v>
      </c>
      <c r="AD15" s="5" t="s">
        <v>51</v>
      </c>
      <c r="AE15" s="5" t="s">
        <v>51</v>
      </c>
      <c r="AF15" s="5" t="s">
        <v>77</v>
      </c>
    </row>
    <row r="16" spans="1:32" ht="15.65" customHeight="1" x14ac:dyDescent="0.35">
      <c r="A16" s="5" t="s">
        <v>73</v>
      </c>
      <c r="B16" s="5" t="s">
        <v>74</v>
      </c>
      <c r="C16" s="5" t="s">
        <v>47</v>
      </c>
      <c r="D16" s="5">
        <v>3000041</v>
      </c>
      <c r="E16" s="11">
        <v>3000041</v>
      </c>
      <c r="F16" s="11" t="s">
        <v>75</v>
      </c>
      <c r="G16" s="5" t="s">
        <v>75</v>
      </c>
      <c r="H16" s="5" t="s">
        <v>54</v>
      </c>
      <c r="I16" s="5">
        <v>6955694</v>
      </c>
      <c r="J16" s="6">
        <v>46095</v>
      </c>
      <c r="K16" s="6">
        <v>46095</v>
      </c>
      <c r="L16" s="6">
        <v>46095</v>
      </c>
      <c r="M16" s="7">
        <v>37</v>
      </c>
      <c r="N16" s="7">
        <v>-700000</v>
      </c>
      <c r="O16" s="7">
        <v>-700000</v>
      </c>
      <c r="P16" s="7">
        <v>0</v>
      </c>
      <c r="Q16" s="7">
        <v>0</v>
      </c>
      <c r="R16" s="7">
        <v>-700000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5" t="s">
        <v>47</v>
      </c>
      <c r="Z16" s="6"/>
      <c r="AA16" s="5" t="s">
        <v>76</v>
      </c>
      <c r="AB16" s="5" t="s">
        <v>51</v>
      </c>
      <c r="AC16" s="5" t="s">
        <v>51</v>
      </c>
      <c r="AD16" s="5" t="s">
        <v>51</v>
      </c>
      <c r="AE16" s="5" t="s">
        <v>51</v>
      </c>
      <c r="AF16" s="5" t="s">
        <v>78</v>
      </c>
    </row>
    <row r="17" spans="1:32" ht="15.65" customHeight="1" x14ac:dyDescent="0.35">
      <c r="A17" s="5" t="s">
        <v>73</v>
      </c>
      <c r="B17" s="5" t="s">
        <v>74</v>
      </c>
      <c r="C17" s="5" t="s">
        <v>47</v>
      </c>
      <c r="D17" s="5">
        <v>3000041</v>
      </c>
      <c r="E17" s="11">
        <v>3000041</v>
      </c>
      <c r="F17" s="11" t="s">
        <v>75</v>
      </c>
      <c r="G17" s="5" t="s">
        <v>75</v>
      </c>
      <c r="H17" s="5" t="s">
        <v>54</v>
      </c>
      <c r="I17" s="5">
        <v>6955695</v>
      </c>
      <c r="J17" s="6">
        <v>46095</v>
      </c>
      <c r="K17" s="6">
        <v>46095</v>
      </c>
      <c r="L17" s="6">
        <v>46095</v>
      </c>
      <c r="M17" s="7">
        <v>37</v>
      </c>
      <c r="N17" s="7">
        <v>-8502000</v>
      </c>
      <c r="O17" s="7">
        <v>-8502000</v>
      </c>
      <c r="P17" s="7">
        <v>0</v>
      </c>
      <c r="Q17" s="7">
        <v>0</v>
      </c>
      <c r="R17" s="7">
        <v>-8502000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5" t="s">
        <v>47</v>
      </c>
      <c r="Z17" s="6"/>
      <c r="AA17" s="5" t="s">
        <v>76</v>
      </c>
      <c r="AB17" s="5" t="s">
        <v>51</v>
      </c>
      <c r="AC17" s="5" t="s">
        <v>51</v>
      </c>
      <c r="AD17" s="5" t="s">
        <v>51</v>
      </c>
      <c r="AE17" s="5" t="s">
        <v>51</v>
      </c>
      <c r="AF17" s="5" t="s">
        <v>79</v>
      </c>
    </row>
    <row r="18" spans="1:32" ht="15.65" customHeight="1" x14ac:dyDescent="0.35">
      <c r="A18" s="5" t="s">
        <v>73</v>
      </c>
      <c r="B18" s="5" t="s">
        <v>74</v>
      </c>
      <c r="C18" s="5" t="s">
        <v>47</v>
      </c>
      <c r="D18" s="5">
        <v>3000041</v>
      </c>
      <c r="E18" s="11">
        <v>3000041</v>
      </c>
      <c r="F18" s="11" t="s">
        <v>75</v>
      </c>
      <c r="G18" s="5" t="s">
        <v>75</v>
      </c>
      <c r="H18" s="5" t="s">
        <v>54</v>
      </c>
      <c r="I18" s="5">
        <v>6955696</v>
      </c>
      <c r="J18" s="6">
        <v>46095</v>
      </c>
      <c r="K18" s="6">
        <v>46095</v>
      </c>
      <c r="L18" s="6">
        <v>46095</v>
      </c>
      <c r="M18" s="7">
        <v>37</v>
      </c>
      <c r="N18" s="7">
        <v>-13080000</v>
      </c>
      <c r="O18" s="7">
        <v>-13080000</v>
      </c>
      <c r="P18" s="7">
        <v>0</v>
      </c>
      <c r="Q18" s="7">
        <v>0</v>
      </c>
      <c r="R18" s="7">
        <v>-13080000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5" t="s">
        <v>47</v>
      </c>
      <c r="Z18" s="6"/>
      <c r="AA18" s="5" t="s">
        <v>76</v>
      </c>
      <c r="AB18" s="5" t="s">
        <v>51</v>
      </c>
      <c r="AC18" s="5" t="s">
        <v>51</v>
      </c>
      <c r="AD18" s="5" t="s">
        <v>51</v>
      </c>
      <c r="AE18" s="5" t="s">
        <v>51</v>
      </c>
      <c r="AF18" s="5" t="s">
        <v>79</v>
      </c>
    </row>
    <row r="19" spans="1:32" ht="15.65" customHeight="1" x14ac:dyDescent="0.35">
      <c r="A19" s="5" t="s">
        <v>73</v>
      </c>
      <c r="B19" s="5" t="s">
        <v>74</v>
      </c>
      <c r="C19" s="5" t="s">
        <v>47</v>
      </c>
      <c r="D19" s="5">
        <v>3000041</v>
      </c>
      <c r="E19" s="11">
        <v>3000041</v>
      </c>
      <c r="F19" s="11" t="s">
        <v>75</v>
      </c>
      <c r="G19" s="5" t="s">
        <v>75</v>
      </c>
      <c r="H19" s="5" t="s">
        <v>54</v>
      </c>
      <c r="I19" s="5">
        <v>6955697</v>
      </c>
      <c r="J19" s="6">
        <v>46095</v>
      </c>
      <c r="K19" s="6">
        <v>46095</v>
      </c>
      <c r="L19" s="6">
        <v>46095</v>
      </c>
      <c r="M19" s="7">
        <v>37</v>
      </c>
      <c r="N19" s="7">
        <v>-15532500</v>
      </c>
      <c r="O19" s="7">
        <v>-15532500</v>
      </c>
      <c r="P19" s="7">
        <v>0</v>
      </c>
      <c r="Q19" s="7">
        <v>0</v>
      </c>
      <c r="R19" s="7">
        <v>-15532500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5" t="s">
        <v>47</v>
      </c>
      <c r="Z19" s="6"/>
      <c r="AA19" s="5" t="s">
        <v>76</v>
      </c>
      <c r="AB19" s="5" t="s">
        <v>51</v>
      </c>
      <c r="AC19" s="5" t="s">
        <v>51</v>
      </c>
      <c r="AD19" s="5" t="s">
        <v>51</v>
      </c>
      <c r="AE19" s="5" t="s">
        <v>51</v>
      </c>
      <c r="AF19" s="5" t="s">
        <v>80</v>
      </c>
    </row>
    <row r="20" spans="1:32" ht="15.65" customHeight="1" x14ac:dyDescent="0.35">
      <c r="A20" s="5" t="s">
        <v>73</v>
      </c>
      <c r="B20" s="5" t="s">
        <v>74</v>
      </c>
      <c r="C20" s="5" t="s">
        <v>47</v>
      </c>
      <c r="D20" s="5">
        <v>3000041</v>
      </c>
      <c r="E20" s="5">
        <v>3000041</v>
      </c>
      <c r="F20" s="5" t="s">
        <v>75</v>
      </c>
      <c r="G20" s="5" t="s">
        <v>75</v>
      </c>
      <c r="H20" s="5" t="s">
        <v>54</v>
      </c>
      <c r="I20" s="5">
        <v>6955698</v>
      </c>
      <c r="J20" s="6">
        <v>46095</v>
      </c>
      <c r="K20" s="6">
        <v>46095</v>
      </c>
      <c r="L20" s="6">
        <v>46095</v>
      </c>
      <c r="M20" s="7">
        <v>37</v>
      </c>
      <c r="N20" s="7">
        <v>-14392500</v>
      </c>
      <c r="O20" s="7">
        <v>-14392500</v>
      </c>
      <c r="P20" s="7">
        <v>0</v>
      </c>
      <c r="Q20" s="7">
        <v>0</v>
      </c>
      <c r="R20" s="7">
        <v>-14392500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5" t="s">
        <v>47</v>
      </c>
      <c r="Z20" s="6"/>
      <c r="AA20" s="5" t="s">
        <v>76</v>
      </c>
      <c r="AB20" s="5" t="s">
        <v>51</v>
      </c>
      <c r="AC20" s="5" t="s">
        <v>51</v>
      </c>
      <c r="AD20" s="5" t="s">
        <v>51</v>
      </c>
      <c r="AE20" s="5" t="s">
        <v>51</v>
      </c>
      <c r="AF20" s="5" t="s">
        <v>81</v>
      </c>
    </row>
    <row r="21" spans="1:32" ht="15.65" customHeight="1" x14ac:dyDescent="0.35">
      <c r="A21" s="5" t="s">
        <v>73</v>
      </c>
      <c r="B21" s="5" t="s">
        <v>74</v>
      </c>
      <c r="C21" s="5" t="s">
        <v>47</v>
      </c>
      <c r="D21" s="5">
        <v>3000041</v>
      </c>
      <c r="E21" s="11">
        <v>3000041</v>
      </c>
      <c r="F21" s="11" t="s">
        <v>75</v>
      </c>
      <c r="G21" s="5" t="s">
        <v>75</v>
      </c>
      <c r="H21" s="5" t="s">
        <v>54</v>
      </c>
      <c r="I21" s="5">
        <v>6955699</v>
      </c>
      <c r="J21" s="6">
        <v>46095</v>
      </c>
      <c r="K21" s="6">
        <v>46095</v>
      </c>
      <c r="L21" s="6">
        <v>46095</v>
      </c>
      <c r="M21" s="7">
        <v>37</v>
      </c>
      <c r="N21" s="7">
        <v>-15532500</v>
      </c>
      <c r="O21" s="7">
        <v>-15532500</v>
      </c>
      <c r="P21" s="7">
        <v>0</v>
      </c>
      <c r="Q21" s="7">
        <v>0</v>
      </c>
      <c r="R21" s="7">
        <v>-15532500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5" t="s">
        <v>47</v>
      </c>
      <c r="Z21" s="6"/>
      <c r="AA21" s="5" t="s">
        <v>76</v>
      </c>
      <c r="AB21" s="5" t="s">
        <v>51</v>
      </c>
      <c r="AC21" s="5" t="s">
        <v>51</v>
      </c>
      <c r="AD21" s="5" t="s">
        <v>51</v>
      </c>
      <c r="AE21" s="5" t="s">
        <v>51</v>
      </c>
      <c r="AF21" s="5" t="s">
        <v>80</v>
      </c>
    </row>
    <row r="22" spans="1:32" ht="15.65" customHeight="1" x14ac:dyDescent="0.35">
      <c r="A22" s="5" t="s">
        <v>73</v>
      </c>
      <c r="B22" s="5" t="s">
        <v>74</v>
      </c>
      <c r="C22" s="5" t="s">
        <v>47</v>
      </c>
      <c r="D22" s="5">
        <v>3000041</v>
      </c>
      <c r="E22" s="11">
        <v>3000041</v>
      </c>
      <c r="F22" s="11" t="s">
        <v>75</v>
      </c>
      <c r="G22" s="5" t="s">
        <v>75</v>
      </c>
      <c r="H22" s="5" t="s">
        <v>54</v>
      </c>
      <c r="I22" s="5">
        <v>6955700</v>
      </c>
      <c r="J22" s="6">
        <v>46095</v>
      </c>
      <c r="K22" s="6">
        <v>46095</v>
      </c>
      <c r="L22" s="6">
        <v>46095</v>
      </c>
      <c r="M22" s="7">
        <v>37</v>
      </c>
      <c r="N22" s="7">
        <v>-15532500</v>
      </c>
      <c r="O22" s="7">
        <v>-15532500</v>
      </c>
      <c r="P22" s="7">
        <v>0</v>
      </c>
      <c r="Q22" s="7">
        <v>0</v>
      </c>
      <c r="R22" s="7">
        <v>-15532500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5" t="s">
        <v>47</v>
      </c>
      <c r="Z22" s="6"/>
      <c r="AA22" s="5" t="s">
        <v>76</v>
      </c>
      <c r="AB22" s="5" t="s">
        <v>51</v>
      </c>
      <c r="AC22" s="5" t="s">
        <v>51</v>
      </c>
      <c r="AD22" s="5" t="s">
        <v>51</v>
      </c>
      <c r="AE22" s="5" t="s">
        <v>51</v>
      </c>
      <c r="AF22" s="5" t="s">
        <v>80</v>
      </c>
    </row>
    <row r="23" spans="1:32" ht="15.65" customHeight="1" x14ac:dyDescent="0.35">
      <c r="A23" s="5" t="s">
        <v>73</v>
      </c>
      <c r="B23" s="5" t="s">
        <v>74</v>
      </c>
      <c r="C23" s="5" t="s">
        <v>47</v>
      </c>
      <c r="D23" s="5">
        <v>3000041</v>
      </c>
      <c r="E23" s="11">
        <v>3000041</v>
      </c>
      <c r="F23" s="11" t="s">
        <v>75</v>
      </c>
      <c r="G23" s="5" t="s">
        <v>75</v>
      </c>
      <c r="H23" s="5" t="s">
        <v>54</v>
      </c>
      <c r="I23" s="5">
        <v>6955701</v>
      </c>
      <c r="J23" s="6">
        <v>46095</v>
      </c>
      <c r="K23" s="6">
        <v>46095</v>
      </c>
      <c r="L23" s="6">
        <v>46095</v>
      </c>
      <c r="M23" s="7">
        <v>37</v>
      </c>
      <c r="N23" s="7">
        <v>-15532500</v>
      </c>
      <c r="O23" s="7">
        <v>-15532500</v>
      </c>
      <c r="P23" s="7">
        <v>0</v>
      </c>
      <c r="Q23" s="7">
        <v>0</v>
      </c>
      <c r="R23" s="7">
        <v>-15532500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5" t="s">
        <v>47</v>
      </c>
      <c r="Z23" s="6"/>
      <c r="AA23" s="5" t="s">
        <v>76</v>
      </c>
      <c r="AB23" s="5" t="s">
        <v>51</v>
      </c>
      <c r="AC23" s="5" t="s">
        <v>51</v>
      </c>
      <c r="AD23" s="5" t="s">
        <v>51</v>
      </c>
      <c r="AE23" s="5" t="s">
        <v>51</v>
      </c>
      <c r="AF23" s="5" t="s">
        <v>80</v>
      </c>
    </row>
    <row r="24" spans="1:32" ht="15.65" customHeight="1" x14ac:dyDescent="0.35">
      <c r="A24" s="5" t="s">
        <v>73</v>
      </c>
      <c r="B24" s="5" t="s">
        <v>74</v>
      </c>
      <c r="C24" s="5" t="s">
        <v>47</v>
      </c>
      <c r="D24" s="5">
        <v>3000041</v>
      </c>
      <c r="E24" s="11">
        <v>3000041</v>
      </c>
      <c r="F24" s="11" t="s">
        <v>75</v>
      </c>
      <c r="G24" s="5" t="s">
        <v>75</v>
      </c>
      <c r="H24" s="5" t="s">
        <v>54</v>
      </c>
      <c r="I24" s="5">
        <v>6955702</v>
      </c>
      <c r="J24" s="6">
        <v>46095</v>
      </c>
      <c r="K24" s="6">
        <v>46095</v>
      </c>
      <c r="L24" s="6">
        <v>46095</v>
      </c>
      <c r="M24" s="7">
        <v>37</v>
      </c>
      <c r="N24" s="7">
        <v>-654000</v>
      </c>
      <c r="O24" s="7">
        <v>-654000</v>
      </c>
      <c r="P24" s="7">
        <v>0</v>
      </c>
      <c r="Q24" s="7">
        <v>0</v>
      </c>
      <c r="R24" s="7">
        <v>-654000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5" t="s">
        <v>47</v>
      </c>
      <c r="Z24" s="6"/>
      <c r="AA24" s="5" t="s">
        <v>76</v>
      </c>
      <c r="AB24" s="5" t="s">
        <v>51</v>
      </c>
      <c r="AC24" s="5" t="s">
        <v>51</v>
      </c>
      <c r="AD24" s="5" t="s">
        <v>51</v>
      </c>
      <c r="AE24" s="5" t="s">
        <v>51</v>
      </c>
      <c r="AF24" s="5" t="s">
        <v>82</v>
      </c>
    </row>
    <row r="25" spans="1:32" ht="15.65" customHeight="1" x14ac:dyDescent="0.35">
      <c r="A25" s="5" t="s">
        <v>73</v>
      </c>
      <c r="B25" s="5" t="s">
        <v>74</v>
      </c>
      <c r="C25" s="5" t="s">
        <v>47</v>
      </c>
      <c r="D25" s="5">
        <v>3000041</v>
      </c>
      <c r="E25" s="5">
        <v>3000041</v>
      </c>
      <c r="F25" s="5" t="s">
        <v>75</v>
      </c>
      <c r="G25" s="5" t="s">
        <v>75</v>
      </c>
      <c r="H25" s="5" t="s">
        <v>54</v>
      </c>
      <c r="I25" s="5">
        <v>6955703</v>
      </c>
      <c r="J25" s="6">
        <v>46095</v>
      </c>
      <c r="K25" s="6">
        <v>46095</v>
      </c>
      <c r="L25" s="6">
        <v>46095</v>
      </c>
      <c r="M25" s="7">
        <v>37</v>
      </c>
      <c r="N25" s="7">
        <v>-502000</v>
      </c>
      <c r="O25" s="7">
        <v>-502000</v>
      </c>
      <c r="P25" s="7">
        <v>0</v>
      </c>
      <c r="Q25" s="7">
        <v>0</v>
      </c>
      <c r="R25" s="7">
        <v>-502000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5" t="s">
        <v>47</v>
      </c>
      <c r="Z25" s="6"/>
      <c r="AA25" s="5" t="s">
        <v>76</v>
      </c>
      <c r="AB25" s="5" t="s">
        <v>51</v>
      </c>
      <c r="AC25" s="5" t="s">
        <v>51</v>
      </c>
      <c r="AD25" s="5" t="s">
        <v>51</v>
      </c>
      <c r="AE25" s="5" t="s">
        <v>51</v>
      </c>
      <c r="AF25" s="5" t="s">
        <v>83</v>
      </c>
    </row>
    <row r="26" spans="1:32" ht="15.65" customHeight="1" x14ac:dyDescent="0.35">
      <c r="A26" s="5" t="s">
        <v>84</v>
      </c>
      <c r="B26" s="5" t="s">
        <v>85</v>
      </c>
      <c r="C26" s="5" t="s">
        <v>47</v>
      </c>
      <c r="D26" s="5">
        <v>3000041</v>
      </c>
      <c r="E26" s="11">
        <v>3100882</v>
      </c>
      <c r="F26" s="11" t="s">
        <v>75</v>
      </c>
      <c r="G26" s="5" t="s">
        <v>86</v>
      </c>
      <c r="H26" s="5" t="s">
        <v>54</v>
      </c>
      <c r="I26" s="5">
        <v>6955713</v>
      </c>
      <c r="J26" s="6">
        <v>46095</v>
      </c>
      <c r="K26" s="6">
        <v>46095</v>
      </c>
      <c r="L26" s="6">
        <v>46095</v>
      </c>
      <c r="M26" s="7">
        <v>37</v>
      </c>
      <c r="N26" s="7">
        <v>-500000</v>
      </c>
      <c r="O26" s="7">
        <v>-500000</v>
      </c>
      <c r="P26" s="7">
        <v>0</v>
      </c>
      <c r="Q26" s="7">
        <v>0</v>
      </c>
      <c r="R26" s="7">
        <v>-500000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5" t="s">
        <v>47</v>
      </c>
      <c r="Z26" s="6"/>
      <c r="AA26" s="5" t="s">
        <v>76</v>
      </c>
      <c r="AB26" s="5" t="s">
        <v>51</v>
      </c>
      <c r="AC26" s="5" t="s">
        <v>51</v>
      </c>
      <c r="AD26" s="5" t="s">
        <v>51</v>
      </c>
      <c r="AE26" s="5" t="s">
        <v>51</v>
      </c>
      <c r="AF26" s="5" t="s">
        <v>87</v>
      </c>
    </row>
    <row r="27" spans="1:32" ht="15.65" customHeight="1" x14ac:dyDescent="0.35">
      <c r="A27" s="5" t="s">
        <v>73</v>
      </c>
      <c r="B27" s="5" t="s">
        <v>74</v>
      </c>
      <c r="C27" s="5" t="s">
        <v>47</v>
      </c>
      <c r="D27" s="5">
        <v>3000041</v>
      </c>
      <c r="E27" s="5">
        <v>3000910</v>
      </c>
      <c r="F27" s="5" t="s">
        <v>75</v>
      </c>
      <c r="G27" s="5" t="s">
        <v>75</v>
      </c>
      <c r="H27" s="5" t="s">
        <v>54</v>
      </c>
      <c r="I27" s="5">
        <v>6956510</v>
      </c>
      <c r="J27" s="6">
        <v>46103</v>
      </c>
      <c r="K27" s="6">
        <v>46103</v>
      </c>
      <c r="L27" s="6">
        <v>46103</v>
      </c>
      <c r="M27" s="7">
        <v>29</v>
      </c>
      <c r="N27" s="7">
        <v>-37594057</v>
      </c>
      <c r="O27" s="7">
        <v>-37594057</v>
      </c>
      <c r="P27" s="7">
        <v>0</v>
      </c>
      <c r="Q27" s="7">
        <v>-37594057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5" t="s">
        <v>47</v>
      </c>
      <c r="Z27" s="6"/>
      <c r="AA27" s="5" t="s">
        <v>76</v>
      </c>
      <c r="AB27" s="5" t="s">
        <v>51</v>
      </c>
      <c r="AC27" s="5" t="s">
        <v>51</v>
      </c>
      <c r="AD27" s="5" t="s">
        <v>51</v>
      </c>
      <c r="AE27" s="5" t="s">
        <v>51</v>
      </c>
      <c r="AF27" s="5" t="s">
        <v>56</v>
      </c>
    </row>
    <row r="28" spans="1:32" ht="15.65" customHeight="1" x14ac:dyDescent="0.35">
      <c r="A28" s="5" t="s">
        <v>73</v>
      </c>
      <c r="B28" s="5" t="s">
        <v>74</v>
      </c>
      <c r="C28" s="5" t="s">
        <v>47</v>
      </c>
      <c r="D28" s="5">
        <v>3000041</v>
      </c>
      <c r="E28" s="11">
        <v>3000041</v>
      </c>
      <c r="F28" s="11" t="s">
        <v>75</v>
      </c>
      <c r="G28" s="5" t="s">
        <v>75</v>
      </c>
      <c r="H28" s="5" t="s">
        <v>54</v>
      </c>
      <c r="I28" s="5">
        <v>6956519</v>
      </c>
      <c r="J28" s="6">
        <v>46103</v>
      </c>
      <c r="K28" s="6">
        <v>46103</v>
      </c>
      <c r="L28" s="6">
        <v>46103</v>
      </c>
      <c r="M28" s="7">
        <v>29</v>
      </c>
      <c r="N28" s="7">
        <v>-342167</v>
      </c>
      <c r="O28" s="7">
        <v>-342167</v>
      </c>
      <c r="P28" s="7">
        <v>0</v>
      </c>
      <c r="Q28" s="7">
        <v>-342167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5" t="s">
        <v>47</v>
      </c>
      <c r="Z28" s="6"/>
      <c r="AA28" s="5" t="s">
        <v>76</v>
      </c>
      <c r="AB28" s="5" t="s">
        <v>51</v>
      </c>
      <c r="AC28" s="5" t="s">
        <v>51</v>
      </c>
      <c r="AD28" s="5" t="s">
        <v>51</v>
      </c>
      <c r="AE28" s="5" t="s">
        <v>51</v>
      </c>
      <c r="AF28" s="5" t="s">
        <v>64</v>
      </c>
    </row>
    <row r="29" spans="1:32" ht="15.65" customHeight="1" x14ac:dyDescent="0.35">
      <c r="A29" s="5" t="s">
        <v>84</v>
      </c>
      <c r="B29" s="5" t="s">
        <v>85</v>
      </c>
      <c r="C29" s="5" t="s">
        <v>47</v>
      </c>
      <c r="D29" s="5">
        <v>3000041</v>
      </c>
      <c r="E29" s="11">
        <v>3100882</v>
      </c>
      <c r="F29" s="11" t="s">
        <v>75</v>
      </c>
      <c r="G29" s="5" t="s">
        <v>86</v>
      </c>
      <c r="H29" s="5" t="s">
        <v>54</v>
      </c>
      <c r="I29" s="5">
        <v>6956641</v>
      </c>
      <c r="J29" s="6">
        <v>46105</v>
      </c>
      <c r="K29" s="6">
        <v>46105</v>
      </c>
      <c r="L29" s="6">
        <v>46105</v>
      </c>
      <c r="M29" s="7">
        <v>27</v>
      </c>
      <c r="N29" s="7">
        <v>-4499999</v>
      </c>
      <c r="O29" s="7">
        <v>-4499999</v>
      </c>
      <c r="P29" s="7">
        <v>0</v>
      </c>
      <c r="Q29" s="7">
        <v>-4499999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5" t="s">
        <v>47</v>
      </c>
      <c r="Z29" s="6"/>
      <c r="AA29" s="5" t="s">
        <v>76</v>
      </c>
      <c r="AB29" s="5" t="s">
        <v>51</v>
      </c>
      <c r="AC29" s="5" t="s">
        <v>51</v>
      </c>
      <c r="AD29" s="5" t="s">
        <v>51</v>
      </c>
      <c r="AE29" s="5" t="s">
        <v>51</v>
      </c>
      <c r="AF29" s="5" t="s">
        <v>88</v>
      </c>
    </row>
    <row r="30" spans="1:32" ht="15.65" customHeight="1" x14ac:dyDescent="0.35">
      <c r="A30" s="5" t="s">
        <v>73</v>
      </c>
      <c r="B30" s="5" t="s">
        <v>74</v>
      </c>
      <c r="C30" s="5" t="s">
        <v>47</v>
      </c>
      <c r="D30" s="5">
        <v>3000041</v>
      </c>
      <c r="E30" s="11">
        <v>3000910</v>
      </c>
      <c r="F30" s="11" t="s">
        <v>75</v>
      </c>
      <c r="G30" s="5" t="s">
        <v>75</v>
      </c>
      <c r="H30" s="5" t="s">
        <v>54</v>
      </c>
      <c r="I30" s="5">
        <v>6956826</v>
      </c>
      <c r="J30" s="6">
        <v>46106</v>
      </c>
      <c r="K30" s="6">
        <v>46106</v>
      </c>
      <c r="L30" s="6">
        <v>46106</v>
      </c>
      <c r="M30" s="7">
        <v>26</v>
      </c>
      <c r="N30" s="7">
        <v>-130827</v>
      </c>
      <c r="O30" s="7">
        <v>-130827</v>
      </c>
      <c r="P30" s="7">
        <v>0</v>
      </c>
      <c r="Q30" s="7">
        <v>-130827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5" t="s">
        <v>47</v>
      </c>
      <c r="Z30" s="6"/>
      <c r="AA30" s="5" t="s">
        <v>76</v>
      </c>
      <c r="AB30" s="5" t="s">
        <v>51</v>
      </c>
      <c r="AC30" s="5" t="s">
        <v>51</v>
      </c>
      <c r="AD30" s="5" t="s">
        <v>51</v>
      </c>
      <c r="AE30" s="5" t="s">
        <v>51</v>
      </c>
      <c r="AF30" s="5" t="s">
        <v>89</v>
      </c>
    </row>
    <row r="31" spans="1:32" ht="15.65" customHeight="1" x14ac:dyDescent="0.35">
      <c r="A31" s="5" t="s">
        <v>73</v>
      </c>
      <c r="B31" s="5" t="s">
        <v>74</v>
      </c>
      <c r="C31" s="5" t="s">
        <v>47</v>
      </c>
      <c r="D31" s="5">
        <v>3000041</v>
      </c>
      <c r="E31" s="5">
        <v>3000910</v>
      </c>
      <c r="F31" s="5" t="s">
        <v>75</v>
      </c>
      <c r="G31" s="5" t="s">
        <v>75</v>
      </c>
      <c r="H31" s="5" t="s">
        <v>54</v>
      </c>
      <c r="I31" s="5">
        <v>6956880</v>
      </c>
      <c r="J31" s="6">
        <v>46106</v>
      </c>
      <c r="K31" s="6">
        <v>46106</v>
      </c>
      <c r="L31" s="6">
        <v>46106</v>
      </c>
      <c r="M31" s="7">
        <v>26</v>
      </c>
      <c r="N31" s="7">
        <v>-191791</v>
      </c>
      <c r="O31" s="7">
        <v>-191791</v>
      </c>
      <c r="P31" s="7">
        <v>0</v>
      </c>
      <c r="Q31" s="7">
        <v>-191791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5" t="s">
        <v>47</v>
      </c>
      <c r="Z31" s="6"/>
      <c r="AA31" s="5" t="s">
        <v>76</v>
      </c>
      <c r="AB31" s="5" t="s">
        <v>51</v>
      </c>
      <c r="AC31" s="5" t="s">
        <v>51</v>
      </c>
      <c r="AD31" s="5" t="s">
        <v>51</v>
      </c>
      <c r="AE31" s="5" t="s">
        <v>51</v>
      </c>
      <c r="AF31" s="5" t="s">
        <v>90</v>
      </c>
    </row>
    <row r="32" spans="1:32" ht="15.65" customHeight="1" x14ac:dyDescent="0.35">
      <c r="A32" s="5" t="s">
        <v>73</v>
      </c>
      <c r="B32" s="5" t="s">
        <v>74</v>
      </c>
      <c r="C32" s="5" t="s">
        <v>47</v>
      </c>
      <c r="D32" s="5">
        <v>3000041</v>
      </c>
      <c r="E32" s="11">
        <v>3000910</v>
      </c>
      <c r="F32" s="11" t="s">
        <v>75</v>
      </c>
      <c r="G32" s="5" t="s">
        <v>75</v>
      </c>
      <c r="H32" s="5" t="s">
        <v>54</v>
      </c>
      <c r="I32" s="5">
        <v>6956881</v>
      </c>
      <c r="J32" s="6">
        <v>46106</v>
      </c>
      <c r="K32" s="6">
        <v>46106</v>
      </c>
      <c r="L32" s="6">
        <v>46106</v>
      </c>
      <c r="M32" s="7">
        <v>26</v>
      </c>
      <c r="N32" s="7">
        <v>-219129</v>
      </c>
      <c r="O32" s="7">
        <v>-219129</v>
      </c>
      <c r="P32" s="7">
        <v>0</v>
      </c>
      <c r="Q32" s="7">
        <v>-219129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5" t="s">
        <v>47</v>
      </c>
      <c r="Z32" s="6"/>
      <c r="AA32" s="5" t="s">
        <v>76</v>
      </c>
      <c r="AB32" s="5" t="s">
        <v>51</v>
      </c>
      <c r="AC32" s="5" t="s">
        <v>51</v>
      </c>
      <c r="AD32" s="5" t="s">
        <v>51</v>
      </c>
      <c r="AE32" s="5" t="s">
        <v>51</v>
      </c>
      <c r="AF32" s="5" t="s">
        <v>91</v>
      </c>
    </row>
    <row r="33" spans="1:32" ht="15.65" customHeight="1" x14ac:dyDescent="0.35">
      <c r="A33" s="5" t="s">
        <v>73</v>
      </c>
      <c r="B33" s="5" t="s">
        <v>74</v>
      </c>
      <c r="C33" s="5" t="s">
        <v>47</v>
      </c>
      <c r="D33" s="5">
        <v>3000041</v>
      </c>
      <c r="E33" s="11">
        <v>3000910</v>
      </c>
      <c r="F33" s="11" t="s">
        <v>75</v>
      </c>
      <c r="G33" s="5" t="s">
        <v>75</v>
      </c>
      <c r="H33" s="5" t="s">
        <v>54</v>
      </c>
      <c r="I33" s="5">
        <v>6956882</v>
      </c>
      <c r="J33" s="6">
        <v>46106</v>
      </c>
      <c r="K33" s="6">
        <v>46106</v>
      </c>
      <c r="L33" s="6">
        <v>46106</v>
      </c>
      <c r="M33" s="7">
        <v>26</v>
      </c>
      <c r="N33" s="7">
        <v>-265798</v>
      </c>
      <c r="O33" s="7">
        <v>-265798</v>
      </c>
      <c r="P33" s="7">
        <v>0</v>
      </c>
      <c r="Q33" s="7">
        <v>-265798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5" t="s">
        <v>47</v>
      </c>
      <c r="Z33" s="6"/>
      <c r="AA33" s="5" t="s">
        <v>76</v>
      </c>
      <c r="AB33" s="5" t="s">
        <v>51</v>
      </c>
      <c r="AC33" s="5" t="s">
        <v>51</v>
      </c>
      <c r="AD33" s="5" t="s">
        <v>51</v>
      </c>
      <c r="AE33" s="5" t="s">
        <v>51</v>
      </c>
      <c r="AF33" s="5" t="s">
        <v>92</v>
      </c>
    </row>
    <row r="34" spans="1:32" ht="15.65" customHeight="1" x14ac:dyDescent="0.35">
      <c r="A34" s="5" t="s">
        <v>84</v>
      </c>
      <c r="B34" s="5" t="s">
        <v>85</v>
      </c>
      <c r="C34" s="5" t="s">
        <v>47</v>
      </c>
      <c r="D34" s="5">
        <v>3000041</v>
      </c>
      <c r="E34" s="11">
        <v>3100882</v>
      </c>
      <c r="F34" s="11" t="s">
        <v>75</v>
      </c>
      <c r="G34" s="5" t="s">
        <v>86</v>
      </c>
      <c r="H34" s="5" t="s">
        <v>54</v>
      </c>
      <c r="I34" s="5">
        <v>6956900</v>
      </c>
      <c r="J34" s="6">
        <v>46106</v>
      </c>
      <c r="K34" s="6">
        <v>46106</v>
      </c>
      <c r="L34" s="6">
        <v>46106</v>
      </c>
      <c r="M34" s="7">
        <v>26</v>
      </c>
      <c r="N34" s="7">
        <v>-2222277</v>
      </c>
      <c r="O34" s="7">
        <v>-2222277</v>
      </c>
      <c r="P34" s="7">
        <v>0</v>
      </c>
      <c r="Q34" s="7">
        <v>-2222277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5" t="s">
        <v>47</v>
      </c>
      <c r="Z34" s="6"/>
      <c r="AA34" s="5" t="s">
        <v>76</v>
      </c>
      <c r="AB34" s="5" t="s">
        <v>51</v>
      </c>
      <c r="AC34" s="5" t="s">
        <v>51</v>
      </c>
      <c r="AD34" s="5" t="s">
        <v>51</v>
      </c>
      <c r="AE34" s="5" t="s">
        <v>51</v>
      </c>
      <c r="AF34" s="5" t="s">
        <v>93</v>
      </c>
    </row>
    <row r="35" spans="1:32" ht="15.65" customHeight="1" x14ac:dyDescent="0.35">
      <c r="A35" s="5" t="s">
        <v>73</v>
      </c>
      <c r="B35" s="5" t="s">
        <v>74</v>
      </c>
      <c r="C35" s="5" t="s">
        <v>47</v>
      </c>
      <c r="D35" s="5">
        <v>3000041</v>
      </c>
      <c r="E35" s="11">
        <v>3000910</v>
      </c>
      <c r="F35" s="11" t="s">
        <v>75</v>
      </c>
      <c r="G35" s="5" t="s">
        <v>75</v>
      </c>
      <c r="H35" s="5" t="s">
        <v>54</v>
      </c>
      <c r="I35" s="5">
        <v>6956909</v>
      </c>
      <c r="J35" s="6">
        <v>46106</v>
      </c>
      <c r="K35" s="6">
        <v>46106</v>
      </c>
      <c r="L35" s="6">
        <v>46106</v>
      </c>
      <c r="M35" s="7">
        <v>26</v>
      </c>
      <c r="N35" s="7">
        <v>-285728</v>
      </c>
      <c r="O35" s="7">
        <v>-285728</v>
      </c>
      <c r="P35" s="7">
        <v>0</v>
      </c>
      <c r="Q35" s="7">
        <v>-285728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5" t="s">
        <v>47</v>
      </c>
      <c r="Z35" s="6"/>
      <c r="AA35" s="5" t="s">
        <v>76</v>
      </c>
      <c r="AB35" s="5" t="s">
        <v>51</v>
      </c>
      <c r="AC35" s="5" t="s">
        <v>51</v>
      </c>
      <c r="AD35" s="5" t="s">
        <v>51</v>
      </c>
      <c r="AE35" s="5" t="s">
        <v>51</v>
      </c>
      <c r="AF35" s="5" t="s">
        <v>89</v>
      </c>
    </row>
    <row r="36" spans="1:32" ht="15.65" customHeight="1" x14ac:dyDescent="0.35">
      <c r="A36" s="5" t="s">
        <v>84</v>
      </c>
      <c r="B36" s="5" t="s">
        <v>85</v>
      </c>
      <c r="C36" s="5" t="s">
        <v>47</v>
      </c>
      <c r="D36" s="5">
        <v>3000041</v>
      </c>
      <c r="E36" s="11">
        <v>3100882</v>
      </c>
      <c r="F36" s="11" t="s">
        <v>75</v>
      </c>
      <c r="G36" s="5" t="s">
        <v>86</v>
      </c>
      <c r="H36" s="5" t="s">
        <v>54</v>
      </c>
      <c r="I36" s="5">
        <v>6956932</v>
      </c>
      <c r="J36" s="6">
        <v>46106</v>
      </c>
      <c r="K36" s="6">
        <v>46106</v>
      </c>
      <c r="L36" s="6">
        <v>46106</v>
      </c>
      <c r="M36" s="7">
        <v>26</v>
      </c>
      <c r="N36" s="7">
        <v>-356253</v>
      </c>
      <c r="O36" s="7">
        <v>-356253</v>
      </c>
      <c r="P36" s="7">
        <v>0</v>
      </c>
      <c r="Q36" s="7">
        <v>-356253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5" t="s">
        <v>47</v>
      </c>
      <c r="Z36" s="6"/>
      <c r="AA36" s="5" t="s">
        <v>76</v>
      </c>
      <c r="AB36" s="5" t="s">
        <v>51</v>
      </c>
      <c r="AC36" s="5" t="s">
        <v>51</v>
      </c>
      <c r="AD36" s="5" t="s">
        <v>51</v>
      </c>
      <c r="AE36" s="5" t="s">
        <v>51</v>
      </c>
      <c r="AF36" s="5" t="s">
        <v>94</v>
      </c>
    </row>
    <row r="37" spans="1:32" ht="15.65" customHeight="1" x14ac:dyDescent="0.35">
      <c r="A37" s="5" t="s">
        <v>84</v>
      </c>
      <c r="B37" s="5" t="s">
        <v>85</v>
      </c>
      <c r="C37" s="5" t="s">
        <v>47</v>
      </c>
      <c r="D37" s="5">
        <v>3000041</v>
      </c>
      <c r="E37" s="5">
        <v>3100882</v>
      </c>
      <c r="F37" s="5" t="s">
        <v>75</v>
      </c>
      <c r="G37" s="5" t="s">
        <v>86</v>
      </c>
      <c r="H37" s="5" t="s">
        <v>54</v>
      </c>
      <c r="I37" s="5">
        <v>6956933</v>
      </c>
      <c r="J37" s="6">
        <v>46106</v>
      </c>
      <c r="K37" s="6">
        <v>46106</v>
      </c>
      <c r="L37" s="6">
        <v>46106</v>
      </c>
      <c r="M37" s="7">
        <v>26</v>
      </c>
      <c r="N37" s="7">
        <v>-149897</v>
      </c>
      <c r="O37" s="7">
        <v>-149897</v>
      </c>
      <c r="P37" s="7">
        <v>0</v>
      </c>
      <c r="Q37" s="7">
        <v>-149897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5" t="s">
        <v>47</v>
      </c>
      <c r="Z37" s="6"/>
      <c r="AA37" s="5" t="s">
        <v>76</v>
      </c>
      <c r="AB37" s="5" t="s">
        <v>51</v>
      </c>
      <c r="AC37" s="5" t="s">
        <v>51</v>
      </c>
      <c r="AD37" s="5" t="s">
        <v>51</v>
      </c>
      <c r="AE37" s="5" t="s">
        <v>51</v>
      </c>
      <c r="AF37" s="5" t="s">
        <v>95</v>
      </c>
    </row>
    <row r="38" spans="1:32" ht="15.65" customHeight="1" x14ac:dyDescent="0.35">
      <c r="A38" s="5" t="s">
        <v>73</v>
      </c>
      <c r="B38" s="5" t="s">
        <v>74</v>
      </c>
      <c r="C38" s="5" t="s">
        <v>47</v>
      </c>
      <c r="D38" s="5">
        <v>3000041</v>
      </c>
      <c r="E38" s="11">
        <v>3000910</v>
      </c>
      <c r="F38" s="11" t="s">
        <v>75</v>
      </c>
      <c r="G38" s="5" t="s">
        <v>75</v>
      </c>
      <c r="H38" s="5" t="s">
        <v>54</v>
      </c>
      <c r="I38" s="5">
        <v>6956934</v>
      </c>
      <c r="J38" s="6">
        <v>46106</v>
      </c>
      <c r="K38" s="6">
        <v>46106</v>
      </c>
      <c r="L38" s="6">
        <v>46106</v>
      </c>
      <c r="M38" s="7">
        <v>26</v>
      </c>
      <c r="N38" s="7">
        <v>-672375</v>
      </c>
      <c r="O38" s="7">
        <v>-672375</v>
      </c>
      <c r="P38" s="7">
        <v>0</v>
      </c>
      <c r="Q38" s="7">
        <v>-672375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5" t="s">
        <v>47</v>
      </c>
      <c r="Z38" s="6"/>
      <c r="AA38" s="5" t="s">
        <v>76</v>
      </c>
      <c r="AB38" s="5" t="s">
        <v>51</v>
      </c>
      <c r="AC38" s="5" t="s">
        <v>51</v>
      </c>
      <c r="AD38" s="5" t="s">
        <v>51</v>
      </c>
      <c r="AE38" s="5" t="s">
        <v>51</v>
      </c>
      <c r="AF38" s="5" t="s">
        <v>91</v>
      </c>
    </row>
    <row r="39" spans="1:32" ht="15.65" customHeight="1" x14ac:dyDescent="0.35">
      <c r="A39" s="5" t="s">
        <v>73</v>
      </c>
      <c r="B39" s="5" t="s">
        <v>74</v>
      </c>
      <c r="C39" s="5" t="s">
        <v>47</v>
      </c>
      <c r="D39" s="5">
        <v>3000041</v>
      </c>
      <c r="E39" s="11">
        <v>3000910</v>
      </c>
      <c r="F39" s="11" t="s">
        <v>75</v>
      </c>
      <c r="G39" s="5" t="s">
        <v>75</v>
      </c>
      <c r="H39" s="5" t="s">
        <v>54</v>
      </c>
      <c r="I39" s="5">
        <v>6956935</v>
      </c>
      <c r="J39" s="6">
        <v>46106</v>
      </c>
      <c r="K39" s="6">
        <v>46106</v>
      </c>
      <c r="L39" s="6">
        <v>46106</v>
      </c>
      <c r="M39" s="7">
        <v>26</v>
      </c>
      <c r="N39" s="7">
        <v>-290748</v>
      </c>
      <c r="O39" s="7">
        <v>-290748</v>
      </c>
      <c r="P39" s="7">
        <v>0</v>
      </c>
      <c r="Q39" s="7">
        <v>-290748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5" t="s">
        <v>47</v>
      </c>
      <c r="Z39" s="6"/>
      <c r="AA39" s="5" t="s">
        <v>76</v>
      </c>
      <c r="AB39" s="5" t="s">
        <v>51</v>
      </c>
      <c r="AC39" s="5" t="s">
        <v>51</v>
      </c>
      <c r="AD39" s="5" t="s">
        <v>51</v>
      </c>
      <c r="AE39" s="5" t="s">
        <v>51</v>
      </c>
      <c r="AF39" s="5" t="s">
        <v>89</v>
      </c>
    </row>
    <row r="40" spans="1:32" ht="15.65" customHeight="1" x14ac:dyDescent="0.35">
      <c r="A40" s="5" t="s">
        <v>84</v>
      </c>
      <c r="B40" s="5" t="s">
        <v>85</v>
      </c>
      <c r="C40" s="5" t="s">
        <v>47</v>
      </c>
      <c r="D40" s="5">
        <v>3000041</v>
      </c>
      <c r="E40" s="11">
        <v>3100748</v>
      </c>
      <c r="F40" s="11" t="s">
        <v>75</v>
      </c>
      <c r="G40" s="5" t="s">
        <v>96</v>
      </c>
      <c r="H40" s="5" t="s">
        <v>54</v>
      </c>
      <c r="I40" s="5">
        <v>6956955</v>
      </c>
      <c r="J40" s="6">
        <v>46106</v>
      </c>
      <c r="K40" s="6">
        <v>46106</v>
      </c>
      <c r="L40" s="6">
        <v>46106</v>
      </c>
      <c r="M40" s="7">
        <v>26</v>
      </c>
      <c r="N40" s="7">
        <v>-5298090</v>
      </c>
      <c r="O40" s="7">
        <v>-5298090</v>
      </c>
      <c r="P40" s="7">
        <v>0</v>
      </c>
      <c r="Q40" s="7">
        <v>-5298090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5" t="s">
        <v>47</v>
      </c>
      <c r="Z40" s="6"/>
      <c r="AA40" s="5" t="s">
        <v>76</v>
      </c>
      <c r="AB40" s="5" t="s">
        <v>51</v>
      </c>
      <c r="AC40" s="5" t="s">
        <v>51</v>
      </c>
      <c r="AD40" s="5" t="s">
        <v>51</v>
      </c>
      <c r="AE40" s="5" t="s">
        <v>51</v>
      </c>
      <c r="AF40" s="5" t="s">
        <v>97</v>
      </c>
    </row>
    <row r="41" spans="1:32" ht="15.65" customHeight="1" x14ac:dyDescent="0.35">
      <c r="A41" s="5" t="s">
        <v>73</v>
      </c>
      <c r="B41" s="5" t="s">
        <v>74</v>
      </c>
      <c r="C41" s="5" t="s">
        <v>47</v>
      </c>
      <c r="D41" s="5">
        <v>3000041</v>
      </c>
      <c r="E41" s="11">
        <v>3000910</v>
      </c>
      <c r="F41" s="11" t="s">
        <v>75</v>
      </c>
      <c r="G41" s="5" t="s">
        <v>75</v>
      </c>
      <c r="H41" s="5" t="s">
        <v>54</v>
      </c>
      <c r="I41" s="5">
        <v>6957010</v>
      </c>
      <c r="J41" s="6">
        <v>46106</v>
      </c>
      <c r="K41" s="6">
        <v>46106</v>
      </c>
      <c r="L41" s="6">
        <v>46106</v>
      </c>
      <c r="M41" s="7">
        <v>26</v>
      </c>
      <c r="N41" s="7">
        <v>-1215599</v>
      </c>
      <c r="O41" s="7">
        <v>-1215599</v>
      </c>
      <c r="P41" s="7">
        <v>0</v>
      </c>
      <c r="Q41" s="7">
        <v>-1215599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5" t="s">
        <v>47</v>
      </c>
      <c r="Z41" s="6"/>
      <c r="AA41" s="5" t="s">
        <v>76</v>
      </c>
      <c r="AB41" s="5" t="s">
        <v>51</v>
      </c>
      <c r="AC41" s="5" t="s">
        <v>51</v>
      </c>
      <c r="AD41" s="5" t="s">
        <v>51</v>
      </c>
      <c r="AE41" s="5" t="s">
        <v>51</v>
      </c>
      <c r="AF41" s="5" t="s">
        <v>90</v>
      </c>
    </row>
    <row r="42" spans="1:32" ht="15.65" customHeight="1" x14ac:dyDescent="0.35">
      <c r="A42" s="5" t="s">
        <v>73</v>
      </c>
      <c r="B42" s="5" t="s">
        <v>74</v>
      </c>
      <c r="C42" s="5" t="s">
        <v>47</v>
      </c>
      <c r="D42" s="5">
        <v>3000041</v>
      </c>
      <c r="E42" s="11">
        <v>3000910</v>
      </c>
      <c r="F42" s="11" t="s">
        <v>75</v>
      </c>
      <c r="G42" s="5" t="s">
        <v>75</v>
      </c>
      <c r="H42" s="5" t="s">
        <v>54</v>
      </c>
      <c r="I42" s="5">
        <v>6957011</v>
      </c>
      <c r="J42" s="6">
        <v>46106</v>
      </c>
      <c r="K42" s="6">
        <v>46106</v>
      </c>
      <c r="L42" s="6">
        <v>46106</v>
      </c>
      <c r="M42" s="7">
        <v>26</v>
      </c>
      <c r="N42" s="7">
        <v>-1062226</v>
      </c>
      <c r="O42" s="7">
        <v>-1062226</v>
      </c>
      <c r="P42" s="7">
        <v>0</v>
      </c>
      <c r="Q42" s="7">
        <v>-1062226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5" t="s">
        <v>47</v>
      </c>
      <c r="Z42" s="6"/>
      <c r="AA42" s="5" t="s">
        <v>76</v>
      </c>
      <c r="AB42" s="5" t="s">
        <v>51</v>
      </c>
      <c r="AC42" s="5" t="s">
        <v>51</v>
      </c>
      <c r="AD42" s="5" t="s">
        <v>51</v>
      </c>
      <c r="AE42" s="5" t="s">
        <v>51</v>
      </c>
      <c r="AF42" s="5" t="s">
        <v>92</v>
      </c>
    </row>
    <row r="43" spans="1:32" ht="15.65" customHeight="1" x14ac:dyDescent="0.35">
      <c r="A43" s="5" t="s">
        <v>73</v>
      </c>
      <c r="B43" s="5" t="s">
        <v>74</v>
      </c>
      <c r="C43" s="5" t="s">
        <v>47</v>
      </c>
      <c r="D43" s="5">
        <v>3000041</v>
      </c>
      <c r="E43" s="11">
        <v>3000041</v>
      </c>
      <c r="F43" s="11" t="s">
        <v>75</v>
      </c>
      <c r="G43" s="5" t="s">
        <v>75</v>
      </c>
      <c r="H43" s="5" t="s">
        <v>54</v>
      </c>
      <c r="I43" s="5">
        <v>6957035</v>
      </c>
      <c r="J43" s="6">
        <v>46106</v>
      </c>
      <c r="K43" s="6">
        <v>46106</v>
      </c>
      <c r="L43" s="6">
        <v>46106</v>
      </c>
      <c r="M43" s="7">
        <v>26</v>
      </c>
      <c r="N43" s="7">
        <v>-158753</v>
      </c>
      <c r="O43" s="7">
        <v>-158753</v>
      </c>
      <c r="P43" s="7">
        <v>0</v>
      </c>
      <c r="Q43" s="7">
        <v>-158753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5" t="s">
        <v>47</v>
      </c>
      <c r="Z43" s="6"/>
      <c r="AA43" s="5" t="s">
        <v>76</v>
      </c>
      <c r="AB43" s="5" t="s">
        <v>51</v>
      </c>
      <c r="AC43" s="5" t="s">
        <v>51</v>
      </c>
      <c r="AD43" s="5" t="s">
        <v>51</v>
      </c>
      <c r="AE43" s="5" t="s">
        <v>51</v>
      </c>
      <c r="AF43" s="5" t="s">
        <v>98</v>
      </c>
    </row>
    <row r="44" spans="1:32" ht="15.65" customHeight="1" x14ac:dyDescent="0.35">
      <c r="A44" s="5" t="s">
        <v>73</v>
      </c>
      <c r="B44" s="5" t="s">
        <v>74</v>
      </c>
      <c r="C44" s="5" t="s">
        <v>47</v>
      </c>
      <c r="D44" s="5">
        <v>3000041</v>
      </c>
      <c r="E44" s="11">
        <v>3000041</v>
      </c>
      <c r="F44" s="11" t="s">
        <v>75</v>
      </c>
      <c r="G44" s="5" t="s">
        <v>75</v>
      </c>
      <c r="H44" s="5" t="s">
        <v>54</v>
      </c>
      <c r="I44" s="5">
        <v>6957139</v>
      </c>
      <c r="J44" s="6">
        <v>46106</v>
      </c>
      <c r="K44" s="6">
        <v>46106</v>
      </c>
      <c r="L44" s="6">
        <v>46106</v>
      </c>
      <c r="M44" s="7">
        <v>26</v>
      </c>
      <c r="N44" s="7">
        <v>-9108900</v>
      </c>
      <c r="O44" s="7">
        <v>-9108900</v>
      </c>
      <c r="P44" s="7">
        <v>0</v>
      </c>
      <c r="Q44" s="7">
        <v>-9108900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5" t="s">
        <v>47</v>
      </c>
      <c r="Z44" s="6"/>
      <c r="AA44" s="5" t="s">
        <v>76</v>
      </c>
      <c r="AB44" s="5" t="s">
        <v>51</v>
      </c>
      <c r="AC44" s="5" t="s">
        <v>51</v>
      </c>
      <c r="AD44" s="5" t="s">
        <v>51</v>
      </c>
      <c r="AE44" s="5" t="s">
        <v>51</v>
      </c>
      <c r="AF44" s="5" t="s">
        <v>99</v>
      </c>
    </row>
    <row r="45" spans="1:32" ht="15.65" customHeight="1" x14ac:dyDescent="0.35">
      <c r="A45" s="5" t="s">
        <v>73</v>
      </c>
      <c r="B45" s="5" t="s">
        <v>74</v>
      </c>
      <c r="C45" s="5" t="s">
        <v>47</v>
      </c>
      <c r="D45" s="5">
        <v>3000041</v>
      </c>
      <c r="E45" s="11">
        <v>3000041</v>
      </c>
      <c r="F45" s="11" t="s">
        <v>75</v>
      </c>
      <c r="G45" s="5" t="s">
        <v>75</v>
      </c>
      <c r="H45" s="5" t="s">
        <v>54</v>
      </c>
      <c r="I45" s="5">
        <v>6957179</v>
      </c>
      <c r="J45" s="6">
        <v>46106</v>
      </c>
      <c r="K45" s="6">
        <v>46106</v>
      </c>
      <c r="L45" s="6">
        <v>46106</v>
      </c>
      <c r="M45" s="7">
        <v>26</v>
      </c>
      <c r="N45" s="7">
        <v>-191562798</v>
      </c>
      <c r="O45" s="7">
        <v>-191562798</v>
      </c>
      <c r="P45" s="7">
        <v>0</v>
      </c>
      <c r="Q45" s="7">
        <v>-191562798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5" t="s">
        <v>47</v>
      </c>
      <c r="Z45" s="6"/>
      <c r="AA45" s="5" t="s">
        <v>76</v>
      </c>
      <c r="AB45" s="5" t="s">
        <v>51</v>
      </c>
      <c r="AC45" s="5" t="s">
        <v>51</v>
      </c>
      <c r="AD45" s="5" t="s">
        <v>51</v>
      </c>
      <c r="AE45" s="5" t="s">
        <v>51</v>
      </c>
      <c r="AF45" s="5" t="s">
        <v>56</v>
      </c>
    </row>
    <row r="46" spans="1:32" ht="15.65" customHeight="1" x14ac:dyDescent="0.35">
      <c r="A46" s="5" t="s">
        <v>73</v>
      </c>
      <c r="B46" s="5" t="s">
        <v>74</v>
      </c>
      <c r="C46" s="5" t="s">
        <v>47</v>
      </c>
      <c r="D46" s="5">
        <v>3000041</v>
      </c>
      <c r="E46" s="11">
        <v>3000041</v>
      </c>
      <c r="F46" s="11" t="s">
        <v>75</v>
      </c>
      <c r="G46" s="5" t="s">
        <v>75</v>
      </c>
      <c r="H46" s="5" t="s">
        <v>54</v>
      </c>
      <c r="I46" s="5">
        <v>6957313</v>
      </c>
      <c r="J46" s="6">
        <v>46106</v>
      </c>
      <c r="K46" s="6">
        <v>46106</v>
      </c>
      <c r="L46" s="6">
        <v>46106</v>
      </c>
      <c r="M46" s="7">
        <v>26</v>
      </c>
      <c r="N46" s="7">
        <v>-20710000</v>
      </c>
      <c r="O46" s="7">
        <v>-20710000</v>
      </c>
      <c r="P46" s="7">
        <v>0</v>
      </c>
      <c r="Q46" s="7">
        <v>-20710000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5" t="s">
        <v>47</v>
      </c>
      <c r="Z46" s="6"/>
      <c r="AA46" s="5" t="s">
        <v>76</v>
      </c>
      <c r="AB46" s="5" t="s">
        <v>51</v>
      </c>
      <c r="AC46" s="5" t="s">
        <v>51</v>
      </c>
      <c r="AD46" s="5" t="s">
        <v>51</v>
      </c>
      <c r="AE46" s="5" t="s">
        <v>51</v>
      </c>
      <c r="AF46" s="5" t="s">
        <v>100</v>
      </c>
    </row>
    <row r="47" spans="1:32" ht="15.65" customHeight="1" x14ac:dyDescent="0.35">
      <c r="A47" s="5" t="s">
        <v>73</v>
      </c>
      <c r="B47" s="5" t="s">
        <v>74</v>
      </c>
      <c r="C47" s="5" t="s">
        <v>47</v>
      </c>
      <c r="D47" s="5">
        <v>3000041</v>
      </c>
      <c r="E47" s="11">
        <v>3000041</v>
      </c>
      <c r="F47" s="11" t="s">
        <v>75</v>
      </c>
      <c r="G47" s="5" t="s">
        <v>75</v>
      </c>
      <c r="H47" s="5" t="s">
        <v>54</v>
      </c>
      <c r="I47" s="5">
        <v>6957314</v>
      </c>
      <c r="J47" s="6">
        <v>46106</v>
      </c>
      <c r="K47" s="6">
        <v>46106</v>
      </c>
      <c r="L47" s="6">
        <v>46106</v>
      </c>
      <c r="M47" s="7">
        <v>26</v>
      </c>
      <c r="N47" s="7">
        <v>-17440000</v>
      </c>
      <c r="O47" s="7">
        <v>-17440000</v>
      </c>
      <c r="P47" s="7">
        <v>0</v>
      </c>
      <c r="Q47" s="7">
        <v>-17440000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5" t="s">
        <v>47</v>
      </c>
      <c r="Z47" s="6"/>
      <c r="AA47" s="5" t="s">
        <v>76</v>
      </c>
      <c r="AB47" s="5" t="s">
        <v>51</v>
      </c>
      <c r="AC47" s="5" t="s">
        <v>51</v>
      </c>
      <c r="AD47" s="5" t="s">
        <v>51</v>
      </c>
      <c r="AE47" s="5" t="s">
        <v>51</v>
      </c>
      <c r="AF47" s="5" t="s">
        <v>101</v>
      </c>
    </row>
    <row r="48" spans="1:32" ht="15.65" customHeight="1" x14ac:dyDescent="0.35">
      <c r="A48" s="5" t="s">
        <v>73</v>
      </c>
      <c r="B48" s="5" t="s">
        <v>74</v>
      </c>
      <c r="C48" s="5" t="s">
        <v>47</v>
      </c>
      <c r="D48" s="5">
        <v>3000041</v>
      </c>
      <c r="E48" s="11">
        <v>3000041</v>
      </c>
      <c r="F48" s="11" t="s">
        <v>75</v>
      </c>
      <c r="G48" s="5" t="s">
        <v>75</v>
      </c>
      <c r="H48" s="5" t="s">
        <v>54</v>
      </c>
      <c r="I48" s="5">
        <v>6957315</v>
      </c>
      <c r="J48" s="6">
        <v>46106</v>
      </c>
      <c r="K48" s="6">
        <v>46106</v>
      </c>
      <c r="L48" s="6">
        <v>46106</v>
      </c>
      <c r="M48" s="7">
        <v>26</v>
      </c>
      <c r="N48" s="7">
        <v>-545000</v>
      </c>
      <c r="O48" s="7">
        <v>-545000</v>
      </c>
      <c r="P48" s="7">
        <v>0</v>
      </c>
      <c r="Q48" s="7">
        <v>-545000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5" t="s">
        <v>47</v>
      </c>
      <c r="Z48" s="6"/>
      <c r="AA48" s="5" t="s">
        <v>76</v>
      </c>
      <c r="AB48" s="5" t="s">
        <v>51</v>
      </c>
      <c r="AC48" s="5" t="s">
        <v>51</v>
      </c>
      <c r="AD48" s="5" t="s">
        <v>51</v>
      </c>
      <c r="AE48" s="5" t="s">
        <v>51</v>
      </c>
      <c r="AF48" s="5" t="s">
        <v>102</v>
      </c>
    </row>
    <row r="49" spans="1:32" ht="15.65" customHeight="1" x14ac:dyDescent="0.35">
      <c r="A49" s="5" t="s">
        <v>84</v>
      </c>
      <c r="B49" s="5" t="s">
        <v>85</v>
      </c>
      <c r="C49" s="5" t="s">
        <v>47</v>
      </c>
      <c r="D49" s="5">
        <v>3000041</v>
      </c>
      <c r="E49" s="11">
        <v>3100882</v>
      </c>
      <c r="F49" s="11" t="s">
        <v>75</v>
      </c>
      <c r="G49" s="5" t="s">
        <v>86</v>
      </c>
      <c r="H49" s="5" t="s">
        <v>54</v>
      </c>
      <c r="I49" s="5">
        <v>6957338</v>
      </c>
      <c r="J49" s="6">
        <v>46106</v>
      </c>
      <c r="K49" s="6">
        <v>46106</v>
      </c>
      <c r="L49" s="6">
        <v>46106</v>
      </c>
      <c r="M49" s="7">
        <v>26</v>
      </c>
      <c r="N49" s="7">
        <v>-679676</v>
      </c>
      <c r="O49" s="7">
        <v>-679676</v>
      </c>
      <c r="P49" s="7">
        <v>0</v>
      </c>
      <c r="Q49" s="7">
        <v>-679676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5" t="s">
        <v>47</v>
      </c>
      <c r="Z49" s="6"/>
      <c r="AA49" s="5" t="s">
        <v>76</v>
      </c>
      <c r="AB49" s="5" t="s">
        <v>51</v>
      </c>
      <c r="AC49" s="5" t="s">
        <v>51</v>
      </c>
      <c r="AD49" s="5" t="s">
        <v>51</v>
      </c>
      <c r="AE49" s="5" t="s">
        <v>51</v>
      </c>
      <c r="AF49" s="5" t="s">
        <v>103</v>
      </c>
    </row>
    <row r="50" spans="1:32" ht="15.65" customHeight="1" x14ac:dyDescent="0.35">
      <c r="A50" s="5" t="s">
        <v>84</v>
      </c>
      <c r="B50" s="5" t="s">
        <v>85</v>
      </c>
      <c r="C50" s="5" t="s">
        <v>47</v>
      </c>
      <c r="D50" s="5">
        <v>3000041</v>
      </c>
      <c r="E50" s="11">
        <v>3100882</v>
      </c>
      <c r="F50" s="11" t="s">
        <v>75</v>
      </c>
      <c r="G50" s="5" t="s">
        <v>86</v>
      </c>
      <c r="H50" s="5" t="s">
        <v>54</v>
      </c>
      <c r="I50" s="5">
        <v>6957339</v>
      </c>
      <c r="J50" s="6">
        <v>46106</v>
      </c>
      <c r="K50" s="6">
        <v>46106</v>
      </c>
      <c r="L50" s="6">
        <v>46106</v>
      </c>
      <c r="M50" s="7">
        <v>26</v>
      </c>
      <c r="N50" s="7">
        <v>-102000</v>
      </c>
      <c r="O50" s="7">
        <v>-102000</v>
      </c>
      <c r="P50" s="7">
        <v>0</v>
      </c>
      <c r="Q50" s="7">
        <v>-102000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5" t="s">
        <v>47</v>
      </c>
      <c r="Z50" s="6"/>
      <c r="AA50" s="5" t="s">
        <v>76</v>
      </c>
      <c r="AB50" s="5" t="s">
        <v>51</v>
      </c>
      <c r="AC50" s="5" t="s">
        <v>51</v>
      </c>
      <c r="AD50" s="5" t="s">
        <v>51</v>
      </c>
      <c r="AE50" s="5" t="s">
        <v>51</v>
      </c>
      <c r="AF50" s="5" t="s">
        <v>104</v>
      </c>
    </row>
    <row r="51" spans="1:32" ht="15.65" customHeight="1" x14ac:dyDescent="0.35">
      <c r="A51" s="5" t="s">
        <v>84</v>
      </c>
      <c r="B51" s="5" t="s">
        <v>85</v>
      </c>
      <c r="C51" s="5" t="s">
        <v>47</v>
      </c>
      <c r="D51" s="5">
        <v>3000041</v>
      </c>
      <c r="E51" s="11">
        <v>3100882</v>
      </c>
      <c r="F51" s="11" t="s">
        <v>75</v>
      </c>
      <c r="G51" s="5" t="s">
        <v>86</v>
      </c>
      <c r="H51" s="5" t="s">
        <v>54</v>
      </c>
      <c r="I51" s="5">
        <v>6957340</v>
      </c>
      <c r="J51" s="6">
        <v>46106</v>
      </c>
      <c r="K51" s="6">
        <v>46106</v>
      </c>
      <c r="L51" s="6">
        <v>46106</v>
      </c>
      <c r="M51" s="7">
        <v>26</v>
      </c>
      <c r="N51" s="7">
        <v>-679676</v>
      </c>
      <c r="O51" s="7">
        <v>-679676</v>
      </c>
      <c r="P51" s="7">
        <v>0</v>
      </c>
      <c r="Q51" s="7">
        <v>-679676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5" t="s">
        <v>47</v>
      </c>
      <c r="Z51" s="6"/>
      <c r="AA51" s="5" t="s">
        <v>76</v>
      </c>
      <c r="AB51" s="5" t="s">
        <v>51</v>
      </c>
      <c r="AC51" s="5" t="s">
        <v>51</v>
      </c>
      <c r="AD51" s="5" t="s">
        <v>51</v>
      </c>
      <c r="AE51" s="5" t="s">
        <v>51</v>
      </c>
      <c r="AF51" s="5" t="s">
        <v>103</v>
      </c>
    </row>
    <row r="52" spans="1:32" ht="15.65" customHeight="1" x14ac:dyDescent="0.35">
      <c r="A52" s="5" t="s">
        <v>84</v>
      </c>
      <c r="B52" s="5" t="s">
        <v>85</v>
      </c>
      <c r="C52" s="5" t="s">
        <v>47</v>
      </c>
      <c r="D52" s="5">
        <v>3000041</v>
      </c>
      <c r="E52" s="11">
        <v>3100882</v>
      </c>
      <c r="F52" s="11" t="s">
        <v>75</v>
      </c>
      <c r="G52" s="5" t="s">
        <v>86</v>
      </c>
      <c r="H52" s="5" t="s">
        <v>54</v>
      </c>
      <c r="I52" s="5">
        <v>6957341</v>
      </c>
      <c r="J52" s="6">
        <v>46106</v>
      </c>
      <c r="K52" s="6">
        <v>46106</v>
      </c>
      <c r="L52" s="6">
        <v>46106</v>
      </c>
      <c r="M52" s="7">
        <v>26</v>
      </c>
      <c r="N52" s="7">
        <v>-679676</v>
      </c>
      <c r="O52" s="7">
        <v>-679676</v>
      </c>
      <c r="P52" s="7">
        <v>0</v>
      </c>
      <c r="Q52" s="7">
        <v>-679676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5" t="s">
        <v>47</v>
      </c>
      <c r="Z52" s="6"/>
      <c r="AA52" s="5" t="s">
        <v>76</v>
      </c>
      <c r="AB52" s="5" t="s">
        <v>51</v>
      </c>
      <c r="AC52" s="5" t="s">
        <v>51</v>
      </c>
      <c r="AD52" s="5" t="s">
        <v>51</v>
      </c>
      <c r="AE52" s="5" t="s">
        <v>51</v>
      </c>
      <c r="AF52" s="5" t="s">
        <v>103</v>
      </c>
    </row>
    <row r="53" spans="1:32" ht="15.65" customHeight="1" x14ac:dyDescent="0.35">
      <c r="A53" s="5" t="s">
        <v>84</v>
      </c>
      <c r="B53" s="5" t="s">
        <v>85</v>
      </c>
      <c r="C53" s="5" t="s">
        <v>47</v>
      </c>
      <c r="D53" s="5">
        <v>3000041</v>
      </c>
      <c r="E53" s="11">
        <v>3100882</v>
      </c>
      <c r="F53" s="11" t="s">
        <v>75</v>
      </c>
      <c r="G53" s="5" t="s">
        <v>86</v>
      </c>
      <c r="H53" s="5" t="s">
        <v>54</v>
      </c>
      <c r="I53" s="5">
        <v>6957342</v>
      </c>
      <c r="J53" s="6">
        <v>46106</v>
      </c>
      <c r="K53" s="6">
        <v>46106</v>
      </c>
      <c r="L53" s="6">
        <v>46106</v>
      </c>
      <c r="M53" s="7">
        <v>26</v>
      </c>
      <c r="N53" s="7">
        <v>-679676</v>
      </c>
      <c r="O53" s="7">
        <v>-679676</v>
      </c>
      <c r="P53" s="7">
        <v>0</v>
      </c>
      <c r="Q53" s="7">
        <v>-679676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5" t="s">
        <v>47</v>
      </c>
      <c r="Z53" s="6"/>
      <c r="AA53" s="5" t="s">
        <v>76</v>
      </c>
      <c r="AB53" s="5" t="s">
        <v>51</v>
      </c>
      <c r="AC53" s="5" t="s">
        <v>51</v>
      </c>
      <c r="AD53" s="5" t="s">
        <v>51</v>
      </c>
      <c r="AE53" s="5" t="s">
        <v>51</v>
      </c>
      <c r="AF53" s="5" t="s">
        <v>103</v>
      </c>
    </row>
    <row r="54" spans="1:32" ht="15.65" customHeight="1" x14ac:dyDescent="0.35">
      <c r="A54" s="5" t="s">
        <v>73</v>
      </c>
      <c r="B54" s="5" t="s">
        <v>74</v>
      </c>
      <c r="C54" s="5" t="s">
        <v>47</v>
      </c>
      <c r="D54" s="5">
        <v>3000041</v>
      </c>
      <c r="E54" s="11">
        <v>3000041</v>
      </c>
      <c r="F54" s="11" t="s">
        <v>75</v>
      </c>
      <c r="G54" s="5" t="s">
        <v>75</v>
      </c>
      <c r="H54" s="5" t="s">
        <v>54</v>
      </c>
      <c r="I54" s="5">
        <v>6957355</v>
      </c>
      <c r="J54" s="6">
        <v>46106</v>
      </c>
      <c r="K54" s="6">
        <v>46106</v>
      </c>
      <c r="L54" s="6">
        <v>46106</v>
      </c>
      <c r="M54" s="7">
        <v>26</v>
      </c>
      <c r="N54" s="7">
        <v>-2725000</v>
      </c>
      <c r="O54" s="7">
        <v>-2725000</v>
      </c>
      <c r="P54" s="7">
        <v>0</v>
      </c>
      <c r="Q54" s="7">
        <v>-2725000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5" t="s">
        <v>47</v>
      </c>
      <c r="Z54" s="6"/>
      <c r="AA54" s="5" t="s">
        <v>76</v>
      </c>
      <c r="AB54" s="5" t="s">
        <v>51</v>
      </c>
      <c r="AC54" s="5" t="s">
        <v>51</v>
      </c>
      <c r="AD54" s="5" t="s">
        <v>51</v>
      </c>
      <c r="AE54" s="5" t="s">
        <v>51</v>
      </c>
      <c r="AF54" s="5" t="s">
        <v>105</v>
      </c>
    </row>
    <row r="55" spans="1:32" ht="15.65" customHeight="1" x14ac:dyDescent="0.35">
      <c r="A55" s="5" t="s">
        <v>84</v>
      </c>
      <c r="B55" s="5" t="s">
        <v>85</v>
      </c>
      <c r="C55" s="5" t="s">
        <v>47</v>
      </c>
      <c r="D55" s="5">
        <v>3000041</v>
      </c>
      <c r="E55" s="5">
        <v>3100748</v>
      </c>
      <c r="F55" s="5" t="s">
        <v>75</v>
      </c>
      <c r="G55" s="5" t="s">
        <v>96</v>
      </c>
      <c r="H55" s="5" t="s">
        <v>54</v>
      </c>
      <c r="I55" s="5">
        <v>6957487</v>
      </c>
      <c r="J55" s="6">
        <v>46107</v>
      </c>
      <c r="K55" s="6">
        <v>46107</v>
      </c>
      <c r="L55" s="6">
        <v>46107</v>
      </c>
      <c r="M55" s="7">
        <v>25</v>
      </c>
      <c r="N55" s="7">
        <v>-112775063</v>
      </c>
      <c r="O55" s="7">
        <v>-112775063</v>
      </c>
      <c r="P55" s="7">
        <v>0</v>
      </c>
      <c r="Q55" s="7">
        <v>-112775063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5" t="s">
        <v>47</v>
      </c>
      <c r="Z55" s="6"/>
      <c r="AA55" s="5" t="s">
        <v>76</v>
      </c>
      <c r="AB55" s="5" t="s">
        <v>51</v>
      </c>
      <c r="AC55" s="5" t="s">
        <v>51</v>
      </c>
      <c r="AD55" s="5" t="s">
        <v>51</v>
      </c>
      <c r="AE55" s="5" t="s">
        <v>51</v>
      </c>
      <c r="AF55" s="5" t="s">
        <v>106</v>
      </c>
    </row>
    <row r="56" spans="1:32" ht="15.65" customHeight="1" x14ac:dyDescent="0.35">
      <c r="A56" s="5" t="s">
        <v>73</v>
      </c>
      <c r="B56" s="5" t="s">
        <v>74</v>
      </c>
      <c r="C56" s="5" t="s">
        <v>47</v>
      </c>
      <c r="D56" s="5">
        <v>3000041</v>
      </c>
      <c r="E56" s="11">
        <v>3000041</v>
      </c>
      <c r="F56" s="11" t="s">
        <v>75</v>
      </c>
      <c r="G56" s="5" t="s">
        <v>75</v>
      </c>
      <c r="H56" s="5" t="s">
        <v>54</v>
      </c>
      <c r="I56" s="5">
        <v>6957525</v>
      </c>
      <c r="J56" s="6">
        <v>46108</v>
      </c>
      <c r="K56" s="6">
        <v>46108</v>
      </c>
      <c r="L56" s="6">
        <v>46108</v>
      </c>
      <c r="M56" s="7">
        <v>24</v>
      </c>
      <c r="N56" s="7">
        <v>-482493</v>
      </c>
      <c r="O56" s="7">
        <v>-482493</v>
      </c>
      <c r="P56" s="7">
        <v>0</v>
      </c>
      <c r="Q56" s="7">
        <v>-482493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5" t="s">
        <v>47</v>
      </c>
      <c r="Z56" s="6"/>
      <c r="AA56" s="5" t="s">
        <v>76</v>
      </c>
      <c r="AB56" s="5" t="s">
        <v>51</v>
      </c>
      <c r="AC56" s="5" t="s">
        <v>51</v>
      </c>
      <c r="AD56" s="5" t="s">
        <v>51</v>
      </c>
      <c r="AE56" s="5" t="s">
        <v>51</v>
      </c>
      <c r="AF56" s="5" t="s">
        <v>107</v>
      </c>
    </row>
    <row r="57" spans="1:32" ht="15.65" customHeight="1" x14ac:dyDescent="0.35">
      <c r="A57" s="5" t="s">
        <v>84</v>
      </c>
      <c r="B57" s="5" t="s">
        <v>85</v>
      </c>
      <c r="C57" s="5" t="s">
        <v>47</v>
      </c>
      <c r="D57" s="5">
        <v>3000041</v>
      </c>
      <c r="E57" s="11">
        <v>3100748</v>
      </c>
      <c r="F57" s="11" t="s">
        <v>75</v>
      </c>
      <c r="G57" s="5" t="s">
        <v>96</v>
      </c>
      <c r="H57" s="5" t="s">
        <v>54</v>
      </c>
      <c r="I57" s="5">
        <v>6957526</v>
      </c>
      <c r="J57" s="6">
        <v>46108</v>
      </c>
      <c r="K57" s="6">
        <v>46108</v>
      </c>
      <c r="L57" s="6">
        <v>46108</v>
      </c>
      <c r="M57" s="7">
        <v>24</v>
      </c>
      <c r="N57" s="7">
        <v>-16464</v>
      </c>
      <c r="O57" s="7">
        <v>-16464</v>
      </c>
      <c r="P57" s="7">
        <v>0</v>
      </c>
      <c r="Q57" s="7">
        <v>-16464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5" t="s">
        <v>47</v>
      </c>
      <c r="Z57" s="6"/>
      <c r="AA57" s="5" t="s">
        <v>76</v>
      </c>
      <c r="AB57" s="5" t="s">
        <v>51</v>
      </c>
      <c r="AC57" s="5" t="s">
        <v>51</v>
      </c>
      <c r="AD57" s="5" t="s">
        <v>51</v>
      </c>
      <c r="AE57" s="5" t="s">
        <v>51</v>
      </c>
      <c r="AF57" s="5" t="s">
        <v>108</v>
      </c>
    </row>
    <row r="58" spans="1:32" ht="15.65" customHeight="1" x14ac:dyDescent="0.35">
      <c r="A58" s="5" t="s">
        <v>73</v>
      </c>
      <c r="B58" s="5" t="s">
        <v>74</v>
      </c>
      <c r="C58" s="5" t="s">
        <v>47</v>
      </c>
      <c r="D58" s="5">
        <v>3000041</v>
      </c>
      <c r="E58" s="5">
        <v>3000910</v>
      </c>
      <c r="F58" s="5" t="s">
        <v>75</v>
      </c>
      <c r="G58" s="5" t="s">
        <v>75</v>
      </c>
      <c r="H58" s="5" t="s">
        <v>54</v>
      </c>
      <c r="I58" s="5">
        <v>6957704</v>
      </c>
      <c r="J58" s="6">
        <v>46112</v>
      </c>
      <c r="K58" s="6">
        <v>46112</v>
      </c>
      <c r="L58" s="6">
        <v>46112</v>
      </c>
      <c r="M58" s="7">
        <v>20</v>
      </c>
      <c r="N58" s="7">
        <v>-1501761</v>
      </c>
      <c r="O58" s="7">
        <v>-1501761</v>
      </c>
      <c r="P58" s="7">
        <v>0</v>
      </c>
      <c r="Q58" s="7">
        <v>-1501761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5" t="s">
        <v>47</v>
      </c>
      <c r="Z58" s="6"/>
      <c r="AA58" s="5" t="s">
        <v>76</v>
      </c>
      <c r="AB58" s="5" t="s">
        <v>51</v>
      </c>
      <c r="AC58" s="5" t="s">
        <v>51</v>
      </c>
      <c r="AD58" s="5" t="s">
        <v>51</v>
      </c>
      <c r="AE58" s="5" t="s">
        <v>51</v>
      </c>
      <c r="AF58" s="5" t="s">
        <v>109</v>
      </c>
    </row>
    <row r="59" spans="1:32" ht="15.65" customHeight="1" x14ac:dyDescent="0.35">
      <c r="A59" s="5" t="s">
        <v>84</v>
      </c>
      <c r="B59" s="5" t="s">
        <v>85</v>
      </c>
      <c r="C59" s="5" t="s">
        <v>47</v>
      </c>
      <c r="D59" s="5">
        <v>3000041</v>
      </c>
      <c r="E59" s="11">
        <v>3100882</v>
      </c>
      <c r="F59" s="11" t="s">
        <v>75</v>
      </c>
      <c r="G59" s="5" t="s">
        <v>86</v>
      </c>
      <c r="H59" s="5" t="s">
        <v>54</v>
      </c>
      <c r="I59" s="5">
        <v>6957713</v>
      </c>
      <c r="J59" s="6">
        <v>46112</v>
      </c>
      <c r="K59" s="6">
        <v>46112</v>
      </c>
      <c r="L59" s="6">
        <v>46112</v>
      </c>
      <c r="M59" s="7">
        <v>20</v>
      </c>
      <c r="N59" s="7">
        <v>-2772743</v>
      </c>
      <c r="O59" s="7">
        <v>-2772743</v>
      </c>
      <c r="P59" s="7">
        <v>0</v>
      </c>
      <c r="Q59" s="7">
        <v>-2772743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5" t="s">
        <v>47</v>
      </c>
      <c r="Z59" s="6"/>
      <c r="AA59" s="5" t="s">
        <v>76</v>
      </c>
      <c r="AB59" s="5" t="s">
        <v>51</v>
      </c>
      <c r="AC59" s="5" t="s">
        <v>51</v>
      </c>
      <c r="AD59" s="5" t="s">
        <v>51</v>
      </c>
      <c r="AE59" s="5" t="s">
        <v>51</v>
      </c>
      <c r="AF59" s="5" t="s">
        <v>109</v>
      </c>
    </row>
    <row r="60" spans="1:32" ht="15.65" customHeight="1" x14ac:dyDescent="0.35">
      <c r="A60" s="5" t="s">
        <v>73</v>
      </c>
      <c r="B60" s="5" t="s">
        <v>74</v>
      </c>
      <c r="C60" s="5" t="s">
        <v>47</v>
      </c>
      <c r="D60" s="5">
        <v>3000041</v>
      </c>
      <c r="E60" s="11">
        <v>3000041</v>
      </c>
      <c r="F60" s="11" t="s">
        <v>75</v>
      </c>
      <c r="G60" s="5" t="s">
        <v>75</v>
      </c>
      <c r="H60" s="5" t="s">
        <v>54</v>
      </c>
      <c r="I60" s="5">
        <v>6957717</v>
      </c>
      <c r="J60" s="6">
        <v>46112</v>
      </c>
      <c r="K60" s="6">
        <v>46112</v>
      </c>
      <c r="L60" s="6">
        <v>46112</v>
      </c>
      <c r="M60" s="7">
        <v>20</v>
      </c>
      <c r="N60" s="7">
        <v>-11541500</v>
      </c>
      <c r="O60" s="7">
        <v>-11541500</v>
      </c>
      <c r="P60" s="7">
        <v>0</v>
      </c>
      <c r="Q60" s="7">
        <v>-11541500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5" t="s">
        <v>47</v>
      </c>
      <c r="Z60" s="6"/>
      <c r="AA60" s="5" t="s">
        <v>76</v>
      </c>
      <c r="AB60" s="5" t="s">
        <v>51</v>
      </c>
      <c r="AC60" s="5" t="s">
        <v>51</v>
      </c>
      <c r="AD60" s="5" t="s">
        <v>51</v>
      </c>
      <c r="AE60" s="5" t="s">
        <v>51</v>
      </c>
      <c r="AF60" s="5" t="s">
        <v>110</v>
      </c>
    </row>
    <row r="61" spans="1:32" ht="15.65" customHeight="1" x14ac:dyDescent="0.35">
      <c r="A61" s="5" t="s">
        <v>84</v>
      </c>
      <c r="B61" s="5" t="s">
        <v>85</v>
      </c>
      <c r="C61" s="5" t="s">
        <v>47</v>
      </c>
      <c r="D61" s="5">
        <v>3000041</v>
      </c>
      <c r="E61" s="11">
        <v>3100748</v>
      </c>
      <c r="F61" s="11" t="s">
        <v>75</v>
      </c>
      <c r="G61" s="5" t="s">
        <v>96</v>
      </c>
      <c r="H61" s="5" t="s">
        <v>54</v>
      </c>
      <c r="I61" s="5">
        <v>6957721</v>
      </c>
      <c r="J61" s="6">
        <v>46112</v>
      </c>
      <c r="K61" s="6">
        <v>46112</v>
      </c>
      <c r="L61" s="6">
        <v>46112</v>
      </c>
      <c r="M61" s="7">
        <v>20</v>
      </c>
      <c r="N61" s="7">
        <v>-13008072</v>
      </c>
      <c r="O61" s="7">
        <v>-13008072</v>
      </c>
      <c r="P61" s="7">
        <v>0</v>
      </c>
      <c r="Q61" s="7">
        <v>-13008072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5" t="s">
        <v>47</v>
      </c>
      <c r="Z61" s="6"/>
      <c r="AA61" s="5" t="s">
        <v>76</v>
      </c>
      <c r="AB61" s="5" t="s">
        <v>51</v>
      </c>
      <c r="AC61" s="5" t="s">
        <v>51</v>
      </c>
      <c r="AD61" s="5" t="s">
        <v>51</v>
      </c>
      <c r="AE61" s="5" t="s">
        <v>51</v>
      </c>
      <c r="AF61" s="5" t="s">
        <v>110</v>
      </c>
    </row>
    <row r="62" spans="1:32" ht="15.65" customHeight="1" x14ac:dyDescent="0.35">
      <c r="A62" s="5" t="s">
        <v>73</v>
      </c>
      <c r="B62" s="5" t="s">
        <v>74</v>
      </c>
      <c r="C62" s="5" t="s">
        <v>47</v>
      </c>
      <c r="D62" s="5">
        <v>3000041</v>
      </c>
      <c r="E62" s="11">
        <v>3000910</v>
      </c>
      <c r="F62" s="11" t="s">
        <v>75</v>
      </c>
      <c r="G62" s="5" t="s">
        <v>75</v>
      </c>
      <c r="H62" s="5" t="s">
        <v>111</v>
      </c>
      <c r="I62" s="5">
        <v>6957823</v>
      </c>
      <c r="J62" s="6">
        <v>46114</v>
      </c>
      <c r="K62" s="6">
        <v>46114</v>
      </c>
      <c r="L62" s="6">
        <v>46114</v>
      </c>
      <c r="M62" s="7">
        <v>18</v>
      </c>
      <c r="N62" s="7">
        <v>-2401210</v>
      </c>
      <c r="O62" s="7">
        <v>-2401210</v>
      </c>
      <c r="P62" s="7">
        <v>0</v>
      </c>
      <c r="Q62" s="7">
        <v>-2401210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5" t="s">
        <v>47</v>
      </c>
      <c r="Z62" s="6"/>
      <c r="AA62" s="5" t="s">
        <v>76</v>
      </c>
      <c r="AB62" s="5" t="s">
        <v>51</v>
      </c>
      <c r="AC62" s="5" t="s">
        <v>51</v>
      </c>
      <c r="AD62" s="5" t="s">
        <v>51</v>
      </c>
      <c r="AE62" s="5" t="s">
        <v>51</v>
      </c>
      <c r="AF62" s="5" t="s">
        <v>112</v>
      </c>
    </row>
    <row r="63" spans="1:32" ht="15.65" customHeight="1" x14ac:dyDescent="0.35">
      <c r="A63" s="5" t="s">
        <v>84</v>
      </c>
      <c r="B63" s="5" t="s">
        <v>85</v>
      </c>
      <c r="C63" s="5" t="s">
        <v>47</v>
      </c>
      <c r="D63" s="5">
        <v>3000041</v>
      </c>
      <c r="E63" s="11">
        <v>3100882</v>
      </c>
      <c r="F63" s="11" t="s">
        <v>75</v>
      </c>
      <c r="G63" s="5" t="s">
        <v>86</v>
      </c>
      <c r="H63" s="5" t="s">
        <v>111</v>
      </c>
      <c r="I63" s="5">
        <v>6957859</v>
      </c>
      <c r="J63" s="6">
        <v>46114</v>
      </c>
      <c r="K63" s="6">
        <v>46114</v>
      </c>
      <c r="L63" s="6">
        <v>46114</v>
      </c>
      <c r="M63" s="7">
        <v>18</v>
      </c>
      <c r="N63" s="7">
        <v>-648484</v>
      </c>
      <c r="O63" s="7">
        <v>-648484</v>
      </c>
      <c r="P63" s="7">
        <v>0</v>
      </c>
      <c r="Q63" s="7">
        <v>-648484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5" t="s">
        <v>47</v>
      </c>
      <c r="Z63" s="6"/>
      <c r="AA63" s="5" t="s">
        <v>76</v>
      </c>
      <c r="AB63" s="5" t="s">
        <v>51</v>
      </c>
      <c r="AC63" s="5" t="s">
        <v>51</v>
      </c>
      <c r="AD63" s="5" t="s">
        <v>51</v>
      </c>
      <c r="AE63" s="5" t="s">
        <v>51</v>
      </c>
      <c r="AF63" s="5" t="s">
        <v>113</v>
      </c>
    </row>
    <row r="64" spans="1:32" ht="15.65" customHeight="1" x14ac:dyDescent="0.35">
      <c r="A64" s="5" t="s">
        <v>84</v>
      </c>
      <c r="B64" s="5" t="s">
        <v>85</v>
      </c>
      <c r="C64" s="5" t="s">
        <v>47</v>
      </c>
      <c r="D64" s="5">
        <v>3000041</v>
      </c>
      <c r="E64" s="11">
        <v>3100882</v>
      </c>
      <c r="F64" s="11" t="s">
        <v>75</v>
      </c>
      <c r="G64" s="5" t="s">
        <v>86</v>
      </c>
      <c r="H64" s="5" t="s">
        <v>54</v>
      </c>
      <c r="I64" s="5">
        <v>6958293</v>
      </c>
      <c r="J64" s="6">
        <v>46120</v>
      </c>
      <c r="K64" s="6">
        <v>46120</v>
      </c>
      <c r="L64" s="6">
        <v>46120</v>
      </c>
      <c r="M64" s="7">
        <v>12</v>
      </c>
      <c r="N64" s="7">
        <v>-981000</v>
      </c>
      <c r="O64" s="7">
        <v>-981000</v>
      </c>
      <c r="P64" s="7">
        <v>0</v>
      </c>
      <c r="Q64" s="7">
        <v>-981000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5" t="s">
        <v>47</v>
      </c>
      <c r="Z64" s="6"/>
      <c r="AA64" s="5" t="s">
        <v>76</v>
      </c>
      <c r="AB64" s="5" t="s">
        <v>51</v>
      </c>
      <c r="AC64" s="5" t="s">
        <v>51</v>
      </c>
      <c r="AD64" s="5" t="s">
        <v>51</v>
      </c>
      <c r="AE64" s="5" t="s">
        <v>51</v>
      </c>
      <c r="AF64" s="5" t="s">
        <v>114</v>
      </c>
    </row>
    <row r="65" spans="1:32" ht="15.65" customHeight="1" x14ac:dyDescent="0.35">
      <c r="A65" s="5" t="s">
        <v>84</v>
      </c>
      <c r="B65" s="5" t="s">
        <v>85</v>
      </c>
      <c r="C65" s="5" t="s">
        <v>47</v>
      </c>
      <c r="D65" s="5">
        <v>3000041</v>
      </c>
      <c r="E65" s="11">
        <v>3100882</v>
      </c>
      <c r="F65" s="11" t="s">
        <v>75</v>
      </c>
      <c r="G65" s="5" t="s">
        <v>86</v>
      </c>
      <c r="H65" s="5" t="s">
        <v>54</v>
      </c>
      <c r="I65" s="5">
        <v>6958294</v>
      </c>
      <c r="J65" s="6">
        <v>46120</v>
      </c>
      <c r="K65" s="6">
        <v>46120</v>
      </c>
      <c r="L65" s="6">
        <v>46120</v>
      </c>
      <c r="M65" s="7">
        <v>12</v>
      </c>
      <c r="N65" s="7">
        <v>-245250</v>
      </c>
      <c r="O65" s="7">
        <v>-245250</v>
      </c>
      <c r="P65" s="7">
        <v>0</v>
      </c>
      <c r="Q65" s="7">
        <v>-245250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5" t="s">
        <v>47</v>
      </c>
      <c r="Z65" s="6"/>
      <c r="AA65" s="5" t="s">
        <v>76</v>
      </c>
      <c r="AB65" s="5" t="s">
        <v>51</v>
      </c>
      <c r="AC65" s="5" t="s">
        <v>51</v>
      </c>
      <c r="AD65" s="5" t="s">
        <v>51</v>
      </c>
      <c r="AE65" s="5" t="s">
        <v>51</v>
      </c>
      <c r="AF65" s="5" t="s">
        <v>115</v>
      </c>
    </row>
    <row r="66" spans="1:32" ht="15.65" customHeight="1" x14ac:dyDescent="0.35">
      <c r="A66" s="5" t="s">
        <v>84</v>
      </c>
      <c r="B66" s="5" t="s">
        <v>85</v>
      </c>
      <c r="C66" s="5" t="s">
        <v>47</v>
      </c>
      <c r="D66" s="5">
        <v>3000041</v>
      </c>
      <c r="E66" s="11">
        <v>3100748</v>
      </c>
      <c r="F66" s="11" t="s">
        <v>75</v>
      </c>
      <c r="G66" s="5" t="s">
        <v>96</v>
      </c>
      <c r="H66" s="5" t="s">
        <v>54</v>
      </c>
      <c r="I66" s="5">
        <v>6958491</v>
      </c>
      <c r="J66" s="6">
        <v>46121</v>
      </c>
      <c r="K66" s="6">
        <v>46121</v>
      </c>
      <c r="L66" s="6">
        <v>46121</v>
      </c>
      <c r="M66" s="7">
        <v>11</v>
      </c>
      <c r="N66" s="7">
        <v>-112935770</v>
      </c>
      <c r="O66" s="7">
        <v>-112935770</v>
      </c>
      <c r="P66" s="7">
        <v>0</v>
      </c>
      <c r="Q66" s="7">
        <v>-112935770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5" t="s">
        <v>47</v>
      </c>
      <c r="Z66" s="6"/>
      <c r="AA66" s="5" t="s">
        <v>76</v>
      </c>
      <c r="AB66" s="5" t="s">
        <v>51</v>
      </c>
      <c r="AC66" s="5" t="s">
        <v>51</v>
      </c>
      <c r="AD66" s="5" t="s">
        <v>51</v>
      </c>
      <c r="AE66" s="5" t="s">
        <v>51</v>
      </c>
      <c r="AF66" s="5" t="s">
        <v>56</v>
      </c>
    </row>
    <row r="67" spans="1:32" ht="15.65" customHeight="1" x14ac:dyDescent="0.35">
      <c r="A67" s="5" t="s">
        <v>73</v>
      </c>
      <c r="B67" s="5" t="s">
        <v>74</v>
      </c>
      <c r="C67" s="5" t="s">
        <v>47</v>
      </c>
      <c r="D67" s="5">
        <v>3000041</v>
      </c>
      <c r="E67" s="11">
        <v>3000041</v>
      </c>
      <c r="F67" s="11" t="s">
        <v>75</v>
      </c>
      <c r="G67" s="5" t="s">
        <v>75</v>
      </c>
      <c r="H67" s="5" t="s">
        <v>54</v>
      </c>
      <c r="I67" s="5">
        <v>6958661</v>
      </c>
      <c r="J67" s="6">
        <v>46122</v>
      </c>
      <c r="K67" s="6">
        <v>46122</v>
      </c>
      <c r="L67" s="6">
        <v>46122</v>
      </c>
      <c r="M67" s="7">
        <v>10</v>
      </c>
      <c r="N67" s="7">
        <v>-327000</v>
      </c>
      <c r="O67" s="7">
        <v>-327000</v>
      </c>
      <c r="P67" s="7">
        <v>0</v>
      </c>
      <c r="Q67" s="7">
        <v>-327000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5" t="s">
        <v>47</v>
      </c>
      <c r="Z67" s="6"/>
      <c r="AA67" s="5" t="s">
        <v>76</v>
      </c>
      <c r="AB67" s="5" t="s">
        <v>51</v>
      </c>
      <c r="AC67" s="5" t="s">
        <v>51</v>
      </c>
      <c r="AD67" s="5" t="s">
        <v>51</v>
      </c>
      <c r="AE67" s="5" t="s">
        <v>51</v>
      </c>
      <c r="AF67" s="5" t="s">
        <v>116</v>
      </c>
    </row>
    <row r="68" spans="1:32" ht="15.65" customHeight="1" x14ac:dyDescent="0.35">
      <c r="A68" s="5" t="s">
        <v>84</v>
      </c>
      <c r="B68" s="5" t="s">
        <v>85</v>
      </c>
      <c r="C68" s="5" t="s">
        <v>47</v>
      </c>
      <c r="D68" s="5">
        <v>3000041</v>
      </c>
      <c r="E68" s="5">
        <v>3100748</v>
      </c>
      <c r="F68" s="5" t="s">
        <v>75</v>
      </c>
      <c r="G68" s="5" t="s">
        <v>96</v>
      </c>
      <c r="H68" s="5" t="s">
        <v>54</v>
      </c>
      <c r="I68" s="5">
        <v>6958662</v>
      </c>
      <c r="J68" s="6">
        <v>46122</v>
      </c>
      <c r="K68" s="6">
        <v>46122</v>
      </c>
      <c r="L68" s="6">
        <v>46122</v>
      </c>
      <c r="M68" s="7">
        <v>10</v>
      </c>
      <c r="N68" s="7">
        <v>-3917435</v>
      </c>
      <c r="O68" s="7">
        <v>-3917435</v>
      </c>
      <c r="P68" s="7">
        <v>0</v>
      </c>
      <c r="Q68" s="7">
        <v>-3917435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5" t="s">
        <v>47</v>
      </c>
      <c r="Z68" s="6"/>
      <c r="AA68" s="5" t="s">
        <v>76</v>
      </c>
      <c r="AB68" s="5" t="s">
        <v>51</v>
      </c>
      <c r="AC68" s="5" t="s">
        <v>51</v>
      </c>
      <c r="AD68" s="5" t="s">
        <v>51</v>
      </c>
      <c r="AE68" s="5" t="s">
        <v>51</v>
      </c>
      <c r="AF68" s="5" t="s">
        <v>117</v>
      </c>
    </row>
    <row r="69" spans="1:32" ht="15.65" customHeight="1" x14ac:dyDescent="0.35">
      <c r="A69" s="5" t="s">
        <v>84</v>
      </c>
      <c r="B69" s="5" t="s">
        <v>85</v>
      </c>
      <c r="C69" s="5" t="s">
        <v>47</v>
      </c>
      <c r="D69" s="5">
        <v>3000041</v>
      </c>
      <c r="E69" s="11">
        <v>3100748</v>
      </c>
      <c r="F69" s="11" t="s">
        <v>75</v>
      </c>
      <c r="G69" s="5" t="s">
        <v>96</v>
      </c>
      <c r="H69" s="5" t="s">
        <v>54</v>
      </c>
      <c r="I69" s="5">
        <v>6958663</v>
      </c>
      <c r="J69" s="6">
        <v>46122</v>
      </c>
      <c r="K69" s="6">
        <v>46122</v>
      </c>
      <c r="L69" s="6">
        <v>46122</v>
      </c>
      <c r="M69" s="7">
        <v>10</v>
      </c>
      <c r="N69" s="7">
        <v>-641889</v>
      </c>
      <c r="O69" s="7">
        <v>-641889</v>
      </c>
      <c r="P69" s="7">
        <v>0</v>
      </c>
      <c r="Q69" s="7">
        <v>-641889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5" t="s">
        <v>47</v>
      </c>
      <c r="Z69" s="6"/>
      <c r="AA69" s="5" t="s">
        <v>76</v>
      </c>
      <c r="AB69" s="5" t="s">
        <v>51</v>
      </c>
      <c r="AC69" s="5" t="s">
        <v>51</v>
      </c>
      <c r="AD69" s="5" t="s">
        <v>51</v>
      </c>
      <c r="AE69" s="5" t="s">
        <v>51</v>
      </c>
      <c r="AF69" s="5" t="s">
        <v>118</v>
      </c>
    </row>
    <row r="70" spans="1:32" ht="15.65" customHeight="1" x14ac:dyDescent="0.35">
      <c r="A70" s="5" t="s">
        <v>84</v>
      </c>
      <c r="B70" s="5" t="s">
        <v>85</v>
      </c>
      <c r="C70" s="5" t="s">
        <v>47</v>
      </c>
      <c r="D70" s="5">
        <v>3000041</v>
      </c>
      <c r="E70" s="11">
        <v>3100748</v>
      </c>
      <c r="F70" s="11" t="s">
        <v>75</v>
      </c>
      <c r="G70" s="5" t="s">
        <v>96</v>
      </c>
      <c r="H70" s="5" t="s">
        <v>54</v>
      </c>
      <c r="I70" s="5">
        <v>6958666</v>
      </c>
      <c r="J70" s="6">
        <v>46122</v>
      </c>
      <c r="K70" s="6">
        <v>46122</v>
      </c>
      <c r="L70" s="6">
        <v>46122</v>
      </c>
      <c r="M70" s="7">
        <v>10</v>
      </c>
      <c r="N70" s="7">
        <v>-2195560</v>
      </c>
      <c r="O70" s="7">
        <v>-2195560</v>
      </c>
      <c r="P70" s="7">
        <v>0</v>
      </c>
      <c r="Q70" s="7">
        <v>-2195560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5" t="s">
        <v>47</v>
      </c>
      <c r="Z70" s="6"/>
      <c r="AA70" s="5" t="s">
        <v>76</v>
      </c>
      <c r="AB70" s="5" t="s">
        <v>51</v>
      </c>
      <c r="AC70" s="5" t="s">
        <v>51</v>
      </c>
      <c r="AD70" s="5" t="s">
        <v>51</v>
      </c>
      <c r="AE70" s="5" t="s">
        <v>51</v>
      </c>
      <c r="AF70" s="5" t="s">
        <v>118</v>
      </c>
    </row>
    <row r="71" spans="1:32" ht="15.65" customHeight="1" x14ac:dyDescent="0.35">
      <c r="A71" s="5" t="s">
        <v>84</v>
      </c>
      <c r="B71" s="5" t="s">
        <v>85</v>
      </c>
      <c r="C71" s="5" t="s">
        <v>47</v>
      </c>
      <c r="D71" s="5">
        <v>3000041</v>
      </c>
      <c r="E71" s="11">
        <v>3100748</v>
      </c>
      <c r="F71" s="11" t="s">
        <v>75</v>
      </c>
      <c r="G71" s="5" t="s">
        <v>96</v>
      </c>
      <c r="H71" s="5" t="s">
        <v>54</v>
      </c>
      <c r="I71" s="5">
        <v>6958667</v>
      </c>
      <c r="J71" s="6">
        <v>46122</v>
      </c>
      <c r="K71" s="6">
        <v>46122</v>
      </c>
      <c r="L71" s="6">
        <v>46122</v>
      </c>
      <c r="M71" s="7">
        <v>10</v>
      </c>
      <c r="N71" s="7">
        <v>-208254</v>
      </c>
      <c r="O71" s="7">
        <v>-208254</v>
      </c>
      <c r="P71" s="7">
        <v>0</v>
      </c>
      <c r="Q71" s="7">
        <v>-208254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5" t="s">
        <v>47</v>
      </c>
      <c r="Z71" s="6"/>
      <c r="AA71" s="5" t="s">
        <v>76</v>
      </c>
      <c r="AB71" s="5" t="s">
        <v>51</v>
      </c>
      <c r="AC71" s="5" t="s">
        <v>51</v>
      </c>
      <c r="AD71" s="5" t="s">
        <v>51</v>
      </c>
      <c r="AE71" s="5" t="s">
        <v>51</v>
      </c>
      <c r="AF71" s="5" t="s">
        <v>119</v>
      </c>
    </row>
    <row r="72" spans="1:32" ht="15.65" customHeight="1" x14ac:dyDescent="0.35">
      <c r="A72" s="5" t="s">
        <v>84</v>
      </c>
      <c r="B72" s="5" t="s">
        <v>85</v>
      </c>
      <c r="C72" s="5" t="s">
        <v>47</v>
      </c>
      <c r="D72" s="5">
        <v>3000041</v>
      </c>
      <c r="E72" s="11">
        <v>3100748</v>
      </c>
      <c r="F72" s="11" t="s">
        <v>75</v>
      </c>
      <c r="G72" s="5" t="s">
        <v>96</v>
      </c>
      <c r="H72" s="5" t="s">
        <v>54</v>
      </c>
      <c r="I72" s="5">
        <v>6958668</v>
      </c>
      <c r="J72" s="6">
        <v>46122</v>
      </c>
      <c r="K72" s="6">
        <v>46122</v>
      </c>
      <c r="L72" s="6">
        <v>46122</v>
      </c>
      <c r="M72" s="7">
        <v>10</v>
      </c>
      <c r="N72" s="7">
        <v>-1769077</v>
      </c>
      <c r="O72" s="7">
        <v>-1769077</v>
      </c>
      <c r="P72" s="7">
        <v>0</v>
      </c>
      <c r="Q72" s="7">
        <v>-1769077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5" t="s">
        <v>47</v>
      </c>
      <c r="Z72" s="6"/>
      <c r="AA72" s="5" t="s">
        <v>76</v>
      </c>
      <c r="AB72" s="5" t="s">
        <v>51</v>
      </c>
      <c r="AC72" s="5" t="s">
        <v>51</v>
      </c>
      <c r="AD72" s="5" t="s">
        <v>51</v>
      </c>
      <c r="AE72" s="5" t="s">
        <v>51</v>
      </c>
      <c r="AF72" s="5" t="s">
        <v>120</v>
      </c>
    </row>
    <row r="73" spans="1:32" ht="15.65" customHeight="1" x14ac:dyDescent="0.35">
      <c r="A73" s="5" t="s">
        <v>84</v>
      </c>
      <c r="B73" s="5" t="s">
        <v>85</v>
      </c>
      <c r="C73" s="5" t="s">
        <v>47</v>
      </c>
      <c r="D73" s="5">
        <v>3000041</v>
      </c>
      <c r="E73" s="11">
        <v>3100748</v>
      </c>
      <c r="F73" s="11" t="s">
        <v>75</v>
      </c>
      <c r="G73" s="5" t="s">
        <v>96</v>
      </c>
      <c r="H73" s="5" t="s">
        <v>54</v>
      </c>
      <c r="I73" s="5">
        <v>6958670</v>
      </c>
      <c r="J73" s="6">
        <v>46122</v>
      </c>
      <c r="K73" s="6">
        <v>46122</v>
      </c>
      <c r="L73" s="6">
        <v>46122</v>
      </c>
      <c r="M73" s="7">
        <v>10</v>
      </c>
      <c r="N73" s="7">
        <v>-264606</v>
      </c>
      <c r="O73" s="7">
        <v>-264606</v>
      </c>
      <c r="P73" s="7">
        <v>0</v>
      </c>
      <c r="Q73" s="7">
        <v>-264606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5" t="s">
        <v>47</v>
      </c>
      <c r="Z73" s="6"/>
      <c r="AA73" s="5" t="s">
        <v>76</v>
      </c>
      <c r="AB73" s="5" t="s">
        <v>51</v>
      </c>
      <c r="AC73" s="5" t="s">
        <v>51</v>
      </c>
      <c r="AD73" s="5" t="s">
        <v>51</v>
      </c>
      <c r="AE73" s="5" t="s">
        <v>51</v>
      </c>
      <c r="AF73" s="5" t="s">
        <v>121</v>
      </c>
    </row>
    <row r="74" spans="1:32" ht="15.65" customHeight="1" x14ac:dyDescent="0.35">
      <c r="A74" s="5" t="s">
        <v>84</v>
      </c>
      <c r="B74" s="5" t="s">
        <v>85</v>
      </c>
      <c r="C74" s="5" t="s">
        <v>47</v>
      </c>
      <c r="D74" s="5">
        <v>3000041</v>
      </c>
      <c r="E74" s="11">
        <v>3100748</v>
      </c>
      <c r="F74" s="11" t="s">
        <v>75</v>
      </c>
      <c r="G74" s="5" t="s">
        <v>96</v>
      </c>
      <c r="H74" s="5" t="s">
        <v>54</v>
      </c>
      <c r="I74" s="5">
        <v>6958697</v>
      </c>
      <c r="J74" s="6">
        <v>46122</v>
      </c>
      <c r="K74" s="6">
        <v>46122</v>
      </c>
      <c r="L74" s="6">
        <v>46122</v>
      </c>
      <c r="M74" s="7">
        <v>10</v>
      </c>
      <c r="N74" s="7">
        <v>-211075</v>
      </c>
      <c r="O74" s="7">
        <v>-211075</v>
      </c>
      <c r="P74" s="7">
        <v>0</v>
      </c>
      <c r="Q74" s="7">
        <v>-211075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5" t="s">
        <v>47</v>
      </c>
      <c r="Z74" s="6"/>
      <c r="AA74" s="5" t="s">
        <v>76</v>
      </c>
      <c r="AB74" s="5" t="s">
        <v>51</v>
      </c>
      <c r="AC74" s="5" t="s">
        <v>51</v>
      </c>
      <c r="AD74" s="5" t="s">
        <v>51</v>
      </c>
      <c r="AE74" s="5" t="s">
        <v>51</v>
      </c>
      <c r="AF74" s="5" t="s">
        <v>118</v>
      </c>
    </row>
    <row r="75" spans="1:32" ht="15.65" customHeight="1" x14ac:dyDescent="0.35">
      <c r="A75" s="5" t="s">
        <v>84</v>
      </c>
      <c r="B75" s="5" t="s">
        <v>85</v>
      </c>
      <c r="C75" s="5" t="s">
        <v>47</v>
      </c>
      <c r="D75" s="5">
        <v>3000041</v>
      </c>
      <c r="E75" s="11">
        <v>3100748</v>
      </c>
      <c r="F75" s="11" t="s">
        <v>75</v>
      </c>
      <c r="G75" s="5" t="s">
        <v>96</v>
      </c>
      <c r="H75" s="5" t="s">
        <v>54</v>
      </c>
      <c r="I75" s="5">
        <v>6958732</v>
      </c>
      <c r="J75" s="6">
        <v>46122</v>
      </c>
      <c r="K75" s="6">
        <v>46122</v>
      </c>
      <c r="L75" s="6">
        <v>46122</v>
      </c>
      <c r="M75" s="7">
        <v>10</v>
      </c>
      <c r="N75" s="7">
        <v>-375707</v>
      </c>
      <c r="O75" s="7">
        <v>-375707</v>
      </c>
      <c r="P75" s="7">
        <v>0</v>
      </c>
      <c r="Q75" s="7">
        <v>-375707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5" t="s">
        <v>47</v>
      </c>
      <c r="Z75" s="6"/>
      <c r="AA75" s="5" t="s">
        <v>76</v>
      </c>
      <c r="AB75" s="5" t="s">
        <v>51</v>
      </c>
      <c r="AC75" s="5" t="s">
        <v>51</v>
      </c>
      <c r="AD75" s="5" t="s">
        <v>51</v>
      </c>
      <c r="AE75" s="5" t="s">
        <v>51</v>
      </c>
      <c r="AF75" s="5" t="s">
        <v>118</v>
      </c>
    </row>
    <row r="76" spans="1:32" ht="15.65" customHeight="1" x14ac:dyDescent="0.35">
      <c r="A76" s="5" t="s">
        <v>84</v>
      </c>
      <c r="B76" s="5" t="s">
        <v>85</v>
      </c>
      <c r="C76" s="5" t="s">
        <v>47</v>
      </c>
      <c r="D76" s="5">
        <v>3000041</v>
      </c>
      <c r="E76" s="11">
        <v>3100748</v>
      </c>
      <c r="F76" s="11" t="s">
        <v>75</v>
      </c>
      <c r="G76" s="5" t="s">
        <v>96</v>
      </c>
      <c r="H76" s="5" t="s">
        <v>54</v>
      </c>
      <c r="I76" s="5">
        <v>6958733</v>
      </c>
      <c r="J76" s="6">
        <v>46122</v>
      </c>
      <c r="K76" s="6">
        <v>46122</v>
      </c>
      <c r="L76" s="6">
        <v>46122</v>
      </c>
      <c r="M76" s="7">
        <v>10</v>
      </c>
      <c r="N76" s="7">
        <v>-109564</v>
      </c>
      <c r="O76" s="7">
        <v>-109564</v>
      </c>
      <c r="P76" s="7">
        <v>0</v>
      </c>
      <c r="Q76" s="7">
        <v>-109564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5" t="s">
        <v>47</v>
      </c>
      <c r="Z76" s="6"/>
      <c r="AA76" s="5" t="s">
        <v>76</v>
      </c>
      <c r="AB76" s="5" t="s">
        <v>51</v>
      </c>
      <c r="AC76" s="5" t="s">
        <v>51</v>
      </c>
      <c r="AD76" s="5" t="s">
        <v>51</v>
      </c>
      <c r="AE76" s="5" t="s">
        <v>51</v>
      </c>
      <c r="AF76" s="5" t="s">
        <v>118</v>
      </c>
    </row>
    <row r="77" spans="1:32" ht="15.65" customHeight="1" x14ac:dyDescent="0.35">
      <c r="A77" s="5" t="s">
        <v>84</v>
      </c>
      <c r="B77" s="5" t="s">
        <v>85</v>
      </c>
      <c r="C77" s="5" t="s">
        <v>47</v>
      </c>
      <c r="D77" s="5">
        <v>3000041</v>
      </c>
      <c r="E77" s="11">
        <v>3100748</v>
      </c>
      <c r="F77" s="11" t="s">
        <v>75</v>
      </c>
      <c r="G77" s="5" t="s">
        <v>96</v>
      </c>
      <c r="H77" s="5" t="s">
        <v>54</v>
      </c>
      <c r="I77" s="5">
        <v>6958734</v>
      </c>
      <c r="J77" s="6">
        <v>46122</v>
      </c>
      <c r="K77" s="6">
        <v>46122</v>
      </c>
      <c r="L77" s="6">
        <v>46122</v>
      </c>
      <c r="M77" s="7">
        <v>10</v>
      </c>
      <c r="N77" s="7">
        <v>-1230824</v>
      </c>
      <c r="O77" s="7">
        <v>-1230824</v>
      </c>
      <c r="P77" s="7">
        <v>0</v>
      </c>
      <c r="Q77" s="7">
        <v>-1230824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5" t="s">
        <v>47</v>
      </c>
      <c r="Z77" s="6"/>
      <c r="AA77" s="5" t="s">
        <v>76</v>
      </c>
      <c r="AB77" s="5" t="s">
        <v>51</v>
      </c>
      <c r="AC77" s="5" t="s">
        <v>51</v>
      </c>
      <c r="AD77" s="5" t="s">
        <v>51</v>
      </c>
      <c r="AE77" s="5" t="s">
        <v>51</v>
      </c>
      <c r="AF77" s="5" t="s">
        <v>117</v>
      </c>
    </row>
    <row r="78" spans="1:32" ht="15.65" customHeight="1" x14ac:dyDescent="0.35">
      <c r="A78" s="5" t="s">
        <v>73</v>
      </c>
      <c r="B78" s="5" t="s">
        <v>74</v>
      </c>
      <c r="C78" s="5" t="s">
        <v>47</v>
      </c>
      <c r="D78" s="5">
        <v>3000041</v>
      </c>
      <c r="E78" s="11">
        <v>3000910</v>
      </c>
      <c r="F78" s="11" t="s">
        <v>75</v>
      </c>
      <c r="G78" s="5" t="s">
        <v>75</v>
      </c>
      <c r="H78" s="5" t="s">
        <v>54</v>
      </c>
      <c r="I78" s="5">
        <v>6958737</v>
      </c>
      <c r="J78" s="6">
        <v>46122</v>
      </c>
      <c r="K78" s="6">
        <v>46122</v>
      </c>
      <c r="L78" s="6">
        <v>46122</v>
      </c>
      <c r="M78" s="7">
        <v>10</v>
      </c>
      <c r="N78" s="7">
        <v>-417777</v>
      </c>
      <c r="O78" s="7">
        <v>-417777</v>
      </c>
      <c r="P78" s="7">
        <v>0</v>
      </c>
      <c r="Q78" s="7">
        <v>-417777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5" t="s">
        <v>47</v>
      </c>
      <c r="Z78" s="6"/>
      <c r="AA78" s="5" t="s">
        <v>76</v>
      </c>
      <c r="AB78" s="5" t="s">
        <v>51</v>
      </c>
      <c r="AC78" s="5" t="s">
        <v>51</v>
      </c>
      <c r="AD78" s="5" t="s">
        <v>51</v>
      </c>
      <c r="AE78" s="5" t="s">
        <v>51</v>
      </c>
      <c r="AF78" s="5" t="s">
        <v>90</v>
      </c>
    </row>
    <row r="79" spans="1:32" ht="15.65" customHeight="1" x14ac:dyDescent="0.35">
      <c r="A79" s="5" t="s">
        <v>84</v>
      </c>
      <c r="B79" s="5" t="s">
        <v>85</v>
      </c>
      <c r="C79" s="5" t="s">
        <v>47</v>
      </c>
      <c r="D79" s="5">
        <v>3000041</v>
      </c>
      <c r="E79" s="5">
        <v>3100882</v>
      </c>
      <c r="F79" s="5" t="s">
        <v>75</v>
      </c>
      <c r="G79" s="5" t="s">
        <v>86</v>
      </c>
      <c r="H79" s="5" t="s">
        <v>54</v>
      </c>
      <c r="I79" s="5">
        <v>6958741</v>
      </c>
      <c r="J79" s="6">
        <v>46122</v>
      </c>
      <c r="K79" s="6">
        <v>46122</v>
      </c>
      <c r="L79" s="6">
        <v>46122</v>
      </c>
      <c r="M79" s="7">
        <v>10</v>
      </c>
      <c r="N79" s="7">
        <v>-151921</v>
      </c>
      <c r="O79" s="7">
        <v>-151921</v>
      </c>
      <c r="P79" s="7">
        <v>0</v>
      </c>
      <c r="Q79" s="7">
        <v>-151921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5" t="s">
        <v>47</v>
      </c>
      <c r="Z79" s="6"/>
      <c r="AA79" s="5" t="s">
        <v>76</v>
      </c>
      <c r="AB79" s="5" t="s">
        <v>51</v>
      </c>
      <c r="AC79" s="5" t="s">
        <v>51</v>
      </c>
      <c r="AD79" s="5" t="s">
        <v>51</v>
      </c>
      <c r="AE79" s="5" t="s">
        <v>51</v>
      </c>
      <c r="AF79" s="5" t="s">
        <v>95</v>
      </c>
    </row>
    <row r="80" spans="1:32" ht="15.65" customHeight="1" x14ac:dyDescent="0.35">
      <c r="A80" s="5" t="s">
        <v>84</v>
      </c>
      <c r="B80" s="5" t="s">
        <v>85</v>
      </c>
      <c r="C80" s="5" t="s">
        <v>47</v>
      </c>
      <c r="D80" s="5">
        <v>3000041</v>
      </c>
      <c r="E80" s="11">
        <v>3100882</v>
      </c>
      <c r="F80" s="11" t="s">
        <v>75</v>
      </c>
      <c r="G80" s="5" t="s">
        <v>86</v>
      </c>
      <c r="H80" s="5" t="s">
        <v>54</v>
      </c>
      <c r="I80" s="5">
        <v>6958742</v>
      </c>
      <c r="J80" s="6">
        <v>46122</v>
      </c>
      <c r="K80" s="6">
        <v>46122</v>
      </c>
      <c r="L80" s="6">
        <v>46122</v>
      </c>
      <c r="M80" s="7">
        <v>10</v>
      </c>
      <c r="N80" s="7">
        <v>-311309</v>
      </c>
      <c r="O80" s="7">
        <v>-311309</v>
      </c>
      <c r="P80" s="7">
        <v>0</v>
      </c>
      <c r="Q80" s="7">
        <v>-311309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5" t="s">
        <v>47</v>
      </c>
      <c r="Z80" s="6"/>
      <c r="AA80" s="5" t="s">
        <v>76</v>
      </c>
      <c r="AB80" s="5" t="s">
        <v>51</v>
      </c>
      <c r="AC80" s="5" t="s">
        <v>51</v>
      </c>
      <c r="AD80" s="5" t="s">
        <v>51</v>
      </c>
      <c r="AE80" s="5" t="s">
        <v>51</v>
      </c>
      <c r="AF80" s="5" t="s">
        <v>94</v>
      </c>
    </row>
    <row r="81" spans="1:32" ht="15.65" customHeight="1" x14ac:dyDescent="0.35">
      <c r="A81" s="5" t="s">
        <v>73</v>
      </c>
      <c r="B81" s="5" t="s">
        <v>74</v>
      </c>
      <c r="C81" s="5" t="s">
        <v>47</v>
      </c>
      <c r="D81" s="5">
        <v>3000041</v>
      </c>
      <c r="E81" s="11">
        <v>3000041</v>
      </c>
      <c r="F81" s="11" t="s">
        <v>75</v>
      </c>
      <c r="G81" s="5" t="s">
        <v>75</v>
      </c>
      <c r="H81" s="5" t="s">
        <v>54</v>
      </c>
      <c r="I81" s="5">
        <v>6958994</v>
      </c>
      <c r="J81" s="6">
        <v>46125</v>
      </c>
      <c r="K81" s="6">
        <v>46125</v>
      </c>
      <c r="L81" s="6">
        <v>46125</v>
      </c>
      <c r="M81" s="7">
        <v>7</v>
      </c>
      <c r="N81" s="7">
        <v>-193693</v>
      </c>
      <c r="O81" s="7">
        <v>-193693</v>
      </c>
      <c r="P81" s="7">
        <v>0</v>
      </c>
      <c r="Q81" s="7">
        <v>-193693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5" t="s">
        <v>47</v>
      </c>
      <c r="Z81" s="6"/>
      <c r="AA81" s="5" t="s">
        <v>76</v>
      </c>
      <c r="AB81" s="5" t="s">
        <v>51</v>
      </c>
      <c r="AC81" s="5" t="s">
        <v>51</v>
      </c>
      <c r="AD81" s="5" t="s">
        <v>51</v>
      </c>
      <c r="AE81" s="5" t="s">
        <v>51</v>
      </c>
      <c r="AF81" s="5" t="s">
        <v>122</v>
      </c>
    </row>
    <row r="82" spans="1:32" ht="15.65" customHeight="1" x14ac:dyDescent="0.35">
      <c r="A82" s="5" t="s">
        <v>73</v>
      </c>
      <c r="B82" s="5" t="s">
        <v>74</v>
      </c>
      <c r="C82" s="5" t="s">
        <v>47</v>
      </c>
      <c r="D82" s="5">
        <v>3000041</v>
      </c>
      <c r="E82" s="11">
        <v>3000041</v>
      </c>
      <c r="F82" s="11" t="s">
        <v>75</v>
      </c>
      <c r="G82" s="5" t="s">
        <v>75</v>
      </c>
      <c r="H82" s="5" t="s">
        <v>54</v>
      </c>
      <c r="I82" s="5">
        <v>6958995</v>
      </c>
      <c r="J82" s="6">
        <v>46125</v>
      </c>
      <c r="K82" s="6">
        <v>46125</v>
      </c>
      <c r="L82" s="6">
        <v>46125</v>
      </c>
      <c r="M82" s="7">
        <v>7</v>
      </c>
      <c r="N82" s="7">
        <v>-222186</v>
      </c>
      <c r="O82" s="7">
        <v>-222186</v>
      </c>
      <c r="P82" s="7">
        <v>0</v>
      </c>
      <c r="Q82" s="7">
        <v>-222186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5" t="s">
        <v>47</v>
      </c>
      <c r="Z82" s="6"/>
      <c r="AA82" s="5" t="s">
        <v>76</v>
      </c>
      <c r="AB82" s="5" t="s">
        <v>51</v>
      </c>
      <c r="AC82" s="5" t="s">
        <v>51</v>
      </c>
      <c r="AD82" s="5" t="s">
        <v>51</v>
      </c>
      <c r="AE82" s="5" t="s">
        <v>51</v>
      </c>
      <c r="AF82" s="5" t="s">
        <v>123</v>
      </c>
    </row>
    <row r="83" spans="1:32" ht="15.65" customHeight="1" x14ac:dyDescent="0.35">
      <c r="A83" s="5" t="s">
        <v>73</v>
      </c>
      <c r="B83" s="5" t="s">
        <v>74</v>
      </c>
      <c r="C83" s="5" t="s">
        <v>47</v>
      </c>
      <c r="D83" s="5">
        <v>3000041</v>
      </c>
      <c r="E83" s="11">
        <v>3000041</v>
      </c>
      <c r="F83" s="11" t="s">
        <v>75</v>
      </c>
      <c r="G83" s="5" t="s">
        <v>75</v>
      </c>
      <c r="H83" s="5" t="s">
        <v>54</v>
      </c>
      <c r="I83" s="5">
        <v>6959030</v>
      </c>
      <c r="J83" s="6">
        <v>46125</v>
      </c>
      <c r="K83" s="6">
        <v>46125</v>
      </c>
      <c r="L83" s="6">
        <v>46125</v>
      </c>
      <c r="M83" s="7">
        <v>7</v>
      </c>
      <c r="N83" s="7">
        <v>-290406</v>
      </c>
      <c r="O83" s="7">
        <v>-290406</v>
      </c>
      <c r="P83" s="7">
        <v>0</v>
      </c>
      <c r="Q83" s="7">
        <v>-290406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5" t="s">
        <v>47</v>
      </c>
      <c r="Z83" s="6"/>
      <c r="AA83" s="5" t="s">
        <v>76</v>
      </c>
      <c r="AB83" s="5" t="s">
        <v>51</v>
      </c>
      <c r="AC83" s="5" t="s">
        <v>51</v>
      </c>
      <c r="AD83" s="5" t="s">
        <v>51</v>
      </c>
      <c r="AE83" s="5" t="s">
        <v>51</v>
      </c>
      <c r="AF83" s="5" t="s">
        <v>124</v>
      </c>
    </row>
    <row r="84" spans="1:32" ht="15.65" customHeight="1" x14ac:dyDescent="0.35">
      <c r="A84" s="5" t="s">
        <v>73</v>
      </c>
      <c r="B84" s="5" t="s">
        <v>74</v>
      </c>
      <c r="C84" s="5" t="s">
        <v>47</v>
      </c>
      <c r="D84" s="5">
        <v>3000041</v>
      </c>
      <c r="E84" s="11">
        <v>3000041</v>
      </c>
      <c r="F84" s="11" t="s">
        <v>75</v>
      </c>
      <c r="G84" s="5" t="s">
        <v>75</v>
      </c>
      <c r="H84" s="5" t="s">
        <v>54</v>
      </c>
      <c r="I84" s="5">
        <v>6959031</v>
      </c>
      <c r="J84" s="6">
        <v>46125</v>
      </c>
      <c r="K84" s="6">
        <v>46125</v>
      </c>
      <c r="L84" s="6">
        <v>46125</v>
      </c>
      <c r="M84" s="7">
        <v>7</v>
      </c>
      <c r="N84" s="7">
        <v>-139018</v>
      </c>
      <c r="O84" s="7">
        <v>-139018</v>
      </c>
      <c r="P84" s="7">
        <v>0</v>
      </c>
      <c r="Q84" s="7">
        <v>-139018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5" t="s">
        <v>47</v>
      </c>
      <c r="Z84" s="6"/>
      <c r="AA84" s="5" t="s">
        <v>76</v>
      </c>
      <c r="AB84" s="5" t="s">
        <v>51</v>
      </c>
      <c r="AC84" s="5" t="s">
        <v>51</v>
      </c>
      <c r="AD84" s="5" t="s">
        <v>51</v>
      </c>
      <c r="AE84" s="5" t="s">
        <v>51</v>
      </c>
      <c r="AF84" s="5" t="s">
        <v>98</v>
      </c>
    </row>
    <row r="85" spans="1:32" ht="15.65" customHeight="1" x14ac:dyDescent="0.35">
      <c r="A85" s="5" t="s">
        <v>73</v>
      </c>
      <c r="B85" s="5" t="s">
        <v>74</v>
      </c>
      <c r="C85" s="5" t="s">
        <v>47</v>
      </c>
      <c r="D85" s="5">
        <v>3000041</v>
      </c>
      <c r="E85" s="11">
        <v>3000041</v>
      </c>
      <c r="F85" s="11" t="s">
        <v>75</v>
      </c>
      <c r="G85" s="5" t="s">
        <v>75</v>
      </c>
      <c r="H85" s="5" t="s">
        <v>54</v>
      </c>
      <c r="I85" s="5">
        <v>6959032</v>
      </c>
      <c r="J85" s="6">
        <v>46125</v>
      </c>
      <c r="K85" s="6">
        <v>46125</v>
      </c>
      <c r="L85" s="6">
        <v>46125</v>
      </c>
      <c r="M85" s="7">
        <v>7</v>
      </c>
      <c r="N85" s="7">
        <v>-166938</v>
      </c>
      <c r="O85" s="7">
        <v>-166938</v>
      </c>
      <c r="P85" s="7">
        <v>0</v>
      </c>
      <c r="Q85" s="7">
        <v>-166938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5" t="s">
        <v>47</v>
      </c>
      <c r="Z85" s="6"/>
      <c r="AA85" s="5" t="s">
        <v>76</v>
      </c>
      <c r="AB85" s="5" t="s">
        <v>51</v>
      </c>
      <c r="AC85" s="5" t="s">
        <v>51</v>
      </c>
      <c r="AD85" s="5" t="s">
        <v>51</v>
      </c>
      <c r="AE85" s="5" t="s">
        <v>51</v>
      </c>
      <c r="AF85" s="5" t="s">
        <v>125</v>
      </c>
    </row>
    <row r="86" spans="1:32" ht="15.65" customHeight="1" x14ac:dyDescent="0.35">
      <c r="A86" s="5" t="s">
        <v>73</v>
      </c>
      <c r="B86" s="5" t="s">
        <v>74</v>
      </c>
      <c r="C86" s="5" t="s">
        <v>47</v>
      </c>
      <c r="D86" s="5">
        <v>3000041</v>
      </c>
      <c r="E86" s="11">
        <v>3000041</v>
      </c>
      <c r="F86" s="11" t="s">
        <v>75</v>
      </c>
      <c r="G86" s="5" t="s">
        <v>75</v>
      </c>
      <c r="H86" s="5" t="s">
        <v>54</v>
      </c>
      <c r="I86" s="5">
        <v>6959090</v>
      </c>
      <c r="J86" s="6">
        <v>46125</v>
      </c>
      <c r="K86" s="6">
        <v>46125</v>
      </c>
      <c r="L86" s="6">
        <v>46125</v>
      </c>
      <c r="M86" s="7">
        <v>7</v>
      </c>
      <c r="N86" s="7">
        <v>-290887</v>
      </c>
      <c r="O86" s="7">
        <v>-290887</v>
      </c>
      <c r="P86" s="7">
        <v>0</v>
      </c>
      <c r="Q86" s="7">
        <v>-290887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5" t="s">
        <v>47</v>
      </c>
      <c r="Z86" s="6"/>
      <c r="AA86" s="5" t="s">
        <v>76</v>
      </c>
      <c r="AB86" s="5" t="s">
        <v>51</v>
      </c>
      <c r="AC86" s="5" t="s">
        <v>51</v>
      </c>
      <c r="AD86" s="5" t="s">
        <v>51</v>
      </c>
      <c r="AE86" s="5" t="s">
        <v>51</v>
      </c>
      <c r="AF86" s="5" t="s">
        <v>126</v>
      </c>
    </row>
    <row r="87" spans="1:32" ht="15.65" customHeight="1" x14ac:dyDescent="0.35">
      <c r="A87" s="5" t="s">
        <v>73</v>
      </c>
      <c r="B87" s="5" t="s">
        <v>74</v>
      </c>
      <c r="C87" s="5" t="s">
        <v>47</v>
      </c>
      <c r="D87" s="5">
        <v>3000041</v>
      </c>
      <c r="E87" s="11">
        <v>3000041</v>
      </c>
      <c r="F87" s="11" t="s">
        <v>75</v>
      </c>
      <c r="G87" s="5" t="s">
        <v>75</v>
      </c>
      <c r="H87" s="5" t="s">
        <v>54</v>
      </c>
      <c r="I87" s="5">
        <v>6959159</v>
      </c>
      <c r="J87" s="6">
        <v>46125</v>
      </c>
      <c r="K87" s="6">
        <v>46125</v>
      </c>
      <c r="L87" s="6">
        <v>46125</v>
      </c>
      <c r="M87" s="7">
        <v>7</v>
      </c>
      <c r="N87" s="7">
        <v>-175788</v>
      </c>
      <c r="O87" s="7">
        <v>-175788</v>
      </c>
      <c r="P87" s="7">
        <v>0</v>
      </c>
      <c r="Q87" s="7">
        <v>-175788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5" t="s">
        <v>47</v>
      </c>
      <c r="Z87" s="6"/>
      <c r="AA87" s="5" t="s">
        <v>76</v>
      </c>
      <c r="AB87" s="5" t="s">
        <v>51</v>
      </c>
      <c r="AC87" s="5" t="s">
        <v>51</v>
      </c>
      <c r="AD87" s="5" t="s">
        <v>51</v>
      </c>
      <c r="AE87" s="5" t="s">
        <v>51</v>
      </c>
      <c r="AF87" s="5" t="s">
        <v>127</v>
      </c>
    </row>
    <row r="88" spans="1:32" ht="15.65" customHeight="1" x14ac:dyDescent="0.35">
      <c r="A88" s="5" t="s">
        <v>73</v>
      </c>
      <c r="B88" s="5" t="s">
        <v>74</v>
      </c>
      <c r="C88" s="5" t="s">
        <v>47</v>
      </c>
      <c r="D88" s="5">
        <v>3000041</v>
      </c>
      <c r="E88" s="5">
        <v>3000041</v>
      </c>
      <c r="F88" s="5" t="s">
        <v>75</v>
      </c>
      <c r="G88" s="5" t="s">
        <v>75</v>
      </c>
      <c r="H88" s="5" t="s">
        <v>54</v>
      </c>
      <c r="I88" s="5">
        <v>6959160</v>
      </c>
      <c r="J88" s="6">
        <v>46125</v>
      </c>
      <c r="K88" s="6">
        <v>46125</v>
      </c>
      <c r="L88" s="6">
        <v>46125</v>
      </c>
      <c r="M88" s="7">
        <v>7</v>
      </c>
      <c r="N88" s="7">
        <v>-408522</v>
      </c>
      <c r="O88" s="7">
        <v>-408522</v>
      </c>
      <c r="P88" s="7">
        <v>0</v>
      </c>
      <c r="Q88" s="7">
        <v>-408522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5" t="s">
        <v>47</v>
      </c>
      <c r="Z88" s="6"/>
      <c r="AA88" s="5" t="s">
        <v>76</v>
      </c>
      <c r="AB88" s="5" t="s">
        <v>51</v>
      </c>
      <c r="AC88" s="5" t="s">
        <v>51</v>
      </c>
      <c r="AD88" s="5" t="s">
        <v>51</v>
      </c>
      <c r="AE88" s="5" t="s">
        <v>51</v>
      </c>
      <c r="AF88" s="5" t="s">
        <v>128</v>
      </c>
    </row>
    <row r="89" spans="1:32" ht="15.65" customHeight="1" x14ac:dyDescent="0.35">
      <c r="A89" s="5" t="s">
        <v>73</v>
      </c>
      <c r="B89" s="5" t="s">
        <v>74</v>
      </c>
      <c r="C89" s="5" t="s">
        <v>47</v>
      </c>
      <c r="D89" s="5">
        <v>3000041</v>
      </c>
      <c r="E89" s="11">
        <v>3000041</v>
      </c>
      <c r="F89" s="11" t="s">
        <v>75</v>
      </c>
      <c r="G89" s="5" t="s">
        <v>75</v>
      </c>
      <c r="H89" s="5" t="s">
        <v>54</v>
      </c>
      <c r="I89" s="5">
        <v>6959162</v>
      </c>
      <c r="J89" s="6">
        <v>46125</v>
      </c>
      <c r="K89" s="6">
        <v>46125</v>
      </c>
      <c r="L89" s="6">
        <v>46125</v>
      </c>
      <c r="M89" s="7">
        <v>7</v>
      </c>
      <c r="N89" s="7">
        <v>-160267</v>
      </c>
      <c r="O89" s="7">
        <v>-160267</v>
      </c>
      <c r="P89" s="7">
        <v>0</v>
      </c>
      <c r="Q89" s="7">
        <v>-160267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5" t="s">
        <v>47</v>
      </c>
      <c r="Z89" s="6"/>
      <c r="AA89" s="5" t="s">
        <v>76</v>
      </c>
      <c r="AB89" s="5" t="s">
        <v>51</v>
      </c>
      <c r="AC89" s="5" t="s">
        <v>51</v>
      </c>
      <c r="AD89" s="5" t="s">
        <v>51</v>
      </c>
      <c r="AE89" s="5" t="s">
        <v>51</v>
      </c>
      <c r="AF89" s="5" t="s">
        <v>125</v>
      </c>
    </row>
    <row r="90" spans="1:32" ht="15.65" customHeight="1" x14ac:dyDescent="0.35">
      <c r="A90" s="5" t="s">
        <v>73</v>
      </c>
      <c r="B90" s="5" t="s">
        <v>74</v>
      </c>
      <c r="C90" s="5" t="s">
        <v>47</v>
      </c>
      <c r="D90" s="5">
        <v>3000041</v>
      </c>
      <c r="E90" s="5">
        <v>3000041</v>
      </c>
      <c r="F90" s="5" t="s">
        <v>75</v>
      </c>
      <c r="G90" s="5" t="s">
        <v>75</v>
      </c>
      <c r="H90" s="5" t="s">
        <v>54</v>
      </c>
      <c r="I90" s="5">
        <v>6959163</v>
      </c>
      <c r="J90" s="6">
        <v>46125</v>
      </c>
      <c r="K90" s="6">
        <v>46125</v>
      </c>
      <c r="L90" s="6">
        <v>46125</v>
      </c>
      <c r="M90" s="7">
        <v>7</v>
      </c>
      <c r="N90" s="7">
        <v>-295423</v>
      </c>
      <c r="O90" s="7">
        <v>-295423</v>
      </c>
      <c r="P90" s="7">
        <v>0</v>
      </c>
      <c r="Q90" s="7">
        <v>-295423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5" t="s">
        <v>47</v>
      </c>
      <c r="Z90" s="6"/>
      <c r="AA90" s="5" t="s">
        <v>76</v>
      </c>
      <c r="AB90" s="5" t="s">
        <v>51</v>
      </c>
      <c r="AC90" s="5" t="s">
        <v>51</v>
      </c>
      <c r="AD90" s="5" t="s">
        <v>51</v>
      </c>
      <c r="AE90" s="5" t="s">
        <v>51</v>
      </c>
      <c r="AF90" s="5" t="s">
        <v>126</v>
      </c>
    </row>
    <row r="91" spans="1:32" ht="15.65" customHeight="1" x14ac:dyDescent="0.35">
      <c r="A91" s="5" t="s">
        <v>73</v>
      </c>
      <c r="B91" s="5" t="s">
        <v>74</v>
      </c>
      <c r="C91" s="5" t="s">
        <v>47</v>
      </c>
      <c r="D91" s="5">
        <v>3000041</v>
      </c>
      <c r="E91" s="11">
        <v>3000041</v>
      </c>
      <c r="F91" s="11" t="s">
        <v>75</v>
      </c>
      <c r="G91" s="5" t="s">
        <v>75</v>
      </c>
      <c r="H91" s="5" t="s">
        <v>54</v>
      </c>
      <c r="I91" s="5">
        <v>6959171</v>
      </c>
      <c r="J91" s="6">
        <v>46125</v>
      </c>
      <c r="K91" s="6">
        <v>46125</v>
      </c>
      <c r="L91" s="6">
        <v>46125</v>
      </c>
      <c r="M91" s="7">
        <v>7</v>
      </c>
      <c r="N91" s="7">
        <v>-610900</v>
      </c>
      <c r="O91" s="7">
        <v>-610900</v>
      </c>
      <c r="P91" s="7">
        <v>0</v>
      </c>
      <c r="Q91" s="7">
        <v>-610900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5" t="s">
        <v>47</v>
      </c>
      <c r="Z91" s="6"/>
      <c r="AA91" s="5" t="s">
        <v>76</v>
      </c>
      <c r="AB91" s="5" t="s">
        <v>51</v>
      </c>
      <c r="AC91" s="5" t="s">
        <v>51</v>
      </c>
      <c r="AD91" s="5" t="s">
        <v>51</v>
      </c>
      <c r="AE91" s="5" t="s">
        <v>51</v>
      </c>
      <c r="AF91" s="5" t="s">
        <v>129</v>
      </c>
    </row>
    <row r="92" spans="1:32" ht="15.65" customHeight="1" x14ac:dyDescent="0.35">
      <c r="A92" s="5" t="s">
        <v>73</v>
      </c>
      <c r="B92" s="5" t="s">
        <v>74</v>
      </c>
      <c r="C92" s="5" t="s">
        <v>47</v>
      </c>
      <c r="D92" s="5">
        <v>3000041</v>
      </c>
      <c r="E92" s="11">
        <v>3000041</v>
      </c>
      <c r="F92" s="11" t="s">
        <v>75</v>
      </c>
      <c r="G92" s="5" t="s">
        <v>75</v>
      </c>
      <c r="H92" s="5" t="s">
        <v>54</v>
      </c>
      <c r="I92" s="5">
        <v>6959173</v>
      </c>
      <c r="J92" s="6">
        <v>46125</v>
      </c>
      <c r="K92" s="6">
        <v>46125</v>
      </c>
      <c r="L92" s="6">
        <v>46125</v>
      </c>
      <c r="M92" s="7">
        <v>7</v>
      </c>
      <c r="N92" s="7">
        <v>-175879</v>
      </c>
      <c r="O92" s="7">
        <v>-175879</v>
      </c>
      <c r="P92" s="7">
        <v>0</v>
      </c>
      <c r="Q92" s="7">
        <v>-175879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5" t="s">
        <v>47</v>
      </c>
      <c r="Z92" s="6"/>
      <c r="AA92" s="5" t="s">
        <v>76</v>
      </c>
      <c r="AB92" s="5" t="s">
        <v>51</v>
      </c>
      <c r="AC92" s="5" t="s">
        <v>51</v>
      </c>
      <c r="AD92" s="5" t="s">
        <v>51</v>
      </c>
      <c r="AE92" s="5" t="s">
        <v>51</v>
      </c>
      <c r="AF92" s="5" t="s">
        <v>127</v>
      </c>
    </row>
    <row r="93" spans="1:32" ht="15.65" customHeight="1" x14ac:dyDescent="0.35">
      <c r="A93" s="5" t="s">
        <v>73</v>
      </c>
      <c r="B93" s="5" t="s">
        <v>74</v>
      </c>
      <c r="C93" s="5" t="s">
        <v>47</v>
      </c>
      <c r="D93" s="5">
        <v>3000041</v>
      </c>
      <c r="E93" s="11">
        <v>3000910</v>
      </c>
      <c r="F93" s="11" t="s">
        <v>75</v>
      </c>
      <c r="G93" s="5" t="s">
        <v>75</v>
      </c>
      <c r="H93" s="5" t="s">
        <v>54</v>
      </c>
      <c r="I93" s="5">
        <v>6959199</v>
      </c>
      <c r="J93" s="6">
        <v>46126</v>
      </c>
      <c r="K93" s="6">
        <v>46126</v>
      </c>
      <c r="L93" s="6">
        <v>46126</v>
      </c>
      <c r="M93" s="7">
        <v>6</v>
      </c>
      <c r="N93" s="7">
        <v>-7815067</v>
      </c>
      <c r="O93" s="7">
        <v>-7815067</v>
      </c>
      <c r="P93" s="7">
        <v>0</v>
      </c>
      <c r="Q93" s="7">
        <v>-7815067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5" t="s">
        <v>47</v>
      </c>
      <c r="Z93" s="6"/>
      <c r="AA93" s="5" t="s">
        <v>76</v>
      </c>
      <c r="AB93" s="5" t="s">
        <v>51</v>
      </c>
      <c r="AC93" s="5" t="s">
        <v>51</v>
      </c>
      <c r="AD93" s="5" t="s">
        <v>51</v>
      </c>
      <c r="AE93" s="5" t="s">
        <v>51</v>
      </c>
      <c r="AF93" s="5" t="s">
        <v>130</v>
      </c>
    </row>
    <row r="94" spans="1:32" ht="15.65" customHeight="1" x14ac:dyDescent="0.35">
      <c r="A94" s="5" t="s">
        <v>73</v>
      </c>
      <c r="B94" s="5" t="s">
        <v>74</v>
      </c>
      <c r="C94" s="5" t="s">
        <v>47</v>
      </c>
      <c r="D94" s="5">
        <v>3000041</v>
      </c>
      <c r="E94" s="5">
        <v>3000041</v>
      </c>
      <c r="F94" s="5" t="s">
        <v>75</v>
      </c>
      <c r="G94" s="5" t="s">
        <v>75</v>
      </c>
      <c r="H94" s="5" t="s">
        <v>54</v>
      </c>
      <c r="I94" s="5">
        <v>6959441</v>
      </c>
      <c r="J94" s="6">
        <v>46127</v>
      </c>
      <c r="K94" s="6">
        <v>46127</v>
      </c>
      <c r="L94" s="6">
        <v>46127</v>
      </c>
      <c r="M94" s="7">
        <v>5</v>
      </c>
      <c r="N94" s="7">
        <v>-1500000</v>
      </c>
      <c r="O94" s="7">
        <v>-1500000</v>
      </c>
      <c r="P94" s="7">
        <v>0</v>
      </c>
      <c r="Q94" s="7">
        <v>-1500000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5" t="s">
        <v>47</v>
      </c>
      <c r="Z94" s="6"/>
      <c r="AA94" s="5" t="s">
        <v>76</v>
      </c>
      <c r="AB94" s="5" t="s">
        <v>51</v>
      </c>
      <c r="AC94" s="5" t="s">
        <v>51</v>
      </c>
      <c r="AD94" s="5" t="s">
        <v>51</v>
      </c>
      <c r="AE94" s="5" t="s">
        <v>51</v>
      </c>
      <c r="AF94" s="5" t="s">
        <v>131</v>
      </c>
    </row>
    <row r="95" spans="1:32" ht="15.65" customHeight="1" x14ac:dyDescent="0.35">
      <c r="A95" s="5" t="s">
        <v>73</v>
      </c>
      <c r="B95" s="5" t="s">
        <v>74</v>
      </c>
      <c r="C95" s="5" t="s">
        <v>47</v>
      </c>
      <c r="D95" s="5">
        <v>3000041</v>
      </c>
      <c r="E95" s="11">
        <v>3000910</v>
      </c>
      <c r="F95" s="11" t="s">
        <v>75</v>
      </c>
      <c r="G95" s="5" t="s">
        <v>75</v>
      </c>
      <c r="H95" s="5" t="s">
        <v>54</v>
      </c>
      <c r="I95" s="5">
        <v>6959444</v>
      </c>
      <c r="J95" s="6">
        <v>46127</v>
      </c>
      <c r="K95" s="6">
        <v>46127</v>
      </c>
      <c r="L95" s="6">
        <v>46127</v>
      </c>
      <c r="M95" s="7">
        <v>5</v>
      </c>
      <c r="N95" s="7">
        <v>-5000000</v>
      </c>
      <c r="O95" s="7">
        <v>-5000000</v>
      </c>
      <c r="P95" s="7">
        <v>0</v>
      </c>
      <c r="Q95" s="7">
        <v>-5000000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5" t="s">
        <v>47</v>
      </c>
      <c r="Z95" s="6"/>
      <c r="AA95" s="5" t="s">
        <v>76</v>
      </c>
      <c r="AB95" s="5" t="s">
        <v>51</v>
      </c>
      <c r="AC95" s="5" t="s">
        <v>51</v>
      </c>
      <c r="AD95" s="5" t="s">
        <v>51</v>
      </c>
      <c r="AE95" s="5" t="s">
        <v>51</v>
      </c>
      <c r="AF95" s="5" t="s">
        <v>132</v>
      </c>
    </row>
    <row r="96" spans="1:32" ht="15.65" customHeight="1" x14ac:dyDescent="0.35">
      <c r="A96" s="5" t="s">
        <v>73</v>
      </c>
      <c r="B96" s="5" t="s">
        <v>74</v>
      </c>
      <c r="C96" s="5" t="s">
        <v>47</v>
      </c>
      <c r="D96" s="5">
        <v>3000041</v>
      </c>
      <c r="E96" s="5">
        <v>3000910</v>
      </c>
      <c r="F96" s="5" t="s">
        <v>75</v>
      </c>
      <c r="G96" s="5" t="s">
        <v>75</v>
      </c>
      <c r="H96" s="5" t="s">
        <v>54</v>
      </c>
      <c r="I96" s="5">
        <v>6959445</v>
      </c>
      <c r="J96" s="6">
        <v>46127</v>
      </c>
      <c r="K96" s="6">
        <v>46127</v>
      </c>
      <c r="L96" s="6">
        <v>46127</v>
      </c>
      <c r="M96" s="7">
        <v>5</v>
      </c>
      <c r="N96" s="7">
        <v>-1400000</v>
      </c>
      <c r="O96" s="7">
        <v>-1400000</v>
      </c>
      <c r="P96" s="7">
        <v>0</v>
      </c>
      <c r="Q96" s="7">
        <v>-1400000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5" t="s">
        <v>47</v>
      </c>
      <c r="Z96" s="6"/>
      <c r="AA96" s="5" t="s">
        <v>76</v>
      </c>
      <c r="AB96" s="5" t="s">
        <v>51</v>
      </c>
      <c r="AC96" s="5" t="s">
        <v>51</v>
      </c>
      <c r="AD96" s="5" t="s">
        <v>51</v>
      </c>
      <c r="AE96" s="5" t="s">
        <v>51</v>
      </c>
      <c r="AF96" s="5" t="s">
        <v>133</v>
      </c>
    </row>
    <row r="97" spans="1:32" ht="15.65" customHeight="1" x14ac:dyDescent="0.35">
      <c r="A97" s="5" t="s">
        <v>84</v>
      </c>
      <c r="B97" s="5" t="s">
        <v>85</v>
      </c>
      <c r="C97" s="5" t="s">
        <v>47</v>
      </c>
      <c r="D97" s="5">
        <v>3000041</v>
      </c>
      <c r="E97" s="11">
        <v>3100748</v>
      </c>
      <c r="F97" s="11" t="s">
        <v>75</v>
      </c>
      <c r="G97" s="5" t="s">
        <v>96</v>
      </c>
      <c r="H97" s="5" t="s">
        <v>54</v>
      </c>
      <c r="I97" s="5">
        <v>6959451</v>
      </c>
      <c r="J97" s="6">
        <v>46127</v>
      </c>
      <c r="K97" s="6">
        <v>46127</v>
      </c>
      <c r="L97" s="6">
        <v>46127</v>
      </c>
      <c r="M97" s="7">
        <v>5</v>
      </c>
      <c r="N97" s="7">
        <v>-12589500</v>
      </c>
      <c r="O97" s="7">
        <v>-12589500</v>
      </c>
      <c r="P97" s="7">
        <v>0</v>
      </c>
      <c r="Q97" s="7">
        <v>-12589500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5" t="s">
        <v>47</v>
      </c>
      <c r="Z97" s="6"/>
      <c r="AA97" s="5" t="s">
        <v>76</v>
      </c>
      <c r="AB97" s="5" t="s">
        <v>51</v>
      </c>
      <c r="AC97" s="5" t="s">
        <v>51</v>
      </c>
      <c r="AD97" s="5" t="s">
        <v>51</v>
      </c>
      <c r="AE97" s="5" t="s">
        <v>51</v>
      </c>
      <c r="AF97" s="5" t="s">
        <v>134</v>
      </c>
    </row>
    <row r="98" spans="1:32" ht="15.65" customHeight="1" x14ac:dyDescent="0.35">
      <c r="A98" s="5" t="s">
        <v>73</v>
      </c>
      <c r="B98" s="5" t="s">
        <v>74</v>
      </c>
      <c r="C98" s="5" t="s">
        <v>47</v>
      </c>
      <c r="D98" s="5">
        <v>3000041</v>
      </c>
      <c r="E98" s="11">
        <v>3000910</v>
      </c>
      <c r="F98" s="11" t="s">
        <v>75</v>
      </c>
      <c r="G98" s="5" t="s">
        <v>75</v>
      </c>
      <c r="H98" s="5" t="s">
        <v>54</v>
      </c>
      <c r="I98" s="5">
        <v>6959459</v>
      </c>
      <c r="J98" s="6">
        <v>46127</v>
      </c>
      <c r="K98" s="6">
        <v>46127</v>
      </c>
      <c r="L98" s="6">
        <v>46127</v>
      </c>
      <c r="M98" s="7">
        <v>5</v>
      </c>
      <c r="N98" s="7">
        <v>-2100000</v>
      </c>
      <c r="O98" s="7">
        <v>-2100000</v>
      </c>
      <c r="P98" s="7">
        <v>0</v>
      </c>
      <c r="Q98" s="7">
        <v>-2100000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5" t="s">
        <v>47</v>
      </c>
      <c r="Z98" s="6"/>
      <c r="AA98" s="5" t="s">
        <v>76</v>
      </c>
      <c r="AB98" s="5" t="s">
        <v>51</v>
      </c>
      <c r="AC98" s="5" t="s">
        <v>51</v>
      </c>
      <c r="AD98" s="5" t="s">
        <v>51</v>
      </c>
      <c r="AE98" s="5" t="s">
        <v>51</v>
      </c>
      <c r="AF98" s="5" t="s">
        <v>135</v>
      </c>
    </row>
    <row r="99" spans="1:32" ht="15.65" customHeight="1" x14ac:dyDescent="0.35">
      <c r="A99" s="5" t="s">
        <v>84</v>
      </c>
      <c r="B99" s="5" t="s">
        <v>85</v>
      </c>
      <c r="C99" s="5" t="s">
        <v>47</v>
      </c>
      <c r="D99" s="5">
        <v>3000041</v>
      </c>
      <c r="E99" s="11">
        <v>3100748</v>
      </c>
      <c r="F99" s="11" t="s">
        <v>75</v>
      </c>
      <c r="G99" s="5" t="s">
        <v>96</v>
      </c>
      <c r="H99" s="5" t="s">
        <v>54</v>
      </c>
      <c r="I99" s="5">
        <v>6960238</v>
      </c>
      <c r="J99" s="6">
        <v>46130</v>
      </c>
      <c r="K99" s="6">
        <v>46130</v>
      </c>
      <c r="L99" s="6">
        <v>46130</v>
      </c>
      <c r="M99" s="7">
        <v>2</v>
      </c>
      <c r="N99" s="7">
        <v>-1241857</v>
      </c>
      <c r="O99" s="7">
        <v>-1241857</v>
      </c>
      <c r="P99" s="7">
        <v>0</v>
      </c>
      <c r="Q99" s="7">
        <v>-1241857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5" t="s">
        <v>47</v>
      </c>
      <c r="Z99" s="6"/>
      <c r="AA99" s="5" t="s">
        <v>76</v>
      </c>
      <c r="AB99" s="5" t="s">
        <v>51</v>
      </c>
      <c r="AC99" s="5" t="s">
        <v>51</v>
      </c>
      <c r="AD99" s="5" t="s">
        <v>51</v>
      </c>
      <c r="AE99" s="5" t="s">
        <v>51</v>
      </c>
      <c r="AF99" s="5" t="s">
        <v>120</v>
      </c>
    </row>
    <row r="100" spans="1:32" ht="15.65" customHeight="1" x14ac:dyDescent="0.35">
      <c r="A100" s="5" t="s">
        <v>84</v>
      </c>
      <c r="B100" s="5" t="s">
        <v>85</v>
      </c>
      <c r="C100" s="5" t="s">
        <v>47</v>
      </c>
      <c r="D100" s="5">
        <v>3000041</v>
      </c>
      <c r="E100" s="11">
        <v>3100748</v>
      </c>
      <c r="F100" s="11" t="s">
        <v>75</v>
      </c>
      <c r="G100" s="5" t="s">
        <v>96</v>
      </c>
      <c r="H100" s="5" t="s">
        <v>54</v>
      </c>
      <c r="I100" s="5">
        <v>6960239</v>
      </c>
      <c r="J100" s="6">
        <v>46130</v>
      </c>
      <c r="K100" s="6">
        <v>46130</v>
      </c>
      <c r="L100" s="6">
        <v>46130</v>
      </c>
      <c r="M100" s="7">
        <v>2</v>
      </c>
      <c r="N100" s="7">
        <v>-349032</v>
      </c>
      <c r="O100" s="7">
        <v>-349032</v>
      </c>
      <c r="P100" s="7">
        <v>0</v>
      </c>
      <c r="Q100" s="7">
        <v>-349032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5" t="s">
        <v>47</v>
      </c>
      <c r="Z100" s="6"/>
      <c r="AA100" s="5" t="s">
        <v>76</v>
      </c>
      <c r="AB100" s="5" t="s">
        <v>51</v>
      </c>
      <c r="AC100" s="5" t="s">
        <v>51</v>
      </c>
      <c r="AD100" s="5" t="s">
        <v>51</v>
      </c>
      <c r="AE100" s="5" t="s">
        <v>51</v>
      </c>
      <c r="AF100" s="5" t="s">
        <v>118</v>
      </c>
    </row>
    <row r="101" spans="1:32" ht="15.65" customHeight="1" x14ac:dyDescent="0.35">
      <c r="A101" s="5" t="s">
        <v>84</v>
      </c>
      <c r="B101" s="5" t="s">
        <v>85</v>
      </c>
      <c r="C101" s="5" t="s">
        <v>47</v>
      </c>
      <c r="D101" s="5">
        <v>3000041</v>
      </c>
      <c r="E101" s="11">
        <v>3100748</v>
      </c>
      <c r="F101" s="11" t="s">
        <v>75</v>
      </c>
      <c r="G101" s="5" t="s">
        <v>96</v>
      </c>
      <c r="H101" s="5" t="s">
        <v>54</v>
      </c>
      <c r="I101" s="5">
        <v>6960240</v>
      </c>
      <c r="J101" s="6">
        <v>46130</v>
      </c>
      <c r="K101" s="6">
        <v>46130</v>
      </c>
      <c r="L101" s="6">
        <v>46130</v>
      </c>
      <c r="M101" s="7">
        <v>2</v>
      </c>
      <c r="N101" s="7">
        <v>-182205</v>
      </c>
      <c r="O101" s="7">
        <v>-182205</v>
      </c>
      <c r="P101" s="7">
        <v>0</v>
      </c>
      <c r="Q101" s="7">
        <v>-182205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5" t="s">
        <v>47</v>
      </c>
      <c r="Z101" s="6"/>
      <c r="AA101" s="5" t="s">
        <v>76</v>
      </c>
      <c r="AB101" s="5" t="s">
        <v>51</v>
      </c>
      <c r="AC101" s="5" t="s">
        <v>51</v>
      </c>
      <c r="AD101" s="5" t="s">
        <v>51</v>
      </c>
      <c r="AE101" s="5" t="s">
        <v>51</v>
      </c>
      <c r="AF101" s="5" t="s">
        <v>121</v>
      </c>
    </row>
    <row r="102" spans="1:32" ht="15.65" customHeight="1" x14ac:dyDescent="0.35">
      <c r="A102" s="5" t="s">
        <v>84</v>
      </c>
      <c r="B102" s="5" t="s">
        <v>85</v>
      </c>
      <c r="C102" s="5" t="s">
        <v>47</v>
      </c>
      <c r="D102" s="5">
        <v>3000041</v>
      </c>
      <c r="E102" s="11">
        <v>3100748</v>
      </c>
      <c r="F102" s="11" t="s">
        <v>75</v>
      </c>
      <c r="G102" s="5" t="s">
        <v>96</v>
      </c>
      <c r="H102" s="5" t="s">
        <v>54</v>
      </c>
      <c r="I102" s="5">
        <v>6960273</v>
      </c>
      <c r="J102" s="6">
        <v>46130</v>
      </c>
      <c r="K102" s="6">
        <v>46130</v>
      </c>
      <c r="L102" s="6">
        <v>46130</v>
      </c>
      <c r="M102" s="7">
        <v>2</v>
      </c>
      <c r="N102" s="7">
        <v>-373042</v>
      </c>
      <c r="O102" s="7">
        <v>-373042</v>
      </c>
      <c r="P102" s="7">
        <v>0</v>
      </c>
      <c r="Q102" s="7">
        <v>-373042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5" t="s">
        <v>47</v>
      </c>
      <c r="Z102" s="6"/>
      <c r="AA102" s="5" t="s">
        <v>76</v>
      </c>
      <c r="AB102" s="5" t="s">
        <v>51</v>
      </c>
      <c r="AC102" s="5" t="s">
        <v>51</v>
      </c>
      <c r="AD102" s="5" t="s">
        <v>51</v>
      </c>
      <c r="AE102" s="5" t="s">
        <v>51</v>
      </c>
      <c r="AF102" s="5" t="s">
        <v>118</v>
      </c>
    </row>
    <row r="103" spans="1:32" ht="15.65" customHeight="1" x14ac:dyDescent="0.35">
      <c r="A103" s="5" t="s">
        <v>84</v>
      </c>
      <c r="B103" s="5" t="s">
        <v>85</v>
      </c>
      <c r="C103" s="5" t="s">
        <v>47</v>
      </c>
      <c r="D103" s="5">
        <v>3000041</v>
      </c>
      <c r="E103" s="11">
        <v>3100748</v>
      </c>
      <c r="F103" s="11" t="s">
        <v>75</v>
      </c>
      <c r="G103" s="5" t="s">
        <v>96</v>
      </c>
      <c r="H103" s="5" t="s">
        <v>54</v>
      </c>
      <c r="I103" s="5">
        <v>6960274</v>
      </c>
      <c r="J103" s="6">
        <v>46130</v>
      </c>
      <c r="K103" s="6">
        <v>46130</v>
      </c>
      <c r="L103" s="6">
        <v>46130</v>
      </c>
      <c r="M103" s="7">
        <v>2</v>
      </c>
      <c r="N103" s="7">
        <v>-958113</v>
      </c>
      <c r="O103" s="7">
        <v>-958113</v>
      </c>
      <c r="P103" s="7">
        <v>0</v>
      </c>
      <c r="Q103" s="7">
        <v>-958113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5" t="s">
        <v>47</v>
      </c>
      <c r="Z103" s="6"/>
      <c r="AA103" s="5" t="s">
        <v>76</v>
      </c>
      <c r="AB103" s="5" t="s">
        <v>51</v>
      </c>
      <c r="AC103" s="5" t="s">
        <v>51</v>
      </c>
      <c r="AD103" s="5" t="s">
        <v>51</v>
      </c>
      <c r="AE103" s="5" t="s">
        <v>51</v>
      </c>
      <c r="AF103" s="5" t="s">
        <v>136</v>
      </c>
    </row>
    <row r="104" spans="1:32" ht="15.65" customHeight="1" x14ac:dyDescent="0.35">
      <c r="A104" s="5" t="s">
        <v>73</v>
      </c>
      <c r="B104" s="5" t="s">
        <v>74</v>
      </c>
      <c r="C104" s="5" t="s">
        <v>47</v>
      </c>
      <c r="D104" s="5">
        <v>3000041</v>
      </c>
      <c r="E104" s="11">
        <v>3000041</v>
      </c>
      <c r="F104" s="11" t="s">
        <v>75</v>
      </c>
      <c r="G104" s="5" t="s">
        <v>75</v>
      </c>
      <c r="H104" s="5" t="s">
        <v>54</v>
      </c>
      <c r="I104" s="5">
        <v>6960278</v>
      </c>
      <c r="J104" s="6">
        <v>46130</v>
      </c>
      <c r="K104" s="6">
        <v>46130</v>
      </c>
      <c r="L104" s="6">
        <v>46130</v>
      </c>
      <c r="M104" s="7">
        <v>2</v>
      </c>
      <c r="N104" s="7">
        <v>-12678881</v>
      </c>
      <c r="O104" s="7">
        <v>-12678881</v>
      </c>
      <c r="P104" s="7">
        <v>0</v>
      </c>
      <c r="Q104" s="7">
        <v>-12678881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5" t="s">
        <v>47</v>
      </c>
      <c r="Z104" s="6"/>
      <c r="AA104" s="5" t="s">
        <v>76</v>
      </c>
      <c r="AB104" s="5" t="s">
        <v>51</v>
      </c>
      <c r="AC104" s="5" t="s">
        <v>51</v>
      </c>
      <c r="AD104" s="5" t="s">
        <v>51</v>
      </c>
      <c r="AE104" s="5" t="s">
        <v>51</v>
      </c>
      <c r="AF104" s="5" t="s">
        <v>137</v>
      </c>
    </row>
    <row r="105" spans="1:32" ht="15.65" customHeight="1" x14ac:dyDescent="0.35">
      <c r="A105" s="5" t="s">
        <v>73</v>
      </c>
      <c r="B105" s="5" t="s">
        <v>74</v>
      </c>
      <c r="C105" s="5" t="s">
        <v>47</v>
      </c>
      <c r="D105" s="5">
        <v>3000041</v>
      </c>
      <c r="E105" s="11">
        <v>3000041</v>
      </c>
      <c r="F105" s="11" t="s">
        <v>75</v>
      </c>
      <c r="G105" s="5" t="s">
        <v>75</v>
      </c>
      <c r="H105" s="5" t="s">
        <v>54</v>
      </c>
      <c r="I105" s="5">
        <v>6960279</v>
      </c>
      <c r="J105" s="6">
        <v>46130</v>
      </c>
      <c r="K105" s="6">
        <v>46130</v>
      </c>
      <c r="L105" s="6">
        <v>46130</v>
      </c>
      <c r="M105" s="7">
        <v>2</v>
      </c>
      <c r="N105" s="7">
        <v>-5400000</v>
      </c>
      <c r="O105" s="7">
        <v>-5400000</v>
      </c>
      <c r="P105" s="7">
        <v>0</v>
      </c>
      <c r="Q105" s="7">
        <v>-5400000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5" t="s">
        <v>47</v>
      </c>
      <c r="Z105" s="6"/>
      <c r="AA105" s="5" t="s">
        <v>76</v>
      </c>
      <c r="AB105" s="5" t="s">
        <v>51</v>
      </c>
      <c r="AC105" s="5" t="s">
        <v>51</v>
      </c>
      <c r="AD105" s="5" t="s">
        <v>51</v>
      </c>
      <c r="AE105" s="5" t="s">
        <v>51</v>
      </c>
      <c r="AF105" s="5" t="s">
        <v>138</v>
      </c>
    </row>
    <row r="106" spans="1:32" ht="15.65" customHeight="1" x14ac:dyDescent="0.35">
      <c r="A106" s="5" t="s">
        <v>73</v>
      </c>
      <c r="B106" s="5" t="s">
        <v>74</v>
      </c>
      <c r="C106" s="5" t="s">
        <v>47</v>
      </c>
      <c r="D106" s="5">
        <v>3000041</v>
      </c>
      <c r="E106" s="11">
        <v>3000041</v>
      </c>
      <c r="F106" s="11" t="s">
        <v>75</v>
      </c>
      <c r="G106" s="5" t="s">
        <v>75</v>
      </c>
      <c r="H106" s="5" t="s">
        <v>54</v>
      </c>
      <c r="I106" s="5">
        <v>6960280</v>
      </c>
      <c r="J106" s="6">
        <v>46130</v>
      </c>
      <c r="K106" s="6">
        <v>46130</v>
      </c>
      <c r="L106" s="6">
        <v>46130</v>
      </c>
      <c r="M106" s="7">
        <v>2</v>
      </c>
      <c r="N106" s="7">
        <v>-8550000</v>
      </c>
      <c r="O106" s="7">
        <v>-8550000</v>
      </c>
      <c r="P106" s="7">
        <v>0</v>
      </c>
      <c r="Q106" s="7">
        <v>-8550000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5" t="s">
        <v>47</v>
      </c>
      <c r="Z106" s="6"/>
      <c r="AA106" s="5" t="s">
        <v>76</v>
      </c>
      <c r="AB106" s="5" t="s">
        <v>51</v>
      </c>
      <c r="AC106" s="5" t="s">
        <v>51</v>
      </c>
      <c r="AD106" s="5" t="s">
        <v>51</v>
      </c>
      <c r="AE106" s="5" t="s">
        <v>51</v>
      </c>
      <c r="AF106" s="5" t="s">
        <v>139</v>
      </c>
    </row>
    <row r="107" spans="1:32" ht="15.65" customHeight="1" x14ac:dyDescent="0.35">
      <c r="A107" s="5" t="s">
        <v>73</v>
      </c>
      <c r="B107" s="5" t="s">
        <v>74</v>
      </c>
      <c r="C107" s="5" t="s">
        <v>47</v>
      </c>
      <c r="D107" s="5">
        <v>3000041</v>
      </c>
      <c r="E107" s="11">
        <v>3000041</v>
      </c>
      <c r="F107" s="11" t="s">
        <v>75</v>
      </c>
      <c r="G107" s="5" t="s">
        <v>75</v>
      </c>
      <c r="H107" s="5" t="s">
        <v>54</v>
      </c>
      <c r="I107" s="5">
        <v>6960281</v>
      </c>
      <c r="J107" s="6">
        <v>46130</v>
      </c>
      <c r="K107" s="6">
        <v>46130</v>
      </c>
      <c r="L107" s="6">
        <v>46130</v>
      </c>
      <c r="M107" s="7">
        <v>2</v>
      </c>
      <c r="N107" s="7">
        <v>-18991884</v>
      </c>
      <c r="O107" s="7">
        <v>-18991884</v>
      </c>
      <c r="P107" s="7">
        <v>0</v>
      </c>
      <c r="Q107" s="7">
        <v>-18991884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5" t="s">
        <v>47</v>
      </c>
      <c r="Z107" s="6"/>
      <c r="AA107" s="5" t="s">
        <v>76</v>
      </c>
      <c r="AB107" s="5" t="s">
        <v>51</v>
      </c>
      <c r="AC107" s="5" t="s">
        <v>51</v>
      </c>
      <c r="AD107" s="5" t="s">
        <v>51</v>
      </c>
      <c r="AE107" s="5" t="s">
        <v>51</v>
      </c>
      <c r="AF107" s="5" t="s">
        <v>130</v>
      </c>
    </row>
    <row r="108" spans="1:32" ht="15.65" customHeight="1" x14ac:dyDescent="0.35">
      <c r="A108" s="5" t="s">
        <v>73</v>
      </c>
      <c r="B108" s="5" t="s">
        <v>74</v>
      </c>
      <c r="C108" s="5" t="s">
        <v>47</v>
      </c>
      <c r="D108" s="5">
        <v>3000041</v>
      </c>
      <c r="E108" s="11">
        <v>3000041</v>
      </c>
      <c r="F108" s="11" t="s">
        <v>75</v>
      </c>
      <c r="G108" s="5" t="s">
        <v>75</v>
      </c>
      <c r="H108" s="5" t="s">
        <v>54</v>
      </c>
      <c r="I108" s="5">
        <v>6960282</v>
      </c>
      <c r="J108" s="6">
        <v>46130</v>
      </c>
      <c r="K108" s="6">
        <v>46130</v>
      </c>
      <c r="L108" s="6">
        <v>46130</v>
      </c>
      <c r="M108" s="7">
        <v>2</v>
      </c>
      <c r="N108" s="7">
        <v>-1417000</v>
      </c>
      <c r="O108" s="7">
        <v>-1417000</v>
      </c>
      <c r="P108" s="7">
        <v>0</v>
      </c>
      <c r="Q108" s="7">
        <v>-1417000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5" t="s">
        <v>47</v>
      </c>
      <c r="Z108" s="6"/>
      <c r="AA108" s="5" t="s">
        <v>76</v>
      </c>
      <c r="AB108" s="5" t="s">
        <v>51</v>
      </c>
      <c r="AC108" s="5" t="s">
        <v>51</v>
      </c>
      <c r="AD108" s="5" t="s">
        <v>51</v>
      </c>
      <c r="AE108" s="5" t="s">
        <v>51</v>
      </c>
      <c r="AF108" s="5" t="s">
        <v>116</v>
      </c>
    </row>
    <row r="109" spans="1:32" ht="15.65" customHeight="1" x14ac:dyDescent="0.35">
      <c r="A109" s="5" t="s">
        <v>73</v>
      </c>
      <c r="B109" s="5" t="s">
        <v>74</v>
      </c>
      <c r="C109" s="5" t="s">
        <v>47</v>
      </c>
      <c r="D109" s="5">
        <v>3000041</v>
      </c>
      <c r="E109" s="11">
        <v>3000910</v>
      </c>
      <c r="F109" s="11" t="s">
        <v>75</v>
      </c>
      <c r="G109" s="5" t="s">
        <v>75</v>
      </c>
      <c r="H109" s="5" t="s">
        <v>140</v>
      </c>
      <c r="I109" s="5">
        <v>9917206</v>
      </c>
      <c r="J109" s="6">
        <v>46103</v>
      </c>
      <c r="K109" s="6">
        <v>46103</v>
      </c>
      <c r="L109" s="6">
        <v>46138</v>
      </c>
      <c r="M109" s="7">
        <v>-6</v>
      </c>
      <c r="N109" s="7">
        <v>179488</v>
      </c>
      <c r="O109" s="7">
        <v>0</v>
      </c>
      <c r="P109" s="7">
        <v>179488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5" t="s">
        <v>47</v>
      </c>
      <c r="Z109" s="6"/>
      <c r="AA109" s="5" t="s">
        <v>76</v>
      </c>
      <c r="AB109" s="5" t="s">
        <v>51</v>
      </c>
      <c r="AC109" s="5" t="s">
        <v>141</v>
      </c>
      <c r="AD109" s="5" t="s">
        <v>51</v>
      </c>
      <c r="AE109" s="5" t="s">
        <v>51</v>
      </c>
      <c r="AF109" s="5" t="s">
        <v>142</v>
      </c>
    </row>
    <row r="110" spans="1:32" ht="15.65" customHeight="1" x14ac:dyDescent="0.35">
      <c r="A110" s="5" t="s">
        <v>73</v>
      </c>
      <c r="B110" s="5" t="s">
        <v>74</v>
      </c>
      <c r="C110" s="5" t="s">
        <v>47</v>
      </c>
      <c r="D110" s="5">
        <v>3000041</v>
      </c>
      <c r="E110" s="11">
        <v>3000041</v>
      </c>
      <c r="F110" s="11" t="s">
        <v>75</v>
      </c>
      <c r="G110" s="5" t="s">
        <v>75</v>
      </c>
      <c r="H110" s="5" t="s">
        <v>140</v>
      </c>
      <c r="I110" s="5">
        <v>9917458</v>
      </c>
      <c r="J110" s="6">
        <v>46106</v>
      </c>
      <c r="K110" s="6">
        <v>46106</v>
      </c>
      <c r="L110" s="6">
        <v>46141</v>
      </c>
      <c r="M110" s="7">
        <v>-9</v>
      </c>
      <c r="N110" s="7">
        <v>262845</v>
      </c>
      <c r="O110" s="7">
        <v>0</v>
      </c>
      <c r="P110" s="7">
        <v>262845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5" t="s">
        <v>47</v>
      </c>
      <c r="Z110" s="6"/>
      <c r="AA110" s="5" t="s">
        <v>76</v>
      </c>
      <c r="AB110" s="5" t="s">
        <v>51</v>
      </c>
      <c r="AC110" s="5" t="s">
        <v>51</v>
      </c>
      <c r="AD110" s="5" t="s">
        <v>143</v>
      </c>
      <c r="AE110" s="5" t="s">
        <v>51</v>
      </c>
      <c r="AF110" s="5" t="s">
        <v>144</v>
      </c>
    </row>
    <row r="111" spans="1:32" ht="15.65" customHeight="1" x14ac:dyDescent="0.35">
      <c r="A111" s="5" t="s">
        <v>84</v>
      </c>
      <c r="B111" s="5" t="s">
        <v>85</v>
      </c>
      <c r="C111" s="5" t="s">
        <v>47</v>
      </c>
      <c r="D111" s="5">
        <v>3000041</v>
      </c>
      <c r="E111" s="11">
        <v>3100748</v>
      </c>
      <c r="F111" s="11" t="s">
        <v>75</v>
      </c>
      <c r="G111" s="5" t="s">
        <v>96</v>
      </c>
      <c r="H111" s="5" t="s">
        <v>140</v>
      </c>
      <c r="I111" s="5">
        <v>9917600</v>
      </c>
      <c r="J111" s="6">
        <v>46107</v>
      </c>
      <c r="K111" s="6">
        <v>46107</v>
      </c>
      <c r="L111" s="6">
        <v>46142</v>
      </c>
      <c r="M111" s="7">
        <v>-10</v>
      </c>
      <c r="N111" s="7">
        <v>3389</v>
      </c>
      <c r="O111" s="7">
        <v>0</v>
      </c>
      <c r="P111" s="7">
        <v>3389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5" t="s">
        <v>47</v>
      </c>
      <c r="Z111" s="6"/>
      <c r="AA111" s="5" t="s">
        <v>76</v>
      </c>
      <c r="AB111" s="5" t="s">
        <v>51</v>
      </c>
      <c r="AC111" s="5" t="s">
        <v>51</v>
      </c>
      <c r="AD111" s="5" t="s">
        <v>145</v>
      </c>
      <c r="AE111" s="5" t="s">
        <v>51</v>
      </c>
      <c r="AF111" s="5" t="s">
        <v>107</v>
      </c>
    </row>
    <row r="112" spans="1:32" ht="15.65" customHeight="1" x14ac:dyDescent="0.35">
      <c r="A112" s="5" t="s">
        <v>73</v>
      </c>
      <c r="B112" s="5" t="s">
        <v>74</v>
      </c>
      <c r="C112" s="5" t="s">
        <v>47</v>
      </c>
      <c r="D112" s="5">
        <v>3000041</v>
      </c>
      <c r="E112" s="11">
        <v>3000910</v>
      </c>
      <c r="F112" s="11" t="s">
        <v>75</v>
      </c>
      <c r="G112" s="5" t="s">
        <v>75</v>
      </c>
      <c r="H112" s="5" t="s">
        <v>54</v>
      </c>
      <c r="I112" s="5">
        <v>9921572</v>
      </c>
      <c r="J112" s="6">
        <v>46114</v>
      </c>
      <c r="K112" s="6">
        <v>46114</v>
      </c>
      <c r="L112" s="6">
        <v>46151</v>
      </c>
      <c r="M112" s="7">
        <v>-19</v>
      </c>
      <c r="N112" s="7">
        <v>2401210</v>
      </c>
      <c r="O112" s="7">
        <v>0</v>
      </c>
      <c r="P112" s="7">
        <v>2401210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5" t="s">
        <v>47</v>
      </c>
      <c r="Z112" s="6"/>
      <c r="AA112" s="5" t="s">
        <v>76</v>
      </c>
      <c r="AB112" s="5" t="s">
        <v>51</v>
      </c>
      <c r="AC112" s="5" t="s">
        <v>51</v>
      </c>
      <c r="AD112" s="5" t="s">
        <v>51</v>
      </c>
      <c r="AE112" s="5" t="s">
        <v>146</v>
      </c>
      <c r="AF112" s="5" t="s">
        <v>147</v>
      </c>
    </row>
    <row r="113" spans="1:32" ht="15.65" customHeight="1" x14ac:dyDescent="0.35">
      <c r="A113" s="5" t="s">
        <v>84</v>
      </c>
      <c r="B113" s="5" t="s">
        <v>85</v>
      </c>
      <c r="C113" s="5" t="s">
        <v>47</v>
      </c>
      <c r="D113" s="5">
        <v>3000041</v>
      </c>
      <c r="E113" s="11">
        <v>3100882</v>
      </c>
      <c r="F113" s="11" t="s">
        <v>75</v>
      </c>
      <c r="G113" s="5" t="s">
        <v>86</v>
      </c>
      <c r="H113" s="5" t="s">
        <v>54</v>
      </c>
      <c r="I113" s="5">
        <v>9921817</v>
      </c>
      <c r="J113" s="6">
        <v>46116</v>
      </c>
      <c r="K113" s="6">
        <v>46116</v>
      </c>
      <c r="L113" s="6">
        <v>46153</v>
      </c>
      <c r="M113" s="7">
        <v>-21</v>
      </c>
      <c r="N113" s="7">
        <v>686060</v>
      </c>
      <c r="O113" s="7">
        <v>0</v>
      </c>
      <c r="P113" s="7">
        <v>686060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5" t="s">
        <v>47</v>
      </c>
      <c r="Z113" s="6"/>
      <c r="AA113" s="5" t="s">
        <v>76</v>
      </c>
      <c r="AB113" s="5" t="s">
        <v>51</v>
      </c>
      <c r="AC113" s="5" t="s">
        <v>51</v>
      </c>
      <c r="AD113" s="5" t="s">
        <v>51</v>
      </c>
      <c r="AE113" s="5" t="s">
        <v>148</v>
      </c>
      <c r="AF113" s="5" t="s">
        <v>149</v>
      </c>
    </row>
    <row r="114" spans="1:32" ht="15.65" customHeight="1" x14ac:dyDescent="0.35">
      <c r="A114" s="5" t="s">
        <v>73</v>
      </c>
      <c r="B114" s="5" t="s">
        <v>74</v>
      </c>
      <c r="C114" s="5" t="s">
        <v>47</v>
      </c>
      <c r="D114" s="5">
        <v>3000041</v>
      </c>
      <c r="E114" s="11">
        <v>3000910</v>
      </c>
      <c r="F114" s="11" t="s">
        <v>75</v>
      </c>
      <c r="G114" s="5" t="s">
        <v>75</v>
      </c>
      <c r="H114" s="5" t="s">
        <v>54</v>
      </c>
      <c r="I114" s="5">
        <v>9922215</v>
      </c>
      <c r="J114" s="6">
        <v>46116</v>
      </c>
      <c r="K114" s="6">
        <v>46116</v>
      </c>
      <c r="L114" s="6">
        <v>46153</v>
      </c>
      <c r="M114" s="7">
        <v>-21</v>
      </c>
      <c r="N114" s="7">
        <v>158108646</v>
      </c>
      <c r="O114" s="7">
        <v>0</v>
      </c>
      <c r="P114" s="7">
        <v>158108646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5" t="s">
        <v>47</v>
      </c>
      <c r="Z114" s="6"/>
      <c r="AA114" s="5" t="s">
        <v>76</v>
      </c>
      <c r="AB114" s="5" t="s">
        <v>51</v>
      </c>
      <c r="AC114" s="5" t="s">
        <v>51</v>
      </c>
      <c r="AD114" s="5" t="s">
        <v>51</v>
      </c>
      <c r="AE114" s="5" t="s">
        <v>150</v>
      </c>
      <c r="AF114" s="5" t="s">
        <v>151</v>
      </c>
    </row>
    <row r="115" spans="1:32" ht="15.65" customHeight="1" x14ac:dyDescent="0.35">
      <c r="A115" s="5" t="s">
        <v>84</v>
      </c>
      <c r="B115" s="5" t="s">
        <v>85</v>
      </c>
      <c r="C115" s="5" t="s">
        <v>47</v>
      </c>
      <c r="D115" s="5">
        <v>3000041</v>
      </c>
      <c r="E115" s="11">
        <v>3100882</v>
      </c>
      <c r="F115" s="11" t="s">
        <v>75</v>
      </c>
      <c r="G115" s="5" t="s">
        <v>86</v>
      </c>
      <c r="H115" s="5" t="s">
        <v>54</v>
      </c>
      <c r="I115" s="5">
        <v>9922217</v>
      </c>
      <c r="J115" s="6">
        <v>46116</v>
      </c>
      <c r="K115" s="6">
        <v>46116</v>
      </c>
      <c r="L115" s="6">
        <v>46153</v>
      </c>
      <c r="M115" s="7">
        <v>-21</v>
      </c>
      <c r="N115" s="7">
        <v>95005582</v>
      </c>
      <c r="O115" s="7">
        <v>0</v>
      </c>
      <c r="P115" s="7">
        <v>95005582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5" t="s">
        <v>47</v>
      </c>
      <c r="Z115" s="6"/>
      <c r="AA115" s="5" t="s">
        <v>76</v>
      </c>
      <c r="AB115" s="5" t="s">
        <v>51</v>
      </c>
      <c r="AC115" s="5" t="s">
        <v>51</v>
      </c>
      <c r="AD115" s="5" t="s">
        <v>51</v>
      </c>
      <c r="AE115" s="5" t="s">
        <v>152</v>
      </c>
      <c r="AF115" s="5" t="s">
        <v>153</v>
      </c>
    </row>
    <row r="116" spans="1:32" ht="15.65" customHeight="1" x14ac:dyDescent="0.35">
      <c r="A116" s="5" t="s">
        <v>84</v>
      </c>
      <c r="B116" s="5" t="s">
        <v>85</v>
      </c>
      <c r="C116" s="5" t="s">
        <v>47</v>
      </c>
      <c r="D116" s="5">
        <v>3000041</v>
      </c>
      <c r="E116" s="11">
        <v>3100882</v>
      </c>
      <c r="F116" s="11" t="s">
        <v>75</v>
      </c>
      <c r="G116" s="5" t="s">
        <v>86</v>
      </c>
      <c r="H116" s="5" t="s">
        <v>54</v>
      </c>
      <c r="I116" s="5">
        <v>9922218</v>
      </c>
      <c r="J116" s="6">
        <v>46116</v>
      </c>
      <c r="K116" s="6">
        <v>46116</v>
      </c>
      <c r="L116" s="6">
        <v>46153</v>
      </c>
      <c r="M116" s="7">
        <v>-21</v>
      </c>
      <c r="N116" s="7">
        <v>789769</v>
      </c>
      <c r="O116" s="7">
        <v>0</v>
      </c>
      <c r="P116" s="7">
        <v>789769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5" t="s">
        <v>47</v>
      </c>
      <c r="Z116" s="6"/>
      <c r="AA116" s="5" t="s">
        <v>76</v>
      </c>
      <c r="AB116" s="5" t="s">
        <v>51</v>
      </c>
      <c r="AC116" s="5" t="s">
        <v>51</v>
      </c>
      <c r="AD116" s="5" t="s">
        <v>51</v>
      </c>
      <c r="AE116" s="5" t="s">
        <v>154</v>
      </c>
      <c r="AF116" s="5" t="s">
        <v>155</v>
      </c>
    </row>
    <row r="117" spans="1:32" ht="15.65" customHeight="1" x14ac:dyDescent="0.35">
      <c r="A117" s="5" t="s">
        <v>84</v>
      </c>
      <c r="B117" s="5" t="s">
        <v>85</v>
      </c>
      <c r="C117" s="5" t="s">
        <v>47</v>
      </c>
      <c r="D117" s="5">
        <v>3000041</v>
      </c>
      <c r="E117" s="11">
        <v>3100748</v>
      </c>
      <c r="F117" s="11" t="s">
        <v>75</v>
      </c>
      <c r="G117" s="5" t="s">
        <v>96</v>
      </c>
      <c r="H117" s="5" t="s">
        <v>54</v>
      </c>
      <c r="I117" s="5">
        <v>9922443</v>
      </c>
      <c r="J117" s="6">
        <v>46118</v>
      </c>
      <c r="K117" s="6">
        <v>46118</v>
      </c>
      <c r="L117" s="6">
        <v>46155</v>
      </c>
      <c r="M117" s="7">
        <v>-23</v>
      </c>
      <c r="N117" s="7">
        <v>487770677</v>
      </c>
      <c r="O117" s="7">
        <v>0</v>
      </c>
      <c r="P117" s="7">
        <v>487770677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5" t="s">
        <v>47</v>
      </c>
      <c r="Z117" s="6"/>
      <c r="AA117" s="5" t="s">
        <v>76</v>
      </c>
      <c r="AB117" s="5" t="s">
        <v>51</v>
      </c>
      <c r="AC117" s="5" t="s">
        <v>51</v>
      </c>
      <c r="AD117" s="5" t="s">
        <v>51</v>
      </c>
      <c r="AE117" s="5" t="s">
        <v>156</v>
      </c>
      <c r="AF117" s="5" t="s">
        <v>62</v>
      </c>
    </row>
    <row r="118" spans="1:32" ht="15.65" customHeight="1" x14ac:dyDescent="0.35">
      <c r="A118" s="5" t="s">
        <v>84</v>
      </c>
      <c r="B118" s="5" t="s">
        <v>85</v>
      </c>
      <c r="C118" s="5" t="s">
        <v>47</v>
      </c>
      <c r="D118" s="5">
        <v>3000041</v>
      </c>
      <c r="E118" s="5">
        <v>3100748</v>
      </c>
      <c r="F118" s="5" t="s">
        <v>75</v>
      </c>
      <c r="G118" s="5" t="s">
        <v>96</v>
      </c>
      <c r="H118" s="5" t="s">
        <v>54</v>
      </c>
      <c r="I118" s="5">
        <v>9922460</v>
      </c>
      <c r="J118" s="6">
        <v>46118</v>
      </c>
      <c r="K118" s="6">
        <v>46118</v>
      </c>
      <c r="L118" s="6">
        <v>46155</v>
      </c>
      <c r="M118" s="7">
        <v>-23</v>
      </c>
      <c r="N118" s="7">
        <v>1088191</v>
      </c>
      <c r="O118" s="7">
        <v>0</v>
      </c>
      <c r="P118" s="7">
        <v>1088191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5" t="s">
        <v>47</v>
      </c>
      <c r="Z118" s="6"/>
      <c r="AA118" s="5" t="s">
        <v>76</v>
      </c>
      <c r="AB118" s="5" t="s">
        <v>51</v>
      </c>
      <c r="AC118" s="5" t="s">
        <v>51</v>
      </c>
      <c r="AD118" s="5" t="s">
        <v>51</v>
      </c>
      <c r="AE118" s="5" t="s">
        <v>157</v>
      </c>
      <c r="AF118" s="5" t="s">
        <v>158</v>
      </c>
    </row>
    <row r="119" spans="1:32" ht="15.65" customHeight="1" x14ac:dyDescent="0.35">
      <c r="A119" s="5" t="s">
        <v>73</v>
      </c>
      <c r="B119" s="5" t="s">
        <v>74</v>
      </c>
      <c r="C119" s="5" t="s">
        <v>47</v>
      </c>
      <c r="D119" s="5">
        <v>3000041</v>
      </c>
      <c r="E119" s="11">
        <v>3000041</v>
      </c>
      <c r="F119" s="11" t="s">
        <v>75</v>
      </c>
      <c r="G119" s="5" t="s">
        <v>75</v>
      </c>
      <c r="H119" s="5" t="s">
        <v>54</v>
      </c>
      <c r="I119" s="5">
        <v>9922467</v>
      </c>
      <c r="J119" s="6">
        <v>46118</v>
      </c>
      <c r="K119" s="6">
        <v>46118</v>
      </c>
      <c r="L119" s="6">
        <v>46155</v>
      </c>
      <c r="M119" s="7">
        <v>-23</v>
      </c>
      <c r="N119" s="7">
        <v>992312670</v>
      </c>
      <c r="O119" s="7">
        <v>0</v>
      </c>
      <c r="P119" s="7">
        <v>992312670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5" t="s">
        <v>47</v>
      </c>
      <c r="Z119" s="6"/>
      <c r="AA119" s="5" t="s">
        <v>76</v>
      </c>
      <c r="AB119" s="5" t="s">
        <v>51</v>
      </c>
      <c r="AC119" s="5" t="s">
        <v>51</v>
      </c>
      <c r="AD119" s="5" t="s">
        <v>51</v>
      </c>
      <c r="AE119" s="5" t="s">
        <v>159</v>
      </c>
      <c r="AF119" s="5" t="s">
        <v>62</v>
      </c>
    </row>
    <row r="120" spans="1:32" ht="15.65" customHeight="1" x14ac:dyDescent="0.35">
      <c r="A120" s="5" t="s">
        <v>73</v>
      </c>
      <c r="B120" s="5" t="s">
        <v>74</v>
      </c>
      <c r="C120" s="5" t="s">
        <v>47</v>
      </c>
      <c r="D120" s="5">
        <v>3000041</v>
      </c>
      <c r="E120" s="11">
        <v>3000041</v>
      </c>
      <c r="F120" s="11" t="s">
        <v>75</v>
      </c>
      <c r="G120" s="5" t="s">
        <v>75</v>
      </c>
      <c r="H120" s="5" t="s">
        <v>54</v>
      </c>
      <c r="I120" s="5">
        <v>9922468</v>
      </c>
      <c r="J120" s="6">
        <v>46118</v>
      </c>
      <c r="K120" s="6">
        <v>46118</v>
      </c>
      <c r="L120" s="6">
        <v>46155</v>
      </c>
      <c r="M120" s="7">
        <v>-23</v>
      </c>
      <c r="N120" s="7">
        <v>1088191</v>
      </c>
      <c r="O120" s="7">
        <v>0</v>
      </c>
      <c r="P120" s="7">
        <v>1088191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5" t="s">
        <v>47</v>
      </c>
      <c r="Z120" s="6"/>
      <c r="AA120" s="5" t="s">
        <v>76</v>
      </c>
      <c r="AB120" s="5" t="s">
        <v>51</v>
      </c>
      <c r="AC120" s="5" t="s">
        <v>51</v>
      </c>
      <c r="AD120" s="5" t="s">
        <v>51</v>
      </c>
      <c r="AE120" s="5" t="s">
        <v>157</v>
      </c>
      <c r="AF120" s="5" t="s">
        <v>158</v>
      </c>
    </row>
    <row r="121" spans="1:32" ht="15.65" customHeight="1" x14ac:dyDescent="0.35">
      <c r="A121" s="5" t="s">
        <v>84</v>
      </c>
      <c r="B121" s="5" t="s">
        <v>85</v>
      </c>
      <c r="C121" s="5" t="s">
        <v>47</v>
      </c>
      <c r="D121" s="5">
        <v>3000041</v>
      </c>
      <c r="E121" s="5">
        <v>3100748</v>
      </c>
      <c r="F121" s="5" t="s">
        <v>75</v>
      </c>
      <c r="G121" s="5" t="s">
        <v>96</v>
      </c>
      <c r="H121" s="5" t="s">
        <v>140</v>
      </c>
      <c r="I121" s="5">
        <v>9923232</v>
      </c>
      <c r="J121" s="6">
        <v>46121</v>
      </c>
      <c r="K121" s="6">
        <v>46121</v>
      </c>
      <c r="L121" s="6">
        <v>46156</v>
      </c>
      <c r="M121" s="7">
        <v>-24</v>
      </c>
      <c r="N121" s="7">
        <v>107537</v>
      </c>
      <c r="O121" s="7">
        <v>0</v>
      </c>
      <c r="P121" s="7">
        <v>107537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5" t="s">
        <v>47</v>
      </c>
      <c r="Z121" s="6"/>
      <c r="AA121" s="5" t="s">
        <v>76</v>
      </c>
      <c r="AB121" s="5" t="s">
        <v>51</v>
      </c>
      <c r="AC121" s="5" t="s">
        <v>51</v>
      </c>
      <c r="AD121" s="5" t="s">
        <v>51</v>
      </c>
      <c r="AE121" s="5" t="s">
        <v>160</v>
      </c>
      <c r="AF121" s="5" t="s">
        <v>161</v>
      </c>
    </row>
    <row r="122" spans="1:32" ht="15.65" customHeight="1" x14ac:dyDescent="0.35">
      <c r="A122" s="5" t="s">
        <v>73</v>
      </c>
      <c r="B122" s="5" t="s">
        <v>74</v>
      </c>
      <c r="C122" s="5" t="s">
        <v>47</v>
      </c>
      <c r="D122" s="5">
        <v>3000041</v>
      </c>
      <c r="E122" s="11">
        <v>3000041</v>
      </c>
      <c r="F122" s="11" t="s">
        <v>75</v>
      </c>
      <c r="G122" s="5" t="s">
        <v>75</v>
      </c>
      <c r="H122" s="5" t="s">
        <v>54</v>
      </c>
      <c r="I122" s="5">
        <v>9924266</v>
      </c>
      <c r="J122" s="6">
        <v>46123</v>
      </c>
      <c r="K122" s="6">
        <v>46123</v>
      </c>
      <c r="L122" s="6">
        <v>46160</v>
      </c>
      <c r="M122" s="7">
        <v>-28</v>
      </c>
      <c r="N122" s="7">
        <v>320319</v>
      </c>
      <c r="O122" s="7">
        <v>0</v>
      </c>
      <c r="P122" s="7">
        <v>320319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5" t="s">
        <v>47</v>
      </c>
      <c r="Z122" s="6"/>
      <c r="AA122" s="5" t="s">
        <v>76</v>
      </c>
      <c r="AB122" s="5" t="s">
        <v>51</v>
      </c>
      <c r="AC122" s="5" t="s">
        <v>51</v>
      </c>
      <c r="AD122" s="5" t="s">
        <v>51</v>
      </c>
      <c r="AE122" s="5" t="s">
        <v>162</v>
      </c>
      <c r="AF122" s="5" t="s">
        <v>163</v>
      </c>
    </row>
    <row r="123" spans="1:32" ht="15.65" customHeight="1" x14ac:dyDescent="0.35">
      <c r="A123" s="5" t="s">
        <v>73</v>
      </c>
      <c r="B123" s="5" t="s">
        <v>74</v>
      </c>
      <c r="C123" s="5" t="s">
        <v>47</v>
      </c>
      <c r="D123" s="5">
        <v>3000041</v>
      </c>
      <c r="E123" s="11">
        <v>3000041</v>
      </c>
      <c r="F123" s="11" t="s">
        <v>75</v>
      </c>
      <c r="G123" s="5" t="s">
        <v>75</v>
      </c>
      <c r="H123" s="5" t="s">
        <v>54</v>
      </c>
      <c r="I123" s="5">
        <v>9924284</v>
      </c>
      <c r="J123" s="6">
        <v>46123</v>
      </c>
      <c r="K123" s="6">
        <v>46123</v>
      </c>
      <c r="L123" s="6">
        <v>46160</v>
      </c>
      <c r="M123" s="7">
        <v>-28</v>
      </c>
      <c r="N123" s="7">
        <v>472343508</v>
      </c>
      <c r="O123" s="7">
        <v>0</v>
      </c>
      <c r="P123" s="7">
        <v>472343508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5" t="s">
        <v>47</v>
      </c>
      <c r="Z123" s="6"/>
      <c r="AA123" s="5" t="s">
        <v>76</v>
      </c>
      <c r="AB123" s="5" t="s">
        <v>51</v>
      </c>
      <c r="AC123" s="5" t="s">
        <v>51</v>
      </c>
      <c r="AD123" s="5" t="s">
        <v>51</v>
      </c>
      <c r="AE123" s="5" t="s">
        <v>164</v>
      </c>
      <c r="AF123" s="5" t="s">
        <v>165</v>
      </c>
    </row>
    <row r="124" spans="1:32" ht="15.65" customHeight="1" x14ac:dyDescent="0.35">
      <c r="A124" s="5" t="s">
        <v>73</v>
      </c>
      <c r="B124" s="5" t="s">
        <v>74</v>
      </c>
      <c r="C124" s="5" t="s">
        <v>47</v>
      </c>
      <c r="D124" s="5">
        <v>3000041</v>
      </c>
      <c r="E124" s="5">
        <v>3000910</v>
      </c>
      <c r="F124" s="5" t="s">
        <v>75</v>
      </c>
      <c r="G124" s="5" t="s">
        <v>75</v>
      </c>
      <c r="H124" s="5" t="s">
        <v>54</v>
      </c>
      <c r="I124" s="5">
        <v>9924925</v>
      </c>
      <c r="J124" s="6">
        <v>46125</v>
      </c>
      <c r="K124" s="6">
        <v>46125</v>
      </c>
      <c r="L124" s="6">
        <v>46162</v>
      </c>
      <c r="M124" s="7">
        <v>-30</v>
      </c>
      <c r="N124" s="7">
        <v>116426090</v>
      </c>
      <c r="O124" s="7">
        <v>0</v>
      </c>
      <c r="P124" s="7">
        <v>116426090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5" t="s">
        <v>47</v>
      </c>
      <c r="Z124" s="6"/>
      <c r="AA124" s="5" t="s">
        <v>76</v>
      </c>
      <c r="AB124" s="5" t="s">
        <v>51</v>
      </c>
      <c r="AC124" s="5" t="s">
        <v>51</v>
      </c>
      <c r="AD124" s="5" t="s">
        <v>51</v>
      </c>
      <c r="AE124" s="5" t="s">
        <v>166</v>
      </c>
      <c r="AF124" s="5" t="s">
        <v>167</v>
      </c>
    </row>
    <row r="125" spans="1:32" ht="15.65" customHeight="1" x14ac:dyDescent="0.35">
      <c r="A125" s="5" t="s">
        <v>84</v>
      </c>
      <c r="B125" s="5" t="s">
        <v>85</v>
      </c>
      <c r="C125" s="5" t="s">
        <v>47</v>
      </c>
      <c r="D125" s="5">
        <v>3000041</v>
      </c>
      <c r="E125" s="11">
        <v>3100882</v>
      </c>
      <c r="F125" s="11" t="s">
        <v>75</v>
      </c>
      <c r="G125" s="5" t="s">
        <v>86</v>
      </c>
      <c r="H125" s="5" t="s">
        <v>54</v>
      </c>
      <c r="I125" s="5">
        <v>9924998</v>
      </c>
      <c r="J125" s="6">
        <v>46126</v>
      </c>
      <c r="K125" s="6">
        <v>46126</v>
      </c>
      <c r="L125" s="6">
        <v>46163</v>
      </c>
      <c r="M125" s="7">
        <v>-31</v>
      </c>
      <c r="N125" s="7">
        <v>111808866</v>
      </c>
      <c r="O125" s="7">
        <v>0</v>
      </c>
      <c r="P125" s="7">
        <v>111808866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5" t="s">
        <v>47</v>
      </c>
      <c r="Z125" s="6"/>
      <c r="AA125" s="5" t="s">
        <v>76</v>
      </c>
      <c r="AB125" s="5" t="s">
        <v>51</v>
      </c>
      <c r="AC125" s="5" t="s">
        <v>51</v>
      </c>
      <c r="AD125" s="5" t="s">
        <v>51</v>
      </c>
      <c r="AE125" s="5" t="s">
        <v>168</v>
      </c>
      <c r="AF125" s="5" t="s">
        <v>169</v>
      </c>
    </row>
    <row r="126" spans="1:32" ht="15.65" customHeight="1" x14ac:dyDescent="0.35">
      <c r="A126" s="5" t="s">
        <v>84</v>
      </c>
      <c r="B126" s="5" t="s">
        <v>85</v>
      </c>
      <c r="C126" s="5" t="s">
        <v>47</v>
      </c>
      <c r="D126" s="5">
        <v>3000041</v>
      </c>
      <c r="E126" s="11">
        <v>3100748</v>
      </c>
      <c r="F126" s="11" t="s">
        <v>75</v>
      </c>
      <c r="G126" s="5" t="s">
        <v>96</v>
      </c>
      <c r="H126" s="5" t="s">
        <v>54</v>
      </c>
      <c r="I126" s="5">
        <v>9925001</v>
      </c>
      <c r="J126" s="6">
        <v>46126</v>
      </c>
      <c r="K126" s="6">
        <v>46126</v>
      </c>
      <c r="L126" s="6">
        <v>46163</v>
      </c>
      <c r="M126" s="7">
        <v>-31</v>
      </c>
      <c r="N126" s="7">
        <v>230915260</v>
      </c>
      <c r="O126" s="7">
        <v>0</v>
      </c>
      <c r="P126" s="7">
        <v>230915260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5" t="s">
        <v>47</v>
      </c>
      <c r="Z126" s="6"/>
      <c r="AA126" s="5" t="s">
        <v>76</v>
      </c>
      <c r="AB126" s="5" t="s">
        <v>51</v>
      </c>
      <c r="AC126" s="5" t="s">
        <v>51</v>
      </c>
      <c r="AD126" s="5" t="s">
        <v>51</v>
      </c>
      <c r="AE126" s="5" t="s">
        <v>170</v>
      </c>
      <c r="AF126" s="5" t="s">
        <v>62</v>
      </c>
    </row>
    <row r="127" spans="1:32" ht="15.65" customHeight="1" x14ac:dyDescent="0.35">
      <c r="A127" s="5" t="s">
        <v>84</v>
      </c>
      <c r="B127" s="5" t="s">
        <v>85</v>
      </c>
      <c r="C127" s="5" t="s">
        <v>47</v>
      </c>
      <c r="D127" s="5">
        <v>3000041</v>
      </c>
      <c r="E127" s="11">
        <v>3100748</v>
      </c>
      <c r="F127" s="11" t="s">
        <v>75</v>
      </c>
      <c r="G127" s="5" t="s">
        <v>96</v>
      </c>
      <c r="H127" s="5" t="s">
        <v>54</v>
      </c>
      <c r="I127" s="5">
        <v>9925057</v>
      </c>
      <c r="J127" s="6">
        <v>46126</v>
      </c>
      <c r="K127" s="6">
        <v>46126</v>
      </c>
      <c r="L127" s="6">
        <v>46163</v>
      </c>
      <c r="M127" s="7">
        <v>-31</v>
      </c>
      <c r="N127" s="7">
        <v>48152852</v>
      </c>
      <c r="O127" s="7">
        <v>0</v>
      </c>
      <c r="P127" s="7">
        <v>48152852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5" t="s">
        <v>47</v>
      </c>
      <c r="Z127" s="6"/>
      <c r="AA127" s="5" t="s">
        <v>76</v>
      </c>
      <c r="AB127" s="5" t="s">
        <v>51</v>
      </c>
      <c r="AC127" s="5" t="s">
        <v>51</v>
      </c>
      <c r="AD127" s="5" t="s">
        <v>51</v>
      </c>
      <c r="AE127" s="5" t="s">
        <v>171</v>
      </c>
      <c r="AF127" s="5" t="s">
        <v>172</v>
      </c>
    </row>
    <row r="128" spans="1:32" ht="15.65" customHeight="1" x14ac:dyDescent="0.35">
      <c r="A128" s="5" t="s">
        <v>73</v>
      </c>
      <c r="B128" s="5" t="s">
        <v>74</v>
      </c>
      <c r="C128" s="5" t="s">
        <v>47</v>
      </c>
      <c r="D128" s="5">
        <v>3000041</v>
      </c>
      <c r="E128" s="11">
        <v>3000041</v>
      </c>
      <c r="F128" s="11" t="s">
        <v>75</v>
      </c>
      <c r="G128" s="5" t="s">
        <v>75</v>
      </c>
      <c r="H128" s="5" t="s">
        <v>54</v>
      </c>
      <c r="I128" s="5">
        <v>9927478</v>
      </c>
      <c r="J128" s="6">
        <v>46130</v>
      </c>
      <c r="K128" s="6">
        <v>46130</v>
      </c>
      <c r="L128" s="6">
        <v>46167</v>
      </c>
      <c r="M128" s="7">
        <v>-35</v>
      </c>
      <c r="N128" s="7">
        <v>252205728</v>
      </c>
      <c r="O128" s="7">
        <v>0</v>
      </c>
      <c r="P128" s="7">
        <v>252205728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5" t="s">
        <v>47</v>
      </c>
      <c r="Z128" s="6"/>
      <c r="AA128" s="5" t="s">
        <v>76</v>
      </c>
      <c r="AB128" s="5" t="s">
        <v>51</v>
      </c>
      <c r="AC128" s="5" t="s">
        <v>51</v>
      </c>
      <c r="AD128" s="5" t="s">
        <v>51</v>
      </c>
      <c r="AE128" s="5" t="s">
        <v>173</v>
      </c>
      <c r="AF128" s="5" t="s">
        <v>174</v>
      </c>
    </row>
    <row r="129" spans="1:32" ht="15.65" customHeight="1" x14ac:dyDescent="0.35">
      <c r="A129" s="5" t="s">
        <v>175</v>
      </c>
      <c r="B129" s="5" t="s">
        <v>176</v>
      </c>
      <c r="C129" s="5" t="s">
        <v>47</v>
      </c>
      <c r="D129" s="5">
        <v>3000042</v>
      </c>
      <c r="E129" s="11">
        <v>3000042</v>
      </c>
      <c r="F129" s="11" t="s">
        <v>177</v>
      </c>
      <c r="G129" s="5" t="s">
        <v>177</v>
      </c>
      <c r="H129" s="5" t="s">
        <v>111</v>
      </c>
      <c r="I129" s="5">
        <v>6957822</v>
      </c>
      <c r="J129" s="6">
        <v>46114</v>
      </c>
      <c r="K129" s="6">
        <v>46114</v>
      </c>
      <c r="L129" s="6">
        <v>46114</v>
      </c>
      <c r="M129" s="7">
        <v>18</v>
      </c>
      <c r="N129" s="7">
        <v>-197882</v>
      </c>
      <c r="O129" s="7">
        <v>-197882</v>
      </c>
      <c r="P129" s="7">
        <v>0</v>
      </c>
      <c r="Q129" s="7">
        <v>-197882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5" t="s">
        <v>47</v>
      </c>
      <c r="Z129" s="6"/>
      <c r="AA129" s="5" t="s">
        <v>55</v>
      </c>
      <c r="AB129" s="5" t="s">
        <v>51</v>
      </c>
      <c r="AC129" s="5" t="s">
        <v>51</v>
      </c>
      <c r="AD129" s="5" t="s">
        <v>51</v>
      </c>
      <c r="AE129" s="5" t="s">
        <v>51</v>
      </c>
      <c r="AF129" s="5" t="s">
        <v>178</v>
      </c>
    </row>
    <row r="130" spans="1:32" ht="15.65" customHeight="1" x14ac:dyDescent="0.35">
      <c r="A130" s="5" t="s">
        <v>175</v>
      </c>
      <c r="B130" s="5" t="s">
        <v>176</v>
      </c>
      <c r="C130" s="5" t="s">
        <v>47</v>
      </c>
      <c r="D130" s="5">
        <v>3000042</v>
      </c>
      <c r="E130" s="11">
        <v>3000042</v>
      </c>
      <c r="F130" s="11" t="s">
        <v>177</v>
      </c>
      <c r="G130" s="5" t="s">
        <v>177</v>
      </c>
      <c r="H130" s="5" t="s">
        <v>54</v>
      </c>
      <c r="I130" s="5">
        <v>6958297</v>
      </c>
      <c r="J130" s="6">
        <v>46120</v>
      </c>
      <c r="K130" s="6">
        <v>46120</v>
      </c>
      <c r="L130" s="6">
        <v>46120</v>
      </c>
      <c r="M130" s="7">
        <v>12</v>
      </c>
      <c r="N130" s="7">
        <v>-22728</v>
      </c>
      <c r="O130" s="7">
        <v>-22728</v>
      </c>
      <c r="P130" s="7">
        <v>0</v>
      </c>
      <c r="Q130" s="7">
        <v>-22728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5" t="s">
        <v>47</v>
      </c>
      <c r="Z130" s="6"/>
      <c r="AA130" s="5" t="s">
        <v>55</v>
      </c>
      <c r="AB130" s="5" t="s">
        <v>51</v>
      </c>
      <c r="AC130" s="5" t="s">
        <v>51</v>
      </c>
      <c r="AD130" s="5" t="s">
        <v>51</v>
      </c>
      <c r="AE130" s="5" t="s">
        <v>51</v>
      </c>
      <c r="AF130" s="5" t="s">
        <v>179</v>
      </c>
    </row>
    <row r="131" spans="1:32" ht="15.65" customHeight="1" x14ac:dyDescent="0.35">
      <c r="A131" s="5" t="s">
        <v>175</v>
      </c>
      <c r="B131" s="5" t="s">
        <v>176</v>
      </c>
      <c r="C131" s="5" t="s">
        <v>47</v>
      </c>
      <c r="D131" s="5">
        <v>3000042</v>
      </c>
      <c r="E131" s="11">
        <v>3000042</v>
      </c>
      <c r="F131" s="11" t="s">
        <v>177</v>
      </c>
      <c r="G131" s="5" t="s">
        <v>177</v>
      </c>
      <c r="H131" s="5" t="s">
        <v>54</v>
      </c>
      <c r="I131" s="5">
        <v>6959751</v>
      </c>
      <c r="J131" s="6">
        <v>46128</v>
      </c>
      <c r="K131" s="6">
        <v>46128</v>
      </c>
      <c r="L131" s="6">
        <v>46128</v>
      </c>
      <c r="M131" s="7">
        <v>4</v>
      </c>
      <c r="N131" s="7">
        <v>-673041</v>
      </c>
      <c r="O131" s="7">
        <v>-673041</v>
      </c>
      <c r="P131" s="7">
        <v>0</v>
      </c>
      <c r="Q131" s="7">
        <v>-673041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5" t="s">
        <v>47</v>
      </c>
      <c r="Z131" s="6"/>
      <c r="AA131" s="5" t="s">
        <v>55</v>
      </c>
      <c r="AB131" s="5" t="s">
        <v>51</v>
      </c>
      <c r="AC131" s="5" t="s">
        <v>51</v>
      </c>
      <c r="AD131" s="5" t="s">
        <v>51</v>
      </c>
      <c r="AE131" s="5" t="s">
        <v>51</v>
      </c>
      <c r="AF131" s="5" t="s">
        <v>180</v>
      </c>
    </row>
    <row r="132" spans="1:32" ht="15.65" customHeight="1" x14ac:dyDescent="0.35">
      <c r="A132" s="5" t="s">
        <v>175</v>
      </c>
      <c r="B132" s="5" t="s">
        <v>176</v>
      </c>
      <c r="C132" s="5" t="s">
        <v>47</v>
      </c>
      <c r="D132" s="5">
        <v>3000042</v>
      </c>
      <c r="E132" s="11">
        <v>3000042</v>
      </c>
      <c r="F132" s="11" t="s">
        <v>177</v>
      </c>
      <c r="G132" s="5" t="s">
        <v>177</v>
      </c>
      <c r="H132" s="5" t="s">
        <v>54</v>
      </c>
      <c r="I132" s="5">
        <v>6959762</v>
      </c>
      <c r="J132" s="6">
        <v>46128</v>
      </c>
      <c r="K132" s="6">
        <v>46128</v>
      </c>
      <c r="L132" s="6">
        <v>46128</v>
      </c>
      <c r="M132" s="7">
        <v>4</v>
      </c>
      <c r="N132" s="7">
        <v>-878636</v>
      </c>
      <c r="O132" s="7">
        <v>-878636</v>
      </c>
      <c r="P132" s="7">
        <v>0</v>
      </c>
      <c r="Q132" s="7">
        <v>-878636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5" t="s">
        <v>47</v>
      </c>
      <c r="Z132" s="6"/>
      <c r="AA132" s="5" t="s">
        <v>55</v>
      </c>
      <c r="AB132" s="5" t="s">
        <v>51</v>
      </c>
      <c r="AC132" s="5" t="s">
        <v>51</v>
      </c>
      <c r="AD132" s="5" t="s">
        <v>51</v>
      </c>
      <c r="AE132" s="5" t="s">
        <v>51</v>
      </c>
      <c r="AF132" s="5" t="s">
        <v>180</v>
      </c>
    </row>
    <row r="133" spans="1:32" ht="15.65" customHeight="1" x14ac:dyDescent="0.35">
      <c r="A133" s="5" t="s">
        <v>175</v>
      </c>
      <c r="B133" s="5" t="s">
        <v>176</v>
      </c>
      <c r="C133" s="5" t="s">
        <v>47</v>
      </c>
      <c r="D133" s="5">
        <v>3000042</v>
      </c>
      <c r="E133" s="11">
        <v>3000042</v>
      </c>
      <c r="F133" s="11" t="s">
        <v>177</v>
      </c>
      <c r="G133" s="5" t="s">
        <v>177</v>
      </c>
      <c r="H133" s="5" t="s">
        <v>54</v>
      </c>
      <c r="I133" s="5">
        <v>6959891</v>
      </c>
      <c r="J133" s="6">
        <v>46129</v>
      </c>
      <c r="K133" s="6">
        <v>46129</v>
      </c>
      <c r="L133" s="6">
        <v>46129</v>
      </c>
      <c r="M133" s="7">
        <v>3</v>
      </c>
      <c r="N133" s="7">
        <v>-4933543</v>
      </c>
      <c r="O133" s="7">
        <v>-4933543</v>
      </c>
      <c r="P133" s="7">
        <v>0</v>
      </c>
      <c r="Q133" s="7">
        <v>-4933543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5" t="s">
        <v>47</v>
      </c>
      <c r="Z133" s="6"/>
      <c r="AA133" s="5" t="s">
        <v>55</v>
      </c>
      <c r="AB133" s="5" t="s">
        <v>51</v>
      </c>
      <c r="AC133" s="5" t="s">
        <v>51</v>
      </c>
      <c r="AD133" s="5" t="s">
        <v>51</v>
      </c>
      <c r="AE133" s="5" t="s">
        <v>51</v>
      </c>
      <c r="AF133" s="5" t="s">
        <v>181</v>
      </c>
    </row>
    <row r="134" spans="1:32" ht="15.65" customHeight="1" x14ac:dyDescent="0.35">
      <c r="A134" s="5" t="s">
        <v>175</v>
      </c>
      <c r="B134" s="5" t="s">
        <v>176</v>
      </c>
      <c r="C134" s="5" t="s">
        <v>47</v>
      </c>
      <c r="D134" s="5">
        <v>3000042</v>
      </c>
      <c r="E134" s="11">
        <v>3000042</v>
      </c>
      <c r="F134" s="11" t="s">
        <v>177</v>
      </c>
      <c r="G134" s="5" t="s">
        <v>177</v>
      </c>
      <c r="H134" s="5" t="s">
        <v>54</v>
      </c>
      <c r="I134" s="5">
        <v>9910030</v>
      </c>
      <c r="J134" s="6">
        <v>46081</v>
      </c>
      <c r="K134" s="6">
        <v>46081</v>
      </c>
      <c r="L134" s="6">
        <v>46136</v>
      </c>
      <c r="M134" s="7">
        <v>-4</v>
      </c>
      <c r="N134" s="7">
        <v>317934646</v>
      </c>
      <c r="O134" s="7">
        <v>0</v>
      </c>
      <c r="P134" s="7">
        <v>317934646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5" t="s">
        <v>47</v>
      </c>
      <c r="Z134" s="6"/>
      <c r="AA134" s="5" t="s">
        <v>55</v>
      </c>
      <c r="AB134" s="5" t="s">
        <v>51</v>
      </c>
      <c r="AC134" s="5" t="s">
        <v>182</v>
      </c>
      <c r="AD134" s="5" t="s">
        <v>51</v>
      </c>
      <c r="AE134" s="5" t="s">
        <v>51</v>
      </c>
      <c r="AF134" s="5" t="s">
        <v>183</v>
      </c>
    </row>
    <row r="135" spans="1:32" ht="15.65" customHeight="1" x14ac:dyDescent="0.35">
      <c r="A135" s="5" t="s">
        <v>175</v>
      </c>
      <c r="B135" s="5" t="s">
        <v>176</v>
      </c>
      <c r="C135" s="5" t="s">
        <v>47</v>
      </c>
      <c r="D135" s="5">
        <v>3000042</v>
      </c>
      <c r="E135" s="11">
        <v>3000042</v>
      </c>
      <c r="F135" s="11" t="s">
        <v>177</v>
      </c>
      <c r="G135" s="5" t="s">
        <v>177</v>
      </c>
      <c r="H135" s="5" t="s">
        <v>54</v>
      </c>
      <c r="I135" s="5">
        <v>9910133</v>
      </c>
      <c r="J135" s="6">
        <v>46081</v>
      </c>
      <c r="K135" s="6">
        <v>46081</v>
      </c>
      <c r="L135" s="6">
        <v>46136</v>
      </c>
      <c r="M135" s="7">
        <v>-4</v>
      </c>
      <c r="N135" s="7">
        <v>373310932</v>
      </c>
      <c r="O135" s="7">
        <v>0</v>
      </c>
      <c r="P135" s="7">
        <v>373310932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5" t="s">
        <v>47</v>
      </c>
      <c r="Z135" s="6"/>
      <c r="AA135" s="5" t="s">
        <v>55</v>
      </c>
      <c r="AB135" s="5" t="s">
        <v>51</v>
      </c>
      <c r="AC135" s="5" t="s">
        <v>184</v>
      </c>
      <c r="AD135" s="5" t="s">
        <v>51</v>
      </c>
      <c r="AE135" s="5" t="s">
        <v>51</v>
      </c>
      <c r="AF135" s="5" t="s">
        <v>185</v>
      </c>
    </row>
    <row r="136" spans="1:32" ht="15.65" customHeight="1" x14ac:dyDescent="0.35">
      <c r="A136" s="5" t="s">
        <v>175</v>
      </c>
      <c r="B136" s="5" t="s">
        <v>176</v>
      </c>
      <c r="C136" s="5" t="s">
        <v>47</v>
      </c>
      <c r="D136" s="5">
        <v>3000042</v>
      </c>
      <c r="E136" s="11">
        <v>3000042</v>
      </c>
      <c r="F136" s="11" t="s">
        <v>177</v>
      </c>
      <c r="G136" s="5" t="s">
        <v>177</v>
      </c>
      <c r="H136" s="5" t="s">
        <v>54</v>
      </c>
      <c r="I136" s="5">
        <v>9910134</v>
      </c>
      <c r="J136" s="6">
        <v>46081</v>
      </c>
      <c r="K136" s="6">
        <v>46081</v>
      </c>
      <c r="L136" s="6">
        <v>46136</v>
      </c>
      <c r="M136" s="7">
        <v>-4</v>
      </c>
      <c r="N136" s="7">
        <v>1824893</v>
      </c>
      <c r="O136" s="7">
        <v>0</v>
      </c>
      <c r="P136" s="7">
        <v>1824893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5" t="s">
        <v>47</v>
      </c>
      <c r="Z136" s="6"/>
      <c r="AA136" s="5" t="s">
        <v>55</v>
      </c>
      <c r="AB136" s="5" t="s">
        <v>51</v>
      </c>
      <c r="AC136" s="5" t="s">
        <v>186</v>
      </c>
      <c r="AD136" s="5" t="s">
        <v>51</v>
      </c>
      <c r="AE136" s="5" t="s">
        <v>51</v>
      </c>
      <c r="AF136" s="5" t="s">
        <v>64</v>
      </c>
    </row>
    <row r="137" spans="1:32" ht="15.65" customHeight="1" x14ac:dyDescent="0.35">
      <c r="A137" s="5" t="s">
        <v>175</v>
      </c>
      <c r="B137" s="5" t="s">
        <v>176</v>
      </c>
      <c r="C137" s="5" t="s">
        <v>187</v>
      </c>
      <c r="D137" s="5">
        <v>3000042</v>
      </c>
      <c r="E137" s="5">
        <v>3100569</v>
      </c>
      <c r="F137" s="5" t="s">
        <v>177</v>
      </c>
      <c r="G137" s="5" t="s">
        <v>177</v>
      </c>
      <c r="H137" s="5" t="s">
        <v>54</v>
      </c>
      <c r="I137" s="5">
        <v>9911928</v>
      </c>
      <c r="J137" s="6">
        <v>46087</v>
      </c>
      <c r="K137" s="6">
        <v>46087</v>
      </c>
      <c r="L137" s="6">
        <v>46133</v>
      </c>
      <c r="M137" s="7">
        <v>-1</v>
      </c>
      <c r="N137" s="7">
        <v>57105833</v>
      </c>
      <c r="O137" s="7">
        <v>0</v>
      </c>
      <c r="P137" s="7">
        <v>57105833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5" t="s">
        <v>187</v>
      </c>
      <c r="Z137" s="6"/>
      <c r="AA137" s="5" t="s">
        <v>55</v>
      </c>
      <c r="AB137" s="5" t="s">
        <v>51</v>
      </c>
      <c r="AC137" s="5" t="s">
        <v>188</v>
      </c>
      <c r="AD137" s="5" t="s">
        <v>51</v>
      </c>
      <c r="AE137" s="5" t="s">
        <v>51</v>
      </c>
      <c r="AF137" s="5" t="s">
        <v>189</v>
      </c>
    </row>
    <row r="138" spans="1:32" ht="15.65" customHeight="1" x14ac:dyDescent="0.35">
      <c r="A138" s="5" t="s">
        <v>175</v>
      </c>
      <c r="B138" s="5" t="s">
        <v>176</v>
      </c>
      <c r="C138" s="5" t="s">
        <v>47</v>
      </c>
      <c r="D138" s="5">
        <v>3000042</v>
      </c>
      <c r="E138" s="11">
        <v>3000042</v>
      </c>
      <c r="F138" s="11" t="s">
        <v>177</v>
      </c>
      <c r="G138" s="5" t="s">
        <v>177</v>
      </c>
      <c r="H138" s="5" t="s">
        <v>54</v>
      </c>
      <c r="I138" s="5">
        <v>9914113</v>
      </c>
      <c r="J138" s="6">
        <v>46093</v>
      </c>
      <c r="K138" s="6">
        <v>46093</v>
      </c>
      <c r="L138" s="6">
        <v>46148</v>
      </c>
      <c r="M138" s="7">
        <v>-16</v>
      </c>
      <c r="N138" s="7">
        <v>361384060</v>
      </c>
      <c r="O138" s="7">
        <v>0</v>
      </c>
      <c r="P138" s="7">
        <v>361384060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5" t="s">
        <v>47</v>
      </c>
      <c r="Z138" s="6"/>
      <c r="AA138" s="5" t="s">
        <v>55</v>
      </c>
      <c r="AB138" s="5" t="s">
        <v>51</v>
      </c>
      <c r="AC138" s="5" t="s">
        <v>51</v>
      </c>
      <c r="AD138" s="5" t="s">
        <v>51</v>
      </c>
      <c r="AE138" s="5" t="s">
        <v>190</v>
      </c>
      <c r="AF138" s="5" t="s">
        <v>185</v>
      </c>
    </row>
    <row r="139" spans="1:32" ht="15.65" customHeight="1" x14ac:dyDescent="0.35">
      <c r="A139" s="5" t="s">
        <v>175</v>
      </c>
      <c r="B139" s="5" t="s">
        <v>176</v>
      </c>
      <c r="C139" s="5" t="s">
        <v>187</v>
      </c>
      <c r="D139" s="5">
        <v>3000042</v>
      </c>
      <c r="E139" s="11">
        <v>3100569</v>
      </c>
      <c r="F139" s="11" t="s">
        <v>177</v>
      </c>
      <c r="G139" s="5" t="s">
        <v>177</v>
      </c>
      <c r="H139" s="5" t="s">
        <v>54</v>
      </c>
      <c r="I139" s="5">
        <v>9916326</v>
      </c>
      <c r="J139" s="6">
        <v>46098</v>
      </c>
      <c r="K139" s="6">
        <v>46098</v>
      </c>
      <c r="L139" s="6">
        <v>46144</v>
      </c>
      <c r="M139" s="7">
        <v>-12</v>
      </c>
      <c r="N139" s="7">
        <v>57042447</v>
      </c>
      <c r="O139" s="7">
        <v>0</v>
      </c>
      <c r="P139" s="7">
        <v>57042447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5" t="s">
        <v>187</v>
      </c>
      <c r="Z139" s="6"/>
      <c r="AA139" s="5" t="s">
        <v>55</v>
      </c>
      <c r="AB139" s="5" t="s">
        <v>51</v>
      </c>
      <c r="AC139" s="5" t="s">
        <v>51</v>
      </c>
      <c r="AD139" s="5" t="s">
        <v>191</v>
      </c>
      <c r="AE139" s="5" t="s">
        <v>51</v>
      </c>
      <c r="AF139" s="5" t="s">
        <v>62</v>
      </c>
    </row>
    <row r="140" spans="1:32" ht="15.65" customHeight="1" x14ac:dyDescent="0.35">
      <c r="A140" s="5" t="s">
        <v>175</v>
      </c>
      <c r="B140" s="5" t="s">
        <v>176</v>
      </c>
      <c r="C140" s="5" t="s">
        <v>187</v>
      </c>
      <c r="D140" s="5">
        <v>3000042</v>
      </c>
      <c r="E140" s="11">
        <v>3100569</v>
      </c>
      <c r="F140" s="11" t="s">
        <v>177</v>
      </c>
      <c r="G140" s="5" t="s">
        <v>177</v>
      </c>
      <c r="H140" s="5" t="s">
        <v>54</v>
      </c>
      <c r="I140" s="5">
        <v>9919687</v>
      </c>
      <c r="J140" s="6">
        <v>46109</v>
      </c>
      <c r="K140" s="6">
        <v>46109</v>
      </c>
      <c r="L140" s="6">
        <v>46155</v>
      </c>
      <c r="M140" s="7">
        <v>-23</v>
      </c>
      <c r="N140" s="7">
        <v>5960407</v>
      </c>
      <c r="O140" s="7">
        <v>0</v>
      </c>
      <c r="P140" s="7">
        <v>5960407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5" t="s">
        <v>187</v>
      </c>
      <c r="Z140" s="6"/>
      <c r="AA140" s="5" t="s">
        <v>55</v>
      </c>
      <c r="AB140" s="5" t="s">
        <v>51</v>
      </c>
      <c r="AC140" s="5" t="s">
        <v>51</v>
      </c>
      <c r="AD140" s="5" t="s">
        <v>51</v>
      </c>
      <c r="AE140" s="5" t="s">
        <v>192</v>
      </c>
      <c r="AF140" s="5" t="s">
        <v>193</v>
      </c>
    </row>
    <row r="141" spans="1:32" ht="15.65" customHeight="1" x14ac:dyDescent="0.35">
      <c r="A141" s="5" t="s">
        <v>175</v>
      </c>
      <c r="B141" s="5" t="s">
        <v>176</v>
      </c>
      <c r="C141" s="5" t="s">
        <v>47</v>
      </c>
      <c r="D141" s="5">
        <v>3000042</v>
      </c>
      <c r="E141" s="11">
        <v>3000042</v>
      </c>
      <c r="F141" s="11" t="s">
        <v>177</v>
      </c>
      <c r="G141" s="5" t="s">
        <v>177</v>
      </c>
      <c r="H141" s="5" t="s">
        <v>54</v>
      </c>
      <c r="I141" s="5">
        <v>9921384</v>
      </c>
      <c r="J141" s="6">
        <v>46112</v>
      </c>
      <c r="K141" s="6">
        <v>46112</v>
      </c>
      <c r="L141" s="6">
        <v>46167</v>
      </c>
      <c r="M141" s="7">
        <v>-35</v>
      </c>
      <c r="N141" s="7">
        <v>263334047</v>
      </c>
      <c r="O141" s="7">
        <v>0</v>
      </c>
      <c r="P141" s="7">
        <v>263334047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5" t="s">
        <v>47</v>
      </c>
      <c r="Z141" s="6"/>
      <c r="AA141" s="5" t="s">
        <v>55</v>
      </c>
      <c r="AB141" s="5" t="s">
        <v>51</v>
      </c>
      <c r="AC141" s="5" t="s">
        <v>51</v>
      </c>
      <c r="AD141" s="5" t="s">
        <v>51</v>
      </c>
      <c r="AE141" s="5" t="s">
        <v>194</v>
      </c>
      <c r="AF141" s="5" t="s">
        <v>195</v>
      </c>
    </row>
    <row r="142" spans="1:32" ht="15.65" customHeight="1" x14ac:dyDescent="0.35">
      <c r="A142" s="5" t="s">
        <v>175</v>
      </c>
      <c r="B142" s="5" t="s">
        <v>176</v>
      </c>
      <c r="C142" s="5" t="s">
        <v>47</v>
      </c>
      <c r="D142" s="5">
        <v>3000042</v>
      </c>
      <c r="E142" s="11">
        <v>3000042</v>
      </c>
      <c r="F142" s="11" t="s">
        <v>177</v>
      </c>
      <c r="G142" s="5" t="s">
        <v>177</v>
      </c>
      <c r="H142" s="5" t="s">
        <v>54</v>
      </c>
      <c r="I142" s="5">
        <v>9921388</v>
      </c>
      <c r="J142" s="6">
        <v>46112</v>
      </c>
      <c r="K142" s="6">
        <v>46112</v>
      </c>
      <c r="L142" s="6">
        <v>46167</v>
      </c>
      <c r="M142" s="7">
        <v>-35</v>
      </c>
      <c r="N142" s="7">
        <v>203098991</v>
      </c>
      <c r="O142" s="7">
        <v>0</v>
      </c>
      <c r="P142" s="7">
        <v>203098991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5" t="s">
        <v>47</v>
      </c>
      <c r="Z142" s="6"/>
      <c r="AA142" s="5" t="s">
        <v>55</v>
      </c>
      <c r="AB142" s="5" t="s">
        <v>51</v>
      </c>
      <c r="AC142" s="5" t="s">
        <v>51</v>
      </c>
      <c r="AD142" s="5" t="s">
        <v>51</v>
      </c>
      <c r="AE142" s="5" t="s">
        <v>196</v>
      </c>
      <c r="AF142" s="5" t="s">
        <v>62</v>
      </c>
    </row>
    <row r="143" spans="1:32" ht="15.65" customHeight="1" x14ac:dyDescent="0.35">
      <c r="A143" s="5" t="s">
        <v>175</v>
      </c>
      <c r="B143" s="5" t="s">
        <v>176</v>
      </c>
      <c r="C143" s="5" t="s">
        <v>47</v>
      </c>
      <c r="D143" s="5">
        <v>3000042</v>
      </c>
      <c r="E143" s="5">
        <v>3000042</v>
      </c>
      <c r="F143" s="5" t="s">
        <v>177</v>
      </c>
      <c r="G143" s="5" t="s">
        <v>177</v>
      </c>
      <c r="H143" s="5" t="s">
        <v>54</v>
      </c>
      <c r="I143" s="5">
        <v>9921573</v>
      </c>
      <c r="J143" s="6">
        <v>46114</v>
      </c>
      <c r="K143" s="6">
        <v>46114</v>
      </c>
      <c r="L143" s="6">
        <v>46169</v>
      </c>
      <c r="M143" s="7">
        <v>-37</v>
      </c>
      <c r="N143" s="7">
        <v>197882</v>
      </c>
      <c r="O143" s="7">
        <v>0</v>
      </c>
      <c r="P143" s="7">
        <v>197882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5" t="s">
        <v>47</v>
      </c>
      <c r="Z143" s="6"/>
      <c r="AA143" s="5" t="s">
        <v>55</v>
      </c>
      <c r="AB143" s="5" t="s">
        <v>51</v>
      </c>
      <c r="AC143" s="5" t="s">
        <v>51</v>
      </c>
      <c r="AD143" s="5" t="s">
        <v>51</v>
      </c>
      <c r="AE143" s="5" t="s">
        <v>197</v>
      </c>
      <c r="AF143" s="5" t="s">
        <v>198</v>
      </c>
    </row>
    <row r="144" spans="1:32" ht="15.65" customHeight="1" x14ac:dyDescent="0.35">
      <c r="A144" s="5" t="s">
        <v>175</v>
      </c>
      <c r="B144" s="5" t="s">
        <v>176</v>
      </c>
      <c r="C144" s="5" t="s">
        <v>47</v>
      </c>
      <c r="D144" s="5">
        <v>3000042</v>
      </c>
      <c r="E144" s="11">
        <v>3000042</v>
      </c>
      <c r="F144" s="11" t="s">
        <v>177</v>
      </c>
      <c r="G144" s="5" t="s">
        <v>177</v>
      </c>
      <c r="H144" s="5" t="s">
        <v>54</v>
      </c>
      <c r="I144" s="5">
        <v>9923420</v>
      </c>
      <c r="J144" s="6">
        <v>46121</v>
      </c>
      <c r="K144" s="6">
        <v>46121</v>
      </c>
      <c r="L144" s="6">
        <v>46176</v>
      </c>
      <c r="M144" s="7">
        <v>-44</v>
      </c>
      <c r="N144" s="7">
        <v>418049862</v>
      </c>
      <c r="O144" s="7">
        <v>0</v>
      </c>
      <c r="P144" s="7">
        <v>418049862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5" t="s">
        <v>47</v>
      </c>
      <c r="Z144" s="6"/>
      <c r="AA144" s="5" t="s">
        <v>55</v>
      </c>
      <c r="AB144" s="5" t="s">
        <v>51</v>
      </c>
      <c r="AC144" s="5" t="s">
        <v>51</v>
      </c>
      <c r="AD144" s="5" t="s">
        <v>51</v>
      </c>
      <c r="AE144" s="5" t="s">
        <v>199</v>
      </c>
      <c r="AF144" s="5" t="s">
        <v>165</v>
      </c>
    </row>
    <row r="145" spans="1:32" ht="15.65" customHeight="1" x14ac:dyDescent="0.35">
      <c r="A145" s="5" t="s">
        <v>175</v>
      </c>
      <c r="B145" s="5" t="s">
        <v>176</v>
      </c>
      <c r="C145" s="5" t="s">
        <v>47</v>
      </c>
      <c r="D145" s="5">
        <v>3000042</v>
      </c>
      <c r="E145" s="11">
        <v>3000042</v>
      </c>
      <c r="F145" s="11" t="s">
        <v>177</v>
      </c>
      <c r="G145" s="5" t="s">
        <v>177</v>
      </c>
      <c r="H145" s="5" t="s">
        <v>54</v>
      </c>
      <c r="I145" s="5">
        <v>9923428</v>
      </c>
      <c r="J145" s="6">
        <v>46121</v>
      </c>
      <c r="K145" s="6">
        <v>46121</v>
      </c>
      <c r="L145" s="6">
        <v>46176</v>
      </c>
      <c r="M145" s="7">
        <v>-44</v>
      </c>
      <c r="N145" s="7">
        <v>3010107</v>
      </c>
      <c r="O145" s="7">
        <v>0</v>
      </c>
      <c r="P145" s="7">
        <v>3010107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5" t="s">
        <v>47</v>
      </c>
      <c r="Z145" s="6"/>
      <c r="AA145" s="5" t="s">
        <v>55</v>
      </c>
      <c r="AB145" s="5" t="s">
        <v>51</v>
      </c>
      <c r="AC145" s="5" t="s">
        <v>51</v>
      </c>
      <c r="AD145" s="5" t="s">
        <v>51</v>
      </c>
      <c r="AE145" s="5" t="s">
        <v>200</v>
      </c>
      <c r="AF145" s="5" t="s">
        <v>163</v>
      </c>
    </row>
    <row r="146" spans="1:32" ht="15.65" customHeight="1" x14ac:dyDescent="0.35">
      <c r="A146" s="5" t="s">
        <v>175</v>
      </c>
      <c r="B146" s="5" t="s">
        <v>176</v>
      </c>
      <c r="C146" s="5" t="s">
        <v>187</v>
      </c>
      <c r="D146" s="5">
        <v>3000042</v>
      </c>
      <c r="E146" s="5">
        <v>3100569</v>
      </c>
      <c r="F146" s="5" t="s">
        <v>177</v>
      </c>
      <c r="G146" s="5" t="s">
        <v>177</v>
      </c>
      <c r="H146" s="5" t="s">
        <v>54</v>
      </c>
      <c r="I146" s="5">
        <v>9926594</v>
      </c>
      <c r="J146" s="6">
        <v>46129</v>
      </c>
      <c r="K146" s="6">
        <v>46129</v>
      </c>
      <c r="L146" s="6">
        <v>46175</v>
      </c>
      <c r="M146" s="7">
        <v>-43</v>
      </c>
      <c r="N146" s="7">
        <v>2158280</v>
      </c>
      <c r="O146" s="7">
        <v>0</v>
      </c>
      <c r="P146" s="7">
        <v>2158280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5" t="s">
        <v>187</v>
      </c>
      <c r="Z146" s="6"/>
      <c r="AA146" s="5" t="s">
        <v>55</v>
      </c>
      <c r="AB146" s="5" t="s">
        <v>51</v>
      </c>
      <c r="AC146" s="5" t="s">
        <v>51</v>
      </c>
      <c r="AD146" s="5" t="s">
        <v>51</v>
      </c>
      <c r="AE146" s="5" t="s">
        <v>201</v>
      </c>
      <c r="AF146" s="5" t="s">
        <v>202</v>
      </c>
    </row>
    <row r="147" spans="1:32" ht="15.65" customHeight="1" x14ac:dyDescent="0.35">
      <c r="A147" s="5" t="s">
        <v>175</v>
      </c>
      <c r="B147" s="5" t="s">
        <v>203</v>
      </c>
      <c r="C147" s="5" t="s">
        <v>47</v>
      </c>
      <c r="D147" s="5">
        <v>3000045</v>
      </c>
      <c r="E147" s="11">
        <v>3000532</v>
      </c>
      <c r="F147" s="11" t="s">
        <v>204</v>
      </c>
      <c r="G147" s="5" t="s">
        <v>205</v>
      </c>
      <c r="H147" s="5" t="s">
        <v>54</v>
      </c>
      <c r="I147" s="5">
        <v>6956504</v>
      </c>
      <c r="J147" s="6">
        <v>46103</v>
      </c>
      <c r="K147" s="6">
        <v>46103</v>
      </c>
      <c r="L147" s="6">
        <v>46103</v>
      </c>
      <c r="M147" s="7">
        <v>29</v>
      </c>
      <c r="N147" s="7">
        <v>-19328638</v>
      </c>
      <c r="O147" s="7">
        <v>-19328638</v>
      </c>
      <c r="P147" s="7">
        <v>0</v>
      </c>
      <c r="Q147" s="7">
        <v>-19328638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5" t="s">
        <v>47</v>
      </c>
      <c r="Z147" s="6"/>
      <c r="AA147" s="5" t="s">
        <v>55</v>
      </c>
      <c r="AB147" s="5" t="s">
        <v>51</v>
      </c>
      <c r="AC147" s="5" t="s">
        <v>51</v>
      </c>
      <c r="AD147" s="5" t="s">
        <v>51</v>
      </c>
      <c r="AE147" s="5" t="s">
        <v>51</v>
      </c>
      <c r="AF147" s="5" t="s">
        <v>56</v>
      </c>
    </row>
    <row r="148" spans="1:32" ht="15.65" customHeight="1" x14ac:dyDescent="0.35">
      <c r="A148" s="5" t="s">
        <v>175</v>
      </c>
      <c r="B148" s="5" t="s">
        <v>203</v>
      </c>
      <c r="C148" s="5" t="s">
        <v>47</v>
      </c>
      <c r="D148" s="5">
        <v>3000045</v>
      </c>
      <c r="E148" s="11">
        <v>3001303</v>
      </c>
      <c r="F148" s="11" t="s">
        <v>204</v>
      </c>
      <c r="G148" s="5" t="s">
        <v>205</v>
      </c>
      <c r="H148" s="5" t="s">
        <v>54</v>
      </c>
      <c r="I148" s="5">
        <v>6956505</v>
      </c>
      <c r="J148" s="6">
        <v>46103</v>
      </c>
      <c r="K148" s="6">
        <v>46103</v>
      </c>
      <c r="L148" s="6">
        <v>46103</v>
      </c>
      <c r="M148" s="7">
        <v>29</v>
      </c>
      <c r="N148" s="7">
        <v>-19321884</v>
      </c>
      <c r="O148" s="7">
        <v>-19321884</v>
      </c>
      <c r="P148" s="7">
        <v>0</v>
      </c>
      <c r="Q148" s="7">
        <v>-19321884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5" t="s">
        <v>47</v>
      </c>
      <c r="Z148" s="6"/>
      <c r="AA148" s="5" t="s">
        <v>55</v>
      </c>
      <c r="AB148" s="5" t="s">
        <v>51</v>
      </c>
      <c r="AC148" s="5" t="s">
        <v>51</v>
      </c>
      <c r="AD148" s="5" t="s">
        <v>51</v>
      </c>
      <c r="AE148" s="5" t="s">
        <v>51</v>
      </c>
      <c r="AF148" s="5" t="s">
        <v>206</v>
      </c>
    </row>
    <row r="149" spans="1:32" ht="15.65" customHeight="1" x14ac:dyDescent="0.35">
      <c r="A149" s="5" t="s">
        <v>175</v>
      </c>
      <c r="B149" s="5" t="s">
        <v>203</v>
      </c>
      <c r="C149" s="5" t="s">
        <v>47</v>
      </c>
      <c r="D149" s="5">
        <v>3000045</v>
      </c>
      <c r="E149" s="11">
        <v>3100585</v>
      </c>
      <c r="F149" s="11" t="s">
        <v>204</v>
      </c>
      <c r="G149" s="5" t="s">
        <v>205</v>
      </c>
      <c r="H149" s="5" t="s">
        <v>54</v>
      </c>
      <c r="I149" s="5">
        <v>6956506</v>
      </c>
      <c r="J149" s="6">
        <v>46103</v>
      </c>
      <c r="K149" s="6">
        <v>46103</v>
      </c>
      <c r="L149" s="6">
        <v>46103</v>
      </c>
      <c r="M149" s="7">
        <v>29</v>
      </c>
      <c r="N149" s="7">
        <v>-49451250</v>
      </c>
      <c r="O149" s="7">
        <v>-49451250</v>
      </c>
      <c r="P149" s="7">
        <v>0</v>
      </c>
      <c r="Q149" s="7">
        <v>-49451250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5" t="s">
        <v>47</v>
      </c>
      <c r="Z149" s="6"/>
      <c r="AA149" s="5" t="s">
        <v>55</v>
      </c>
      <c r="AB149" s="5" t="s">
        <v>51</v>
      </c>
      <c r="AC149" s="5" t="s">
        <v>51</v>
      </c>
      <c r="AD149" s="5" t="s">
        <v>51</v>
      </c>
      <c r="AE149" s="5" t="s">
        <v>51</v>
      </c>
      <c r="AF149" s="5" t="s">
        <v>56</v>
      </c>
    </row>
    <row r="150" spans="1:32" ht="15.65" customHeight="1" x14ac:dyDescent="0.35">
      <c r="A150" s="5" t="s">
        <v>175</v>
      </c>
      <c r="B150" s="5" t="s">
        <v>203</v>
      </c>
      <c r="C150" s="5" t="s">
        <v>47</v>
      </c>
      <c r="D150" s="5">
        <v>3000045</v>
      </c>
      <c r="E150" s="11">
        <v>3000046</v>
      </c>
      <c r="F150" s="11" t="s">
        <v>204</v>
      </c>
      <c r="G150" s="5" t="s">
        <v>205</v>
      </c>
      <c r="H150" s="5" t="s">
        <v>54</v>
      </c>
      <c r="I150" s="5">
        <v>6956520</v>
      </c>
      <c r="J150" s="6">
        <v>46103</v>
      </c>
      <c r="K150" s="6">
        <v>46103</v>
      </c>
      <c r="L150" s="6">
        <v>46103</v>
      </c>
      <c r="M150" s="7">
        <v>29</v>
      </c>
      <c r="N150" s="7">
        <v>-5467625</v>
      </c>
      <c r="O150" s="7">
        <v>-5467625</v>
      </c>
      <c r="P150" s="7">
        <v>0</v>
      </c>
      <c r="Q150" s="7">
        <v>-5467625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5" t="s">
        <v>47</v>
      </c>
      <c r="Z150" s="6"/>
      <c r="AA150" s="5" t="s">
        <v>55</v>
      </c>
      <c r="AB150" s="5" t="s">
        <v>51</v>
      </c>
      <c r="AC150" s="5" t="s">
        <v>51</v>
      </c>
      <c r="AD150" s="5" t="s">
        <v>51</v>
      </c>
      <c r="AE150" s="5" t="s">
        <v>51</v>
      </c>
      <c r="AF150" s="5" t="s">
        <v>207</v>
      </c>
    </row>
    <row r="151" spans="1:32" ht="15.65" customHeight="1" x14ac:dyDescent="0.35">
      <c r="A151" s="5" t="s">
        <v>175</v>
      </c>
      <c r="B151" s="5" t="s">
        <v>203</v>
      </c>
      <c r="C151" s="5" t="s">
        <v>47</v>
      </c>
      <c r="D151" s="5">
        <v>3000045</v>
      </c>
      <c r="E151" s="11">
        <v>3001303</v>
      </c>
      <c r="F151" s="11" t="s">
        <v>204</v>
      </c>
      <c r="G151" s="5" t="s">
        <v>205</v>
      </c>
      <c r="H151" s="5" t="s">
        <v>54</v>
      </c>
      <c r="I151" s="5">
        <v>6956523</v>
      </c>
      <c r="J151" s="6">
        <v>46103</v>
      </c>
      <c r="K151" s="6">
        <v>46103</v>
      </c>
      <c r="L151" s="6">
        <v>46103</v>
      </c>
      <c r="M151" s="7">
        <v>29</v>
      </c>
      <c r="N151" s="7">
        <v>-442000</v>
      </c>
      <c r="O151" s="7">
        <v>-442000</v>
      </c>
      <c r="P151" s="7">
        <v>0</v>
      </c>
      <c r="Q151" s="7">
        <v>-442000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5" t="s">
        <v>47</v>
      </c>
      <c r="Z151" s="6"/>
      <c r="AA151" s="5" t="s">
        <v>55</v>
      </c>
      <c r="AB151" s="5" t="s">
        <v>51</v>
      </c>
      <c r="AC151" s="5" t="s">
        <v>51</v>
      </c>
      <c r="AD151" s="5" t="s">
        <v>51</v>
      </c>
      <c r="AE151" s="5" t="s">
        <v>51</v>
      </c>
      <c r="AF151" s="5" t="s">
        <v>208</v>
      </c>
    </row>
    <row r="152" spans="1:32" ht="15.65" customHeight="1" x14ac:dyDescent="0.35">
      <c r="A152" s="5" t="s">
        <v>175</v>
      </c>
      <c r="B152" s="5" t="s">
        <v>203</v>
      </c>
      <c r="C152" s="5" t="s">
        <v>47</v>
      </c>
      <c r="D152" s="5">
        <v>3000045</v>
      </c>
      <c r="E152" s="11">
        <v>3000046</v>
      </c>
      <c r="F152" s="11" t="s">
        <v>204</v>
      </c>
      <c r="G152" s="5" t="s">
        <v>205</v>
      </c>
      <c r="H152" s="5" t="s">
        <v>54</v>
      </c>
      <c r="I152" s="5">
        <v>6956529</v>
      </c>
      <c r="J152" s="6">
        <v>46105</v>
      </c>
      <c r="K152" s="6">
        <v>46105</v>
      </c>
      <c r="L152" s="6">
        <v>46105</v>
      </c>
      <c r="M152" s="7">
        <v>27</v>
      </c>
      <c r="N152" s="7">
        <v>-6746875</v>
      </c>
      <c r="O152" s="7">
        <v>-6746875</v>
      </c>
      <c r="P152" s="7">
        <v>0</v>
      </c>
      <c r="Q152" s="7">
        <v>-6746875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5" t="s">
        <v>47</v>
      </c>
      <c r="Z152" s="6"/>
      <c r="AA152" s="5" t="s">
        <v>55</v>
      </c>
      <c r="AB152" s="5" t="s">
        <v>51</v>
      </c>
      <c r="AC152" s="5" t="s">
        <v>51</v>
      </c>
      <c r="AD152" s="5" t="s">
        <v>51</v>
      </c>
      <c r="AE152" s="5" t="s">
        <v>51</v>
      </c>
      <c r="AF152" s="5" t="s">
        <v>209</v>
      </c>
    </row>
    <row r="153" spans="1:32" ht="15.65" customHeight="1" x14ac:dyDescent="0.35">
      <c r="A153" s="5" t="s">
        <v>175</v>
      </c>
      <c r="B153" s="5" t="s">
        <v>203</v>
      </c>
      <c r="C153" s="5" t="s">
        <v>47</v>
      </c>
      <c r="D153" s="5">
        <v>3000045</v>
      </c>
      <c r="E153" s="11">
        <v>3001303</v>
      </c>
      <c r="F153" s="11" t="s">
        <v>204</v>
      </c>
      <c r="G153" s="5" t="s">
        <v>205</v>
      </c>
      <c r="H153" s="5" t="s">
        <v>54</v>
      </c>
      <c r="I153" s="5">
        <v>6956530</v>
      </c>
      <c r="J153" s="6">
        <v>46105</v>
      </c>
      <c r="K153" s="6">
        <v>46105</v>
      </c>
      <c r="L153" s="6">
        <v>46105</v>
      </c>
      <c r="M153" s="7">
        <v>27</v>
      </c>
      <c r="N153" s="7">
        <v>-4154375</v>
      </c>
      <c r="O153" s="7">
        <v>-4154375</v>
      </c>
      <c r="P153" s="7">
        <v>0</v>
      </c>
      <c r="Q153" s="7">
        <v>-4154375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5" t="s">
        <v>47</v>
      </c>
      <c r="Z153" s="6"/>
      <c r="AA153" s="5" t="s">
        <v>55</v>
      </c>
      <c r="AB153" s="5" t="s">
        <v>51</v>
      </c>
      <c r="AC153" s="5" t="s">
        <v>51</v>
      </c>
      <c r="AD153" s="5" t="s">
        <v>51</v>
      </c>
      <c r="AE153" s="5" t="s">
        <v>51</v>
      </c>
      <c r="AF153" s="5" t="s">
        <v>210</v>
      </c>
    </row>
    <row r="154" spans="1:32" ht="15.65" customHeight="1" x14ac:dyDescent="0.35">
      <c r="A154" s="5" t="s">
        <v>175</v>
      </c>
      <c r="B154" s="5" t="s">
        <v>203</v>
      </c>
      <c r="C154" s="5" t="s">
        <v>47</v>
      </c>
      <c r="D154" s="5">
        <v>3000045</v>
      </c>
      <c r="E154" s="11">
        <v>3000045</v>
      </c>
      <c r="F154" s="11" t="s">
        <v>204</v>
      </c>
      <c r="G154" s="5" t="s">
        <v>204</v>
      </c>
      <c r="H154" s="5" t="s">
        <v>54</v>
      </c>
      <c r="I154" s="5">
        <v>6956532</v>
      </c>
      <c r="J154" s="6">
        <v>46105</v>
      </c>
      <c r="K154" s="6">
        <v>46105</v>
      </c>
      <c r="L154" s="6">
        <v>46105</v>
      </c>
      <c r="M154" s="7">
        <v>27</v>
      </c>
      <c r="N154" s="7">
        <v>-3291625</v>
      </c>
      <c r="O154" s="7">
        <v>-3291625</v>
      </c>
      <c r="P154" s="7">
        <v>0</v>
      </c>
      <c r="Q154" s="7">
        <v>-3291625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5" t="s">
        <v>47</v>
      </c>
      <c r="Z154" s="6"/>
      <c r="AA154" s="5" t="s">
        <v>55</v>
      </c>
      <c r="AB154" s="5" t="s">
        <v>51</v>
      </c>
      <c r="AC154" s="5" t="s">
        <v>51</v>
      </c>
      <c r="AD154" s="5" t="s">
        <v>51</v>
      </c>
      <c r="AE154" s="5" t="s">
        <v>51</v>
      </c>
      <c r="AF154" s="5" t="s">
        <v>211</v>
      </c>
    </row>
    <row r="155" spans="1:32" ht="15.65" customHeight="1" x14ac:dyDescent="0.35">
      <c r="A155" s="5" t="s">
        <v>175</v>
      </c>
      <c r="B155" s="5" t="s">
        <v>203</v>
      </c>
      <c r="C155" s="5" t="s">
        <v>47</v>
      </c>
      <c r="D155" s="5">
        <v>3000045</v>
      </c>
      <c r="E155" s="5">
        <v>3000532</v>
      </c>
      <c r="F155" s="5" t="s">
        <v>204</v>
      </c>
      <c r="G155" s="5" t="s">
        <v>205</v>
      </c>
      <c r="H155" s="5" t="s">
        <v>54</v>
      </c>
      <c r="I155" s="5">
        <v>6956533</v>
      </c>
      <c r="J155" s="6">
        <v>46105</v>
      </c>
      <c r="K155" s="6">
        <v>46105</v>
      </c>
      <c r="L155" s="6">
        <v>46105</v>
      </c>
      <c r="M155" s="7">
        <v>27</v>
      </c>
      <c r="N155" s="7">
        <v>-3570000</v>
      </c>
      <c r="O155" s="7">
        <v>-3570000</v>
      </c>
      <c r="P155" s="7">
        <v>0</v>
      </c>
      <c r="Q155" s="7">
        <v>-3570000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5" t="s">
        <v>47</v>
      </c>
      <c r="Z155" s="6"/>
      <c r="AA155" s="5" t="s">
        <v>55</v>
      </c>
      <c r="AB155" s="5" t="s">
        <v>51</v>
      </c>
      <c r="AC155" s="5" t="s">
        <v>51</v>
      </c>
      <c r="AD155" s="5" t="s">
        <v>51</v>
      </c>
      <c r="AE155" s="5" t="s">
        <v>51</v>
      </c>
      <c r="AF155" s="5" t="s">
        <v>212</v>
      </c>
    </row>
    <row r="156" spans="1:32" ht="15.65" customHeight="1" x14ac:dyDescent="0.35">
      <c r="A156" s="5" t="s">
        <v>175</v>
      </c>
      <c r="B156" s="5" t="s">
        <v>203</v>
      </c>
      <c r="C156" s="5" t="s">
        <v>47</v>
      </c>
      <c r="D156" s="5">
        <v>3000045</v>
      </c>
      <c r="E156" s="11">
        <v>3100585</v>
      </c>
      <c r="F156" s="11" t="s">
        <v>204</v>
      </c>
      <c r="G156" s="5" t="s">
        <v>205</v>
      </c>
      <c r="H156" s="5" t="s">
        <v>54</v>
      </c>
      <c r="I156" s="5">
        <v>6956536</v>
      </c>
      <c r="J156" s="6">
        <v>46105</v>
      </c>
      <c r="K156" s="6">
        <v>46105</v>
      </c>
      <c r="L156" s="6">
        <v>46105</v>
      </c>
      <c r="M156" s="7">
        <v>27</v>
      </c>
      <c r="N156" s="7">
        <v>-1789250</v>
      </c>
      <c r="O156" s="7">
        <v>-1789250</v>
      </c>
      <c r="P156" s="7">
        <v>0</v>
      </c>
      <c r="Q156" s="7">
        <v>-1789250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5" t="s">
        <v>47</v>
      </c>
      <c r="Z156" s="6"/>
      <c r="AA156" s="5" t="s">
        <v>55</v>
      </c>
      <c r="AB156" s="5" t="s">
        <v>51</v>
      </c>
      <c r="AC156" s="5" t="s">
        <v>51</v>
      </c>
      <c r="AD156" s="5" t="s">
        <v>51</v>
      </c>
      <c r="AE156" s="5" t="s">
        <v>51</v>
      </c>
      <c r="AF156" s="5" t="s">
        <v>213</v>
      </c>
    </row>
    <row r="157" spans="1:32" ht="15.65" customHeight="1" x14ac:dyDescent="0.35">
      <c r="A157" s="5" t="s">
        <v>175</v>
      </c>
      <c r="B157" s="5" t="s">
        <v>203</v>
      </c>
      <c r="C157" s="5" t="s">
        <v>47</v>
      </c>
      <c r="D157" s="5">
        <v>3000045</v>
      </c>
      <c r="E157" s="11">
        <v>3000046</v>
      </c>
      <c r="F157" s="11" t="s">
        <v>204</v>
      </c>
      <c r="G157" s="5" t="s">
        <v>205</v>
      </c>
      <c r="H157" s="5" t="s">
        <v>54</v>
      </c>
      <c r="I157" s="5">
        <v>6956538</v>
      </c>
      <c r="J157" s="6">
        <v>46105</v>
      </c>
      <c r="K157" s="6">
        <v>46105</v>
      </c>
      <c r="L157" s="6">
        <v>46105</v>
      </c>
      <c r="M157" s="7">
        <v>27</v>
      </c>
      <c r="N157" s="7">
        <v>-5499500</v>
      </c>
      <c r="O157" s="7">
        <v>-5499500</v>
      </c>
      <c r="P157" s="7">
        <v>0</v>
      </c>
      <c r="Q157" s="7">
        <v>-5499500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5" t="s">
        <v>47</v>
      </c>
      <c r="Z157" s="6"/>
      <c r="AA157" s="5" t="s">
        <v>55</v>
      </c>
      <c r="AB157" s="5" t="s">
        <v>51</v>
      </c>
      <c r="AC157" s="5" t="s">
        <v>51</v>
      </c>
      <c r="AD157" s="5" t="s">
        <v>51</v>
      </c>
      <c r="AE157" s="5" t="s">
        <v>51</v>
      </c>
      <c r="AF157" s="5" t="s">
        <v>214</v>
      </c>
    </row>
    <row r="158" spans="1:32" ht="15.65" customHeight="1" x14ac:dyDescent="0.35">
      <c r="A158" s="5" t="s">
        <v>175</v>
      </c>
      <c r="B158" s="5" t="s">
        <v>203</v>
      </c>
      <c r="C158" s="5" t="s">
        <v>47</v>
      </c>
      <c r="D158" s="5">
        <v>3000045</v>
      </c>
      <c r="E158" s="11">
        <v>3000045</v>
      </c>
      <c r="F158" s="11" t="s">
        <v>204</v>
      </c>
      <c r="G158" s="5" t="s">
        <v>204</v>
      </c>
      <c r="H158" s="5" t="s">
        <v>54</v>
      </c>
      <c r="I158" s="5">
        <v>6956569</v>
      </c>
      <c r="J158" s="6">
        <v>46105</v>
      </c>
      <c r="K158" s="6">
        <v>46105</v>
      </c>
      <c r="L158" s="6">
        <v>46105</v>
      </c>
      <c r="M158" s="7">
        <v>27</v>
      </c>
      <c r="N158" s="7">
        <v>-7499125</v>
      </c>
      <c r="O158" s="7">
        <v>-7499125</v>
      </c>
      <c r="P158" s="7">
        <v>0</v>
      </c>
      <c r="Q158" s="7">
        <v>-7499125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5" t="s">
        <v>47</v>
      </c>
      <c r="Z158" s="6"/>
      <c r="AA158" s="5" t="s">
        <v>55</v>
      </c>
      <c r="AB158" s="5" t="s">
        <v>51</v>
      </c>
      <c r="AC158" s="5" t="s">
        <v>51</v>
      </c>
      <c r="AD158" s="5" t="s">
        <v>51</v>
      </c>
      <c r="AE158" s="5" t="s">
        <v>51</v>
      </c>
      <c r="AF158" s="5" t="s">
        <v>214</v>
      </c>
    </row>
    <row r="159" spans="1:32" ht="15.65" customHeight="1" x14ac:dyDescent="0.35">
      <c r="A159" s="5" t="s">
        <v>175</v>
      </c>
      <c r="B159" s="5" t="s">
        <v>203</v>
      </c>
      <c r="C159" s="5" t="s">
        <v>47</v>
      </c>
      <c r="D159" s="5">
        <v>3000045</v>
      </c>
      <c r="E159" s="5">
        <v>3000532</v>
      </c>
      <c r="F159" s="5" t="s">
        <v>204</v>
      </c>
      <c r="G159" s="5" t="s">
        <v>205</v>
      </c>
      <c r="H159" s="5" t="s">
        <v>54</v>
      </c>
      <c r="I159" s="5">
        <v>6956570</v>
      </c>
      <c r="J159" s="6">
        <v>46105</v>
      </c>
      <c r="K159" s="6">
        <v>46105</v>
      </c>
      <c r="L159" s="6">
        <v>46105</v>
      </c>
      <c r="M159" s="7">
        <v>27</v>
      </c>
      <c r="N159" s="7">
        <v>-459000</v>
      </c>
      <c r="O159" s="7">
        <v>-459000</v>
      </c>
      <c r="P159" s="7">
        <v>0</v>
      </c>
      <c r="Q159" s="7">
        <v>-459000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5" t="s">
        <v>47</v>
      </c>
      <c r="Z159" s="6"/>
      <c r="AA159" s="5" t="s">
        <v>55</v>
      </c>
      <c r="AB159" s="5" t="s">
        <v>51</v>
      </c>
      <c r="AC159" s="5" t="s">
        <v>51</v>
      </c>
      <c r="AD159" s="5" t="s">
        <v>51</v>
      </c>
      <c r="AE159" s="5" t="s">
        <v>51</v>
      </c>
      <c r="AF159" s="5" t="s">
        <v>215</v>
      </c>
    </row>
    <row r="160" spans="1:32" ht="15.65" customHeight="1" x14ac:dyDescent="0.35">
      <c r="A160" s="5" t="s">
        <v>175</v>
      </c>
      <c r="B160" s="5" t="s">
        <v>203</v>
      </c>
      <c r="C160" s="5" t="s">
        <v>47</v>
      </c>
      <c r="D160" s="5">
        <v>3000045</v>
      </c>
      <c r="E160" s="11">
        <v>3001303</v>
      </c>
      <c r="F160" s="11" t="s">
        <v>204</v>
      </c>
      <c r="G160" s="5" t="s">
        <v>205</v>
      </c>
      <c r="H160" s="5" t="s">
        <v>54</v>
      </c>
      <c r="I160" s="5">
        <v>6956577</v>
      </c>
      <c r="J160" s="6">
        <v>46105</v>
      </c>
      <c r="K160" s="6">
        <v>46105</v>
      </c>
      <c r="L160" s="6">
        <v>46105</v>
      </c>
      <c r="M160" s="7">
        <v>27</v>
      </c>
      <c r="N160" s="7">
        <v>-427125</v>
      </c>
      <c r="O160" s="7">
        <v>-427125</v>
      </c>
      <c r="P160" s="7">
        <v>0</v>
      </c>
      <c r="Q160" s="7">
        <v>-427125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5" t="s">
        <v>47</v>
      </c>
      <c r="Z160" s="6"/>
      <c r="AA160" s="5" t="s">
        <v>55</v>
      </c>
      <c r="AB160" s="5" t="s">
        <v>51</v>
      </c>
      <c r="AC160" s="5" t="s">
        <v>51</v>
      </c>
      <c r="AD160" s="5" t="s">
        <v>51</v>
      </c>
      <c r="AE160" s="5" t="s">
        <v>51</v>
      </c>
      <c r="AF160" s="5" t="s">
        <v>214</v>
      </c>
    </row>
    <row r="161" spans="1:32" ht="15.65" customHeight="1" x14ac:dyDescent="0.35">
      <c r="A161" s="5" t="s">
        <v>175</v>
      </c>
      <c r="B161" s="5" t="s">
        <v>203</v>
      </c>
      <c r="C161" s="5" t="s">
        <v>47</v>
      </c>
      <c r="D161" s="5">
        <v>3000045</v>
      </c>
      <c r="E161" s="11">
        <v>3001303</v>
      </c>
      <c r="F161" s="11" t="s">
        <v>204</v>
      </c>
      <c r="G161" s="5" t="s">
        <v>205</v>
      </c>
      <c r="H161" s="5" t="s">
        <v>54</v>
      </c>
      <c r="I161" s="5">
        <v>6956578</v>
      </c>
      <c r="J161" s="6">
        <v>46105</v>
      </c>
      <c r="K161" s="6">
        <v>46105</v>
      </c>
      <c r="L161" s="6">
        <v>46105</v>
      </c>
      <c r="M161" s="7">
        <v>27</v>
      </c>
      <c r="N161" s="7">
        <v>-1530000</v>
      </c>
      <c r="O161" s="7">
        <v>-1530000</v>
      </c>
      <c r="P161" s="7">
        <v>0</v>
      </c>
      <c r="Q161" s="7">
        <v>-1530000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5" t="s">
        <v>47</v>
      </c>
      <c r="Z161" s="6"/>
      <c r="AA161" s="5" t="s">
        <v>55</v>
      </c>
      <c r="AB161" s="5" t="s">
        <v>51</v>
      </c>
      <c r="AC161" s="5" t="s">
        <v>51</v>
      </c>
      <c r="AD161" s="5" t="s">
        <v>51</v>
      </c>
      <c r="AE161" s="5" t="s">
        <v>51</v>
      </c>
      <c r="AF161" s="5" t="s">
        <v>216</v>
      </c>
    </row>
    <row r="162" spans="1:32" ht="15.65" customHeight="1" x14ac:dyDescent="0.35">
      <c r="A162" s="5" t="s">
        <v>175</v>
      </c>
      <c r="B162" s="5" t="s">
        <v>203</v>
      </c>
      <c r="C162" s="5" t="s">
        <v>47</v>
      </c>
      <c r="D162" s="5">
        <v>3000045</v>
      </c>
      <c r="E162" s="11">
        <v>3100585</v>
      </c>
      <c r="F162" s="11" t="s">
        <v>204</v>
      </c>
      <c r="G162" s="5" t="s">
        <v>205</v>
      </c>
      <c r="H162" s="5" t="s">
        <v>54</v>
      </c>
      <c r="I162" s="5">
        <v>6956582</v>
      </c>
      <c r="J162" s="6">
        <v>46105</v>
      </c>
      <c r="K162" s="6">
        <v>46105</v>
      </c>
      <c r="L162" s="6">
        <v>46105</v>
      </c>
      <c r="M162" s="7">
        <v>27</v>
      </c>
      <c r="N162" s="7">
        <v>-46750</v>
      </c>
      <c r="O162" s="7">
        <v>-46750</v>
      </c>
      <c r="P162" s="7">
        <v>0</v>
      </c>
      <c r="Q162" s="7">
        <v>-46750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5" t="s">
        <v>47</v>
      </c>
      <c r="Z162" s="6"/>
      <c r="AA162" s="5" t="s">
        <v>55</v>
      </c>
      <c r="AB162" s="5" t="s">
        <v>51</v>
      </c>
      <c r="AC162" s="5" t="s">
        <v>51</v>
      </c>
      <c r="AD162" s="5" t="s">
        <v>51</v>
      </c>
      <c r="AE162" s="5" t="s">
        <v>51</v>
      </c>
      <c r="AF162" s="5" t="s">
        <v>215</v>
      </c>
    </row>
    <row r="163" spans="1:32" ht="15.65" customHeight="1" x14ac:dyDescent="0.35">
      <c r="A163" s="5" t="s">
        <v>175</v>
      </c>
      <c r="B163" s="5" t="s">
        <v>203</v>
      </c>
      <c r="C163" s="5" t="s">
        <v>47</v>
      </c>
      <c r="D163" s="5">
        <v>3000045</v>
      </c>
      <c r="E163" s="5">
        <v>3000045</v>
      </c>
      <c r="F163" s="5" t="s">
        <v>204</v>
      </c>
      <c r="G163" s="5" t="s">
        <v>204</v>
      </c>
      <c r="H163" s="5" t="s">
        <v>54</v>
      </c>
      <c r="I163" s="5">
        <v>6956596</v>
      </c>
      <c r="J163" s="6">
        <v>46105</v>
      </c>
      <c r="K163" s="6">
        <v>46105</v>
      </c>
      <c r="L163" s="6">
        <v>46105</v>
      </c>
      <c r="M163" s="7">
        <v>27</v>
      </c>
      <c r="N163" s="7">
        <v>-81423000</v>
      </c>
      <c r="O163" s="7">
        <v>-81423000</v>
      </c>
      <c r="P163" s="7">
        <v>0</v>
      </c>
      <c r="Q163" s="7">
        <v>-81423000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5" t="s">
        <v>47</v>
      </c>
      <c r="Z163" s="6"/>
      <c r="AA163" s="5" t="s">
        <v>55</v>
      </c>
      <c r="AB163" s="5" t="s">
        <v>51</v>
      </c>
      <c r="AC163" s="5" t="s">
        <v>51</v>
      </c>
      <c r="AD163" s="5" t="s">
        <v>51</v>
      </c>
      <c r="AE163" s="5" t="s">
        <v>51</v>
      </c>
      <c r="AF163" s="5" t="s">
        <v>217</v>
      </c>
    </row>
    <row r="164" spans="1:32" ht="15.65" customHeight="1" x14ac:dyDescent="0.35">
      <c r="A164" s="5" t="s">
        <v>175</v>
      </c>
      <c r="B164" s="5" t="s">
        <v>203</v>
      </c>
      <c r="C164" s="5" t="s">
        <v>47</v>
      </c>
      <c r="D164" s="5">
        <v>3000045</v>
      </c>
      <c r="E164" s="11">
        <v>3000045</v>
      </c>
      <c r="F164" s="11" t="s">
        <v>204</v>
      </c>
      <c r="G164" s="5" t="s">
        <v>204</v>
      </c>
      <c r="H164" s="5" t="s">
        <v>54</v>
      </c>
      <c r="I164" s="5">
        <v>6956597</v>
      </c>
      <c r="J164" s="6">
        <v>46105</v>
      </c>
      <c r="K164" s="6">
        <v>46105</v>
      </c>
      <c r="L164" s="6">
        <v>46105</v>
      </c>
      <c r="M164" s="7">
        <v>27</v>
      </c>
      <c r="N164" s="7">
        <v>-27141000</v>
      </c>
      <c r="O164" s="7">
        <v>-27141000</v>
      </c>
      <c r="P164" s="7">
        <v>0</v>
      </c>
      <c r="Q164" s="7">
        <v>-27141000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5" t="s">
        <v>47</v>
      </c>
      <c r="Z164" s="6"/>
      <c r="AA164" s="5" t="s">
        <v>55</v>
      </c>
      <c r="AB164" s="5" t="s">
        <v>51</v>
      </c>
      <c r="AC164" s="5" t="s">
        <v>51</v>
      </c>
      <c r="AD164" s="5" t="s">
        <v>51</v>
      </c>
      <c r="AE164" s="5" t="s">
        <v>51</v>
      </c>
      <c r="AF164" s="5" t="s">
        <v>217</v>
      </c>
    </row>
    <row r="165" spans="1:32" ht="15.65" customHeight="1" x14ac:dyDescent="0.35">
      <c r="A165" s="5" t="s">
        <v>175</v>
      </c>
      <c r="B165" s="5" t="s">
        <v>203</v>
      </c>
      <c r="C165" s="5" t="s">
        <v>47</v>
      </c>
      <c r="D165" s="5">
        <v>3000045</v>
      </c>
      <c r="E165" s="11">
        <v>3000045</v>
      </c>
      <c r="F165" s="11" t="s">
        <v>204</v>
      </c>
      <c r="G165" s="5" t="s">
        <v>204</v>
      </c>
      <c r="H165" s="5" t="s">
        <v>54</v>
      </c>
      <c r="I165" s="5">
        <v>6956598</v>
      </c>
      <c r="J165" s="6">
        <v>46105</v>
      </c>
      <c r="K165" s="6">
        <v>46105</v>
      </c>
      <c r="L165" s="6">
        <v>46105</v>
      </c>
      <c r="M165" s="7">
        <v>27</v>
      </c>
      <c r="N165" s="7">
        <v>-13570500</v>
      </c>
      <c r="O165" s="7">
        <v>-13570500</v>
      </c>
      <c r="P165" s="7">
        <v>0</v>
      </c>
      <c r="Q165" s="7">
        <v>-13570500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5" t="s">
        <v>47</v>
      </c>
      <c r="Z165" s="6"/>
      <c r="AA165" s="5" t="s">
        <v>55</v>
      </c>
      <c r="AB165" s="5" t="s">
        <v>51</v>
      </c>
      <c r="AC165" s="5" t="s">
        <v>51</v>
      </c>
      <c r="AD165" s="5" t="s">
        <v>51</v>
      </c>
      <c r="AE165" s="5" t="s">
        <v>51</v>
      </c>
      <c r="AF165" s="5" t="s">
        <v>217</v>
      </c>
    </row>
    <row r="166" spans="1:32" ht="15.65" customHeight="1" x14ac:dyDescent="0.35">
      <c r="A166" s="5" t="s">
        <v>175</v>
      </c>
      <c r="B166" s="5" t="s">
        <v>203</v>
      </c>
      <c r="C166" s="5" t="s">
        <v>47</v>
      </c>
      <c r="D166" s="5">
        <v>3000045</v>
      </c>
      <c r="E166" s="11">
        <v>3000045</v>
      </c>
      <c r="F166" s="11" t="s">
        <v>204</v>
      </c>
      <c r="G166" s="5" t="s">
        <v>204</v>
      </c>
      <c r="H166" s="5" t="s">
        <v>54</v>
      </c>
      <c r="I166" s="5">
        <v>6956599</v>
      </c>
      <c r="J166" s="6">
        <v>46105</v>
      </c>
      <c r="K166" s="6">
        <v>46105</v>
      </c>
      <c r="L166" s="6">
        <v>46105</v>
      </c>
      <c r="M166" s="7">
        <v>27</v>
      </c>
      <c r="N166" s="7">
        <v>-40711500</v>
      </c>
      <c r="O166" s="7">
        <v>-40711500</v>
      </c>
      <c r="P166" s="7">
        <v>0</v>
      </c>
      <c r="Q166" s="7">
        <v>-40711500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5" t="s">
        <v>47</v>
      </c>
      <c r="Z166" s="6"/>
      <c r="AA166" s="5" t="s">
        <v>55</v>
      </c>
      <c r="AB166" s="5" t="s">
        <v>51</v>
      </c>
      <c r="AC166" s="5" t="s">
        <v>51</v>
      </c>
      <c r="AD166" s="5" t="s">
        <v>51</v>
      </c>
      <c r="AE166" s="5" t="s">
        <v>51</v>
      </c>
      <c r="AF166" s="5" t="s">
        <v>217</v>
      </c>
    </row>
    <row r="167" spans="1:32" ht="15.65" customHeight="1" x14ac:dyDescent="0.35">
      <c r="A167" s="5" t="s">
        <v>175</v>
      </c>
      <c r="B167" s="5" t="s">
        <v>203</v>
      </c>
      <c r="C167" s="5" t="s">
        <v>47</v>
      </c>
      <c r="D167" s="5">
        <v>3000045</v>
      </c>
      <c r="E167" s="5">
        <v>3000045</v>
      </c>
      <c r="F167" s="5" t="s">
        <v>204</v>
      </c>
      <c r="G167" s="5" t="s">
        <v>204</v>
      </c>
      <c r="H167" s="5" t="s">
        <v>54</v>
      </c>
      <c r="I167" s="5">
        <v>6956600</v>
      </c>
      <c r="J167" s="6">
        <v>46105</v>
      </c>
      <c r="K167" s="6">
        <v>46105</v>
      </c>
      <c r="L167" s="6">
        <v>46105</v>
      </c>
      <c r="M167" s="7">
        <v>27</v>
      </c>
      <c r="N167" s="7">
        <v>-40711500</v>
      </c>
      <c r="O167" s="7">
        <v>-40711500</v>
      </c>
      <c r="P167" s="7">
        <v>0</v>
      </c>
      <c r="Q167" s="7">
        <v>-40711500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5" t="s">
        <v>47</v>
      </c>
      <c r="Z167" s="6"/>
      <c r="AA167" s="5" t="s">
        <v>55</v>
      </c>
      <c r="AB167" s="5" t="s">
        <v>51</v>
      </c>
      <c r="AC167" s="5" t="s">
        <v>51</v>
      </c>
      <c r="AD167" s="5" t="s">
        <v>51</v>
      </c>
      <c r="AE167" s="5" t="s">
        <v>51</v>
      </c>
      <c r="AF167" s="5" t="s">
        <v>217</v>
      </c>
    </row>
    <row r="168" spans="1:32" ht="15.65" customHeight="1" x14ac:dyDescent="0.35">
      <c r="A168" s="5" t="s">
        <v>175</v>
      </c>
      <c r="B168" s="5" t="s">
        <v>203</v>
      </c>
      <c r="C168" s="5" t="s">
        <v>47</v>
      </c>
      <c r="D168" s="5">
        <v>3000045</v>
      </c>
      <c r="E168" s="11">
        <v>3000046</v>
      </c>
      <c r="F168" s="11" t="s">
        <v>204</v>
      </c>
      <c r="G168" s="5" t="s">
        <v>205</v>
      </c>
      <c r="H168" s="5" t="s">
        <v>54</v>
      </c>
      <c r="I168" s="5">
        <v>6956601</v>
      </c>
      <c r="J168" s="6">
        <v>46105</v>
      </c>
      <c r="K168" s="6">
        <v>46105</v>
      </c>
      <c r="L168" s="6">
        <v>46105</v>
      </c>
      <c r="M168" s="7">
        <v>27</v>
      </c>
      <c r="N168" s="7">
        <v>-1960000</v>
      </c>
      <c r="O168" s="7">
        <v>-1960000</v>
      </c>
      <c r="P168" s="7">
        <v>0</v>
      </c>
      <c r="Q168" s="7">
        <v>-1960000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5" t="s">
        <v>47</v>
      </c>
      <c r="Z168" s="6"/>
      <c r="AA168" s="5" t="s">
        <v>55</v>
      </c>
      <c r="AB168" s="5" t="s">
        <v>51</v>
      </c>
      <c r="AC168" s="5" t="s">
        <v>51</v>
      </c>
      <c r="AD168" s="5" t="s">
        <v>51</v>
      </c>
      <c r="AE168" s="5" t="s">
        <v>51</v>
      </c>
      <c r="AF168" s="5" t="s">
        <v>218</v>
      </c>
    </row>
    <row r="169" spans="1:32" ht="15.65" customHeight="1" x14ac:dyDescent="0.35">
      <c r="A169" s="5" t="s">
        <v>175</v>
      </c>
      <c r="B169" s="5" t="s">
        <v>203</v>
      </c>
      <c r="C169" s="5" t="s">
        <v>47</v>
      </c>
      <c r="D169" s="5">
        <v>3000045</v>
      </c>
      <c r="E169" s="11">
        <v>3000045</v>
      </c>
      <c r="F169" s="11" t="s">
        <v>204</v>
      </c>
      <c r="G169" s="5" t="s">
        <v>204</v>
      </c>
      <c r="H169" s="5" t="s">
        <v>54</v>
      </c>
      <c r="I169" s="5">
        <v>6956612</v>
      </c>
      <c r="J169" s="6">
        <v>46105</v>
      </c>
      <c r="K169" s="6">
        <v>46105</v>
      </c>
      <c r="L169" s="6">
        <v>46105</v>
      </c>
      <c r="M169" s="7">
        <v>27</v>
      </c>
      <c r="N169" s="7">
        <v>-2020000</v>
      </c>
      <c r="O169" s="7">
        <v>-2020000</v>
      </c>
      <c r="P169" s="7">
        <v>0</v>
      </c>
      <c r="Q169" s="7">
        <v>-2020000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5" t="s">
        <v>47</v>
      </c>
      <c r="Z169" s="6"/>
      <c r="AA169" s="5" t="s">
        <v>55</v>
      </c>
      <c r="AB169" s="5" t="s">
        <v>51</v>
      </c>
      <c r="AC169" s="5" t="s">
        <v>51</v>
      </c>
      <c r="AD169" s="5" t="s">
        <v>51</v>
      </c>
      <c r="AE169" s="5" t="s">
        <v>51</v>
      </c>
      <c r="AF169" s="5" t="s">
        <v>219</v>
      </c>
    </row>
    <row r="170" spans="1:32" ht="15.65" customHeight="1" x14ac:dyDescent="0.35">
      <c r="A170" s="5" t="s">
        <v>175</v>
      </c>
      <c r="B170" s="5" t="s">
        <v>203</v>
      </c>
      <c r="C170" s="5" t="s">
        <v>47</v>
      </c>
      <c r="D170" s="5">
        <v>3000045</v>
      </c>
      <c r="E170" s="11">
        <v>3000045</v>
      </c>
      <c r="F170" s="11" t="s">
        <v>204</v>
      </c>
      <c r="G170" s="5" t="s">
        <v>204</v>
      </c>
      <c r="H170" s="5" t="s">
        <v>54</v>
      </c>
      <c r="I170" s="5">
        <v>6956613</v>
      </c>
      <c r="J170" s="6">
        <v>46105</v>
      </c>
      <c r="K170" s="6">
        <v>46105</v>
      </c>
      <c r="L170" s="6">
        <v>46105</v>
      </c>
      <c r="M170" s="7">
        <v>27</v>
      </c>
      <c r="N170" s="7">
        <v>-1010000</v>
      </c>
      <c r="O170" s="7">
        <v>-1010000</v>
      </c>
      <c r="P170" s="7">
        <v>0</v>
      </c>
      <c r="Q170" s="7">
        <v>-1010000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5" t="s">
        <v>47</v>
      </c>
      <c r="Z170" s="6"/>
      <c r="AA170" s="5" t="s">
        <v>55</v>
      </c>
      <c r="AB170" s="5" t="s">
        <v>51</v>
      </c>
      <c r="AC170" s="5" t="s">
        <v>51</v>
      </c>
      <c r="AD170" s="5" t="s">
        <v>51</v>
      </c>
      <c r="AE170" s="5" t="s">
        <v>51</v>
      </c>
      <c r="AF170" s="5" t="s">
        <v>219</v>
      </c>
    </row>
    <row r="171" spans="1:32" ht="15.65" customHeight="1" x14ac:dyDescent="0.35">
      <c r="A171" s="5" t="s">
        <v>175</v>
      </c>
      <c r="B171" s="5" t="s">
        <v>203</v>
      </c>
      <c r="C171" s="5" t="s">
        <v>47</v>
      </c>
      <c r="D171" s="5">
        <v>3000045</v>
      </c>
      <c r="E171" s="5">
        <v>3000046</v>
      </c>
      <c r="F171" s="5" t="s">
        <v>204</v>
      </c>
      <c r="G171" s="5" t="s">
        <v>205</v>
      </c>
      <c r="H171" s="5" t="s">
        <v>54</v>
      </c>
      <c r="I171" s="5">
        <v>6956614</v>
      </c>
      <c r="J171" s="6">
        <v>46105</v>
      </c>
      <c r="K171" s="6">
        <v>46105</v>
      </c>
      <c r="L171" s="6">
        <v>46105</v>
      </c>
      <c r="M171" s="7">
        <v>27</v>
      </c>
      <c r="N171" s="7">
        <v>-74083500</v>
      </c>
      <c r="O171" s="7">
        <v>-74083500</v>
      </c>
      <c r="P171" s="7">
        <v>0</v>
      </c>
      <c r="Q171" s="7">
        <v>-74083500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5" t="s">
        <v>47</v>
      </c>
      <c r="Z171" s="6"/>
      <c r="AA171" s="5" t="s">
        <v>55</v>
      </c>
      <c r="AB171" s="5" t="s">
        <v>51</v>
      </c>
      <c r="AC171" s="5" t="s">
        <v>51</v>
      </c>
      <c r="AD171" s="5" t="s">
        <v>51</v>
      </c>
      <c r="AE171" s="5" t="s">
        <v>51</v>
      </c>
      <c r="AF171" s="5" t="s">
        <v>220</v>
      </c>
    </row>
    <row r="172" spans="1:32" ht="15.65" customHeight="1" x14ac:dyDescent="0.35">
      <c r="A172" s="5" t="s">
        <v>175</v>
      </c>
      <c r="B172" s="5" t="s">
        <v>203</v>
      </c>
      <c r="C172" s="5" t="s">
        <v>47</v>
      </c>
      <c r="D172" s="5">
        <v>3000045</v>
      </c>
      <c r="E172" s="11">
        <v>3000046</v>
      </c>
      <c r="F172" s="11" t="s">
        <v>204</v>
      </c>
      <c r="G172" s="5" t="s">
        <v>205</v>
      </c>
      <c r="H172" s="5" t="s">
        <v>54</v>
      </c>
      <c r="I172" s="5">
        <v>6956646</v>
      </c>
      <c r="J172" s="6">
        <v>46105</v>
      </c>
      <c r="K172" s="6">
        <v>46105</v>
      </c>
      <c r="L172" s="6">
        <v>46105</v>
      </c>
      <c r="M172" s="7">
        <v>27</v>
      </c>
      <c r="N172" s="7">
        <v>-7043</v>
      </c>
      <c r="O172" s="7">
        <v>-7043</v>
      </c>
      <c r="P172" s="7">
        <v>0</v>
      </c>
      <c r="Q172" s="7">
        <v>-7043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5" t="s">
        <v>47</v>
      </c>
      <c r="Z172" s="6"/>
      <c r="AA172" s="5" t="s">
        <v>55</v>
      </c>
      <c r="AB172" s="5" t="s">
        <v>51</v>
      </c>
      <c r="AC172" s="5" t="s">
        <v>51</v>
      </c>
      <c r="AD172" s="5" t="s">
        <v>51</v>
      </c>
      <c r="AE172" s="5" t="s">
        <v>51</v>
      </c>
      <c r="AF172" s="5" t="s">
        <v>221</v>
      </c>
    </row>
    <row r="173" spans="1:32" ht="15.65" customHeight="1" x14ac:dyDescent="0.35">
      <c r="A173" s="5" t="s">
        <v>175</v>
      </c>
      <c r="B173" s="5" t="s">
        <v>203</v>
      </c>
      <c r="C173" s="5" t="s">
        <v>47</v>
      </c>
      <c r="D173" s="5">
        <v>3000045</v>
      </c>
      <c r="E173" s="11">
        <v>3000046</v>
      </c>
      <c r="F173" s="11" t="s">
        <v>204</v>
      </c>
      <c r="G173" s="5" t="s">
        <v>205</v>
      </c>
      <c r="H173" s="5" t="s">
        <v>54</v>
      </c>
      <c r="I173" s="5">
        <v>6956720</v>
      </c>
      <c r="J173" s="6">
        <v>46106</v>
      </c>
      <c r="K173" s="6">
        <v>46106</v>
      </c>
      <c r="L173" s="6">
        <v>46106</v>
      </c>
      <c r="M173" s="7">
        <v>26</v>
      </c>
      <c r="N173" s="7">
        <v>-1903650</v>
      </c>
      <c r="O173" s="7">
        <v>-1903650</v>
      </c>
      <c r="P173" s="7">
        <v>0</v>
      </c>
      <c r="Q173" s="7">
        <v>-1903650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5" t="s">
        <v>47</v>
      </c>
      <c r="Z173" s="6"/>
      <c r="AA173" s="5" t="s">
        <v>55</v>
      </c>
      <c r="AB173" s="5" t="s">
        <v>51</v>
      </c>
      <c r="AC173" s="5" t="s">
        <v>51</v>
      </c>
      <c r="AD173" s="5" t="s">
        <v>51</v>
      </c>
      <c r="AE173" s="5" t="s">
        <v>51</v>
      </c>
      <c r="AF173" s="5" t="s">
        <v>222</v>
      </c>
    </row>
    <row r="174" spans="1:32" ht="15.65" customHeight="1" x14ac:dyDescent="0.35">
      <c r="A174" s="5" t="s">
        <v>175</v>
      </c>
      <c r="B174" s="5" t="s">
        <v>203</v>
      </c>
      <c r="C174" s="5" t="s">
        <v>47</v>
      </c>
      <c r="D174" s="5">
        <v>3000045</v>
      </c>
      <c r="E174" s="11">
        <v>3000046</v>
      </c>
      <c r="F174" s="11" t="s">
        <v>204</v>
      </c>
      <c r="G174" s="5" t="s">
        <v>205</v>
      </c>
      <c r="H174" s="5" t="s">
        <v>54</v>
      </c>
      <c r="I174" s="5">
        <v>6956721</v>
      </c>
      <c r="J174" s="6">
        <v>46106</v>
      </c>
      <c r="K174" s="6">
        <v>46106</v>
      </c>
      <c r="L174" s="6">
        <v>46106</v>
      </c>
      <c r="M174" s="7">
        <v>26</v>
      </c>
      <c r="N174" s="7">
        <v>-543900</v>
      </c>
      <c r="O174" s="7">
        <v>-543900</v>
      </c>
      <c r="P174" s="7">
        <v>0</v>
      </c>
      <c r="Q174" s="7">
        <v>-543900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5" t="s">
        <v>47</v>
      </c>
      <c r="Z174" s="6"/>
      <c r="AA174" s="5" t="s">
        <v>55</v>
      </c>
      <c r="AB174" s="5" t="s">
        <v>51</v>
      </c>
      <c r="AC174" s="5" t="s">
        <v>51</v>
      </c>
      <c r="AD174" s="5" t="s">
        <v>51</v>
      </c>
      <c r="AE174" s="5" t="s">
        <v>51</v>
      </c>
      <c r="AF174" s="5" t="s">
        <v>222</v>
      </c>
    </row>
    <row r="175" spans="1:32" ht="15.65" customHeight="1" x14ac:dyDescent="0.35">
      <c r="A175" s="5" t="s">
        <v>175</v>
      </c>
      <c r="B175" s="5" t="s">
        <v>203</v>
      </c>
      <c r="C175" s="5" t="s">
        <v>47</v>
      </c>
      <c r="D175" s="5">
        <v>3000045</v>
      </c>
      <c r="E175" s="11">
        <v>3000046</v>
      </c>
      <c r="F175" s="11" t="s">
        <v>204</v>
      </c>
      <c r="G175" s="5" t="s">
        <v>205</v>
      </c>
      <c r="H175" s="5" t="s">
        <v>54</v>
      </c>
      <c r="I175" s="5">
        <v>6956722</v>
      </c>
      <c r="J175" s="6">
        <v>46106</v>
      </c>
      <c r="K175" s="6">
        <v>46106</v>
      </c>
      <c r="L175" s="6">
        <v>46106</v>
      </c>
      <c r="M175" s="7">
        <v>26</v>
      </c>
      <c r="N175" s="7">
        <v>-271950</v>
      </c>
      <c r="O175" s="7">
        <v>-271950</v>
      </c>
      <c r="P175" s="7">
        <v>0</v>
      </c>
      <c r="Q175" s="7">
        <v>-271950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5" t="s">
        <v>47</v>
      </c>
      <c r="Z175" s="6"/>
      <c r="AA175" s="5" t="s">
        <v>55</v>
      </c>
      <c r="AB175" s="5" t="s">
        <v>51</v>
      </c>
      <c r="AC175" s="5" t="s">
        <v>51</v>
      </c>
      <c r="AD175" s="5" t="s">
        <v>51</v>
      </c>
      <c r="AE175" s="5" t="s">
        <v>51</v>
      </c>
      <c r="AF175" s="5" t="s">
        <v>222</v>
      </c>
    </row>
    <row r="176" spans="1:32" ht="15.65" customHeight="1" x14ac:dyDescent="0.35">
      <c r="A176" s="5" t="s">
        <v>175</v>
      </c>
      <c r="B176" s="5" t="s">
        <v>203</v>
      </c>
      <c r="C176" s="5" t="s">
        <v>47</v>
      </c>
      <c r="D176" s="5">
        <v>3000045</v>
      </c>
      <c r="E176" s="11">
        <v>3000046</v>
      </c>
      <c r="F176" s="11" t="s">
        <v>204</v>
      </c>
      <c r="G176" s="5" t="s">
        <v>205</v>
      </c>
      <c r="H176" s="5" t="s">
        <v>54</v>
      </c>
      <c r="I176" s="5">
        <v>6956723</v>
      </c>
      <c r="J176" s="6">
        <v>46106</v>
      </c>
      <c r="K176" s="6">
        <v>46106</v>
      </c>
      <c r="L176" s="6">
        <v>46106</v>
      </c>
      <c r="M176" s="7">
        <v>26</v>
      </c>
      <c r="N176" s="7">
        <v>-271950</v>
      </c>
      <c r="O176" s="7">
        <v>-271950</v>
      </c>
      <c r="P176" s="7">
        <v>0</v>
      </c>
      <c r="Q176" s="7">
        <v>-271950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5" t="s">
        <v>47</v>
      </c>
      <c r="Z176" s="6"/>
      <c r="AA176" s="5" t="s">
        <v>55</v>
      </c>
      <c r="AB176" s="5" t="s">
        <v>51</v>
      </c>
      <c r="AC176" s="5" t="s">
        <v>51</v>
      </c>
      <c r="AD176" s="5" t="s">
        <v>51</v>
      </c>
      <c r="AE176" s="5" t="s">
        <v>51</v>
      </c>
      <c r="AF176" s="5" t="s">
        <v>222</v>
      </c>
    </row>
    <row r="177" spans="1:32" ht="15.65" customHeight="1" x14ac:dyDescent="0.35">
      <c r="A177" s="5" t="s">
        <v>175</v>
      </c>
      <c r="B177" s="5" t="s">
        <v>203</v>
      </c>
      <c r="C177" s="5" t="s">
        <v>47</v>
      </c>
      <c r="D177" s="5">
        <v>3000045</v>
      </c>
      <c r="E177" s="11">
        <v>3000046</v>
      </c>
      <c r="F177" s="11" t="s">
        <v>204</v>
      </c>
      <c r="G177" s="5" t="s">
        <v>205</v>
      </c>
      <c r="H177" s="5" t="s">
        <v>54</v>
      </c>
      <c r="I177" s="5">
        <v>6956724</v>
      </c>
      <c r="J177" s="6">
        <v>46106</v>
      </c>
      <c r="K177" s="6">
        <v>46106</v>
      </c>
      <c r="L177" s="6">
        <v>46106</v>
      </c>
      <c r="M177" s="7">
        <v>26</v>
      </c>
      <c r="N177" s="7">
        <v>-1087800</v>
      </c>
      <c r="O177" s="7">
        <v>-1087800</v>
      </c>
      <c r="P177" s="7">
        <v>0</v>
      </c>
      <c r="Q177" s="7">
        <v>-1087800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5" t="s">
        <v>47</v>
      </c>
      <c r="Z177" s="6"/>
      <c r="AA177" s="5" t="s">
        <v>55</v>
      </c>
      <c r="AB177" s="5" t="s">
        <v>51</v>
      </c>
      <c r="AC177" s="5" t="s">
        <v>51</v>
      </c>
      <c r="AD177" s="5" t="s">
        <v>51</v>
      </c>
      <c r="AE177" s="5" t="s">
        <v>51</v>
      </c>
      <c r="AF177" s="5" t="s">
        <v>222</v>
      </c>
    </row>
    <row r="178" spans="1:32" ht="15.65" customHeight="1" x14ac:dyDescent="0.35">
      <c r="A178" s="5" t="s">
        <v>175</v>
      </c>
      <c r="B178" s="5" t="s">
        <v>203</v>
      </c>
      <c r="C178" s="5" t="s">
        <v>47</v>
      </c>
      <c r="D178" s="5">
        <v>3000045</v>
      </c>
      <c r="E178" s="11">
        <v>3000046</v>
      </c>
      <c r="F178" s="11" t="s">
        <v>204</v>
      </c>
      <c r="G178" s="5" t="s">
        <v>205</v>
      </c>
      <c r="H178" s="5" t="s">
        <v>54</v>
      </c>
      <c r="I178" s="5">
        <v>6956725</v>
      </c>
      <c r="J178" s="6">
        <v>46106</v>
      </c>
      <c r="K178" s="6">
        <v>46106</v>
      </c>
      <c r="L178" s="6">
        <v>46106</v>
      </c>
      <c r="M178" s="7">
        <v>26</v>
      </c>
      <c r="N178" s="7">
        <v>-543900</v>
      </c>
      <c r="O178" s="7">
        <v>-543900</v>
      </c>
      <c r="P178" s="7">
        <v>0</v>
      </c>
      <c r="Q178" s="7">
        <v>-543900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5" t="s">
        <v>47</v>
      </c>
      <c r="Z178" s="6"/>
      <c r="AA178" s="5" t="s">
        <v>55</v>
      </c>
      <c r="AB178" s="5" t="s">
        <v>51</v>
      </c>
      <c r="AC178" s="5" t="s">
        <v>51</v>
      </c>
      <c r="AD178" s="5" t="s">
        <v>51</v>
      </c>
      <c r="AE178" s="5" t="s">
        <v>51</v>
      </c>
      <c r="AF178" s="5" t="s">
        <v>222</v>
      </c>
    </row>
    <row r="179" spans="1:32" ht="15.65" customHeight="1" x14ac:dyDescent="0.35">
      <c r="A179" s="5" t="s">
        <v>175</v>
      </c>
      <c r="B179" s="5" t="s">
        <v>203</v>
      </c>
      <c r="C179" s="5" t="s">
        <v>47</v>
      </c>
      <c r="D179" s="5">
        <v>3000045</v>
      </c>
      <c r="E179" s="11">
        <v>3000046</v>
      </c>
      <c r="F179" s="11" t="s">
        <v>204</v>
      </c>
      <c r="G179" s="5" t="s">
        <v>205</v>
      </c>
      <c r="H179" s="5" t="s">
        <v>54</v>
      </c>
      <c r="I179" s="5">
        <v>6956726</v>
      </c>
      <c r="J179" s="6">
        <v>46106</v>
      </c>
      <c r="K179" s="6">
        <v>46106</v>
      </c>
      <c r="L179" s="6">
        <v>46106</v>
      </c>
      <c r="M179" s="7">
        <v>26</v>
      </c>
      <c r="N179" s="7">
        <v>-543900</v>
      </c>
      <c r="O179" s="7">
        <v>-543900</v>
      </c>
      <c r="P179" s="7">
        <v>0</v>
      </c>
      <c r="Q179" s="7">
        <v>-543900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5" t="s">
        <v>47</v>
      </c>
      <c r="Z179" s="6"/>
      <c r="AA179" s="5" t="s">
        <v>55</v>
      </c>
      <c r="AB179" s="5" t="s">
        <v>51</v>
      </c>
      <c r="AC179" s="5" t="s">
        <v>51</v>
      </c>
      <c r="AD179" s="5" t="s">
        <v>51</v>
      </c>
      <c r="AE179" s="5" t="s">
        <v>51</v>
      </c>
      <c r="AF179" s="5" t="s">
        <v>222</v>
      </c>
    </row>
    <row r="180" spans="1:32" ht="15.65" customHeight="1" x14ac:dyDescent="0.35">
      <c r="A180" s="5" t="s">
        <v>175</v>
      </c>
      <c r="B180" s="5" t="s">
        <v>203</v>
      </c>
      <c r="C180" s="5" t="s">
        <v>47</v>
      </c>
      <c r="D180" s="5">
        <v>3000045</v>
      </c>
      <c r="E180" s="5">
        <v>3000045</v>
      </c>
      <c r="F180" s="5" t="s">
        <v>204</v>
      </c>
      <c r="G180" s="5" t="s">
        <v>204</v>
      </c>
      <c r="H180" s="5" t="s">
        <v>54</v>
      </c>
      <c r="I180" s="5">
        <v>6956907</v>
      </c>
      <c r="J180" s="6">
        <v>46106</v>
      </c>
      <c r="K180" s="6">
        <v>46106</v>
      </c>
      <c r="L180" s="6">
        <v>46106</v>
      </c>
      <c r="M180" s="7">
        <v>26</v>
      </c>
      <c r="N180" s="7">
        <v>-359609</v>
      </c>
      <c r="O180" s="7">
        <v>-359609</v>
      </c>
      <c r="P180" s="7">
        <v>0</v>
      </c>
      <c r="Q180" s="7">
        <v>-359609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5" t="s">
        <v>47</v>
      </c>
      <c r="Z180" s="6"/>
      <c r="AA180" s="5" t="s">
        <v>55</v>
      </c>
      <c r="AB180" s="5" t="s">
        <v>51</v>
      </c>
      <c r="AC180" s="5" t="s">
        <v>51</v>
      </c>
      <c r="AD180" s="5" t="s">
        <v>51</v>
      </c>
      <c r="AE180" s="5" t="s">
        <v>51</v>
      </c>
      <c r="AF180" s="5" t="s">
        <v>223</v>
      </c>
    </row>
    <row r="181" spans="1:32" ht="15.65" customHeight="1" x14ac:dyDescent="0.35">
      <c r="A181" s="5" t="s">
        <v>175</v>
      </c>
      <c r="B181" s="5" t="s">
        <v>203</v>
      </c>
      <c r="C181" s="5" t="s">
        <v>47</v>
      </c>
      <c r="D181" s="5">
        <v>3000045</v>
      </c>
      <c r="E181" s="11">
        <v>3000046</v>
      </c>
      <c r="F181" s="11" t="s">
        <v>204</v>
      </c>
      <c r="G181" s="5" t="s">
        <v>205</v>
      </c>
      <c r="H181" s="5" t="s">
        <v>54</v>
      </c>
      <c r="I181" s="5">
        <v>6957298</v>
      </c>
      <c r="J181" s="6">
        <v>46106</v>
      </c>
      <c r="K181" s="6">
        <v>46106</v>
      </c>
      <c r="L181" s="6">
        <v>46106</v>
      </c>
      <c r="M181" s="7">
        <v>26</v>
      </c>
      <c r="N181" s="7">
        <v>-4590000</v>
      </c>
      <c r="O181" s="7">
        <v>-4590000</v>
      </c>
      <c r="P181" s="7">
        <v>0</v>
      </c>
      <c r="Q181" s="7">
        <v>-4590000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5" t="s">
        <v>47</v>
      </c>
      <c r="Z181" s="6"/>
      <c r="AA181" s="5" t="s">
        <v>55</v>
      </c>
      <c r="AB181" s="5" t="s">
        <v>51</v>
      </c>
      <c r="AC181" s="5" t="s">
        <v>51</v>
      </c>
      <c r="AD181" s="5" t="s">
        <v>51</v>
      </c>
      <c r="AE181" s="5" t="s">
        <v>51</v>
      </c>
      <c r="AF181" s="5" t="s">
        <v>224</v>
      </c>
    </row>
    <row r="182" spans="1:32" ht="15.65" customHeight="1" x14ac:dyDescent="0.35">
      <c r="A182" s="5" t="s">
        <v>175</v>
      </c>
      <c r="B182" s="5" t="s">
        <v>203</v>
      </c>
      <c r="C182" s="5" t="s">
        <v>47</v>
      </c>
      <c r="D182" s="5">
        <v>3000045</v>
      </c>
      <c r="E182" s="11">
        <v>3000046</v>
      </c>
      <c r="F182" s="11" t="s">
        <v>204</v>
      </c>
      <c r="G182" s="5" t="s">
        <v>205</v>
      </c>
      <c r="H182" s="5" t="s">
        <v>54</v>
      </c>
      <c r="I182" s="5">
        <v>6957299</v>
      </c>
      <c r="J182" s="6">
        <v>46106</v>
      </c>
      <c r="K182" s="6">
        <v>46106</v>
      </c>
      <c r="L182" s="6">
        <v>46106</v>
      </c>
      <c r="M182" s="7">
        <v>26</v>
      </c>
      <c r="N182" s="7">
        <v>-5734737</v>
      </c>
      <c r="O182" s="7">
        <v>-5734737</v>
      </c>
      <c r="P182" s="7">
        <v>0</v>
      </c>
      <c r="Q182" s="7">
        <v>-5734737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5" t="s">
        <v>47</v>
      </c>
      <c r="Z182" s="6"/>
      <c r="AA182" s="5" t="s">
        <v>55</v>
      </c>
      <c r="AB182" s="5" t="s">
        <v>51</v>
      </c>
      <c r="AC182" s="5" t="s">
        <v>51</v>
      </c>
      <c r="AD182" s="5" t="s">
        <v>51</v>
      </c>
      <c r="AE182" s="5" t="s">
        <v>51</v>
      </c>
      <c r="AF182" s="5" t="s">
        <v>225</v>
      </c>
    </row>
    <row r="183" spans="1:32" ht="15.65" customHeight="1" x14ac:dyDescent="0.35">
      <c r="A183" s="5" t="s">
        <v>175</v>
      </c>
      <c r="B183" s="5" t="s">
        <v>203</v>
      </c>
      <c r="C183" s="5" t="s">
        <v>47</v>
      </c>
      <c r="D183" s="5">
        <v>3000045</v>
      </c>
      <c r="E183" s="11">
        <v>3001303</v>
      </c>
      <c r="F183" s="11" t="s">
        <v>204</v>
      </c>
      <c r="G183" s="5" t="s">
        <v>205</v>
      </c>
      <c r="H183" s="5" t="s">
        <v>54</v>
      </c>
      <c r="I183" s="5">
        <v>6957301</v>
      </c>
      <c r="J183" s="6">
        <v>46106</v>
      </c>
      <c r="K183" s="6">
        <v>46106</v>
      </c>
      <c r="L183" s="6">
        <v>46106</v>
      </c>
      <c r="M183" s="7">
        <v>26</v>
      </c>
      <c r="N183" s="7">
        <v>-2178337</v>
      </c>
      <c r="O183" s="7">
        <v>-2178337</v>
      </c>
      <c r="P183" s="7">
        <v>0</v>
      </c>
      <c r="Q183" s="7">
        <v>-2178337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5" t="s">
        <v>47</v>
      </c>
      <c r="Z183" s="6"/>
      <c r="AA183" s="5" t="s">
        <v>55</v>
      </c>
      <c r="AB183" s="5" t="s">
        <v>51</v>
      </c>
      <c r="AC183" s="5" t="s">
        <v>51</v>
      </c>
      <c r="AD183" s="5" t="s">
        <v>51</v>
      </c>
      <c r="AE183" s="5" t="s">
        <v>51</v>
      </c>
      <c r="AF183" s="5" t="s">
        <v>226</v>
      </c>
    </row>
    <row r="184" spans="1:32" ht="15.65" customHeight="1" x14ac:dyDescent="0.35">
      <c r="A184" s="5" t="s">
        <v>175</v>
      </c>
      <c r="B184" s="5" t="s">
        <v>203</v>
      </c>
      <c r="C184" s="5" t="s">
        <v>47</v>
      </c>
      <c r="D184" s="5">
        <v>3000045</v>
      </c>
      <c r="E184" s="11">
        <v>3100585</v>
      </c>
      <c r="F184" s="11" t="s">
        <v>204</v>
      </c>
      <c r="G184" s="5" t="s">
        <v>205</v>
      </c>
      <c r="H184" s="5" t="s">
        <v>54</v>
      </c>
      <c r="I184" s="5">
        <v>6957304</v>
      </c>
      <c r="J184" s="6">
        <v>46106</v>
      </c>
      <c r="K184" s="6">
        <v>46106</v>
      </c>
      <c r="L184" s="6">
        <v>46106</v>
      </c>
      <c r="M184" s="7">
        <v>26</v>
      </c>
      <c r="N184" s="7">
        <v>-850000</v>
      </c>
      <c r="O184" s="7">
        <v>-850000</v>
      </c>
      <c r="P184" s="7">
        <v>0</v>
      </c>
      <c r="Q184" s="7">
        <v>-850000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5" t="s">
        <v>47</v>
      </c>
      <c r="Z184" s="6"/>
      <c r="AA184" s="5" t="s">
        <v>55</v>
      </c>
      <c r="AB184" s="5" t="s">
        <v>51</v>
      </c>
      <c r="AC184" s="5" t="s">
        <v>51</v>
      </c>
      <c r="AD184" s="5" t="s">
        <v>51</v>
      </c>
      <c r="AE184" s="5" t="s">
        <v>51</v>
      </c>
      <c r="AF184" s="5" t="s">
        <v>227</v>
      </c>
    </row>
    <row r="185" spans="1:32" ht="15.65" customHeight="1" x14ac:dyDescent="0.35">
      <c r="A185" s="5" t="s">
        <v>175</v>
      </c>
      <c r="B185" s="5" t="s">
        <v>203</v>
      </c>
      <c r="C185" s="5" t="s">
        <v>47</v>
      </c>
      <c r="D185" s="5">
        <v>3000045</v>
      </c>
      <c r="E185" s="11">
        <v>3000045</v>
      </c>
      <c r="F185" s="11" t="s">
        <v>204</v>
      </c>
      <c r="G185" s="5" t="s">
        <v>204</v>
      </c>
      <c r="H185" s="5" t="s">
        <v>54</v>
      </c>
      <c r="I185" s="5">
        <v>6957306</v>
      </c>
      <c r="J185" s="6">
        <v>46106</v>
      </c>
      <c r="K185" s="6">
        <v>46106</v>
      </c>
      <c r="L185" s="6">
        <v>46106</v>
      </c>
      <c r="M185" s="7">
        <v>26</v>
      </c>
      <c r="N185" s="7">
        <v>-5664400</v>
      </c>
      <c r="O185" s="7">
        <v>-5664400</v>
      </c>
      <c r="P185" s="7">
        <v>0</v>
      </c>
      <c r="Q185" s="7">
        <v>-5664400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5" t="s">
        <v>47</v>
      </c>
      <c r="Z185" s="6"/>
      <c r="AA185" s="5" t="s">
        <v>55</v>
      </c>
      <c r="AB185" s="5" t="s">
        <v>51</v>
      </c>
      <c r="AC185" s="5" t="s">
        <v>51</v>
      </c>
      <c r="AD185" s="5" t="s">
        <v>51</v>
      </c>
      <c r="AE185" s="5" t="s">
        <v>51</v>
      </c>
      <c r="AF185" s="5" t="s">
        <v>228</v>
      </c>
    </row>
    <row r="186" spans="1:32" ht="15.65" customHeight="1" x14ac:dyDescent="0.35">
      <c r="A186" s="5" t="s">
        <v>175</v>
      </c>
      <c r="B186" s="5" t="s">
        <v>203</v>
      </c>
      <c r="C186" s="5" t="s">
        <v>47</v>
      </c>
      <c r="D186" s="5">
        <v>3000045</v>
      </c>
      <c r="E186" s="11">
        <v>3000045</v>
      </c>
      <c r="F186" s="11" t="s">
        <v>204</v>
      </c>
      <c r="G186" s="5" t="s">
        <v>204</v>
      </c>
      <c r="H186" s="5" t="s">
        <v>54</v>
      </c>
      <c r="I186" s="5">
        <v>6957307</v>
      </c>
      <c r="J186" s="6">
        <v>46106</v>
      </c>
      <c r="K186" s="6">
        <v>46106</v>
      </c>
      <c r="L186" s="6">
        <v>46106</v>
      </c>
      <c r="M186" s="7">
        <v>26</v>
      </c>
      <c r="N186" s="7">
        <v>-5391550</v>
      </c>
      <c r="O186" s="7">
        <v>-5391550</v>
      </c>
      <c r="P186" s="7">
        <v>0</v>
      </c>
      <c r="Q186" s="7">
        <v>-5391550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5" t="s">
        <v>47</v>
      </c>
      <c r="Z186" s="6"/>
      <c r="AA186" s="5" t="s">
        <v>55</v>
      </c>
      <c r="AB186" s="5" t="s">
        <v>51</v>
      </c>
      <c r="AC186" s="5" t="s">
        <v>51</v>
      </c>
      <c r="AD186" s="5" t="s">
        <v>51</v>
      </c>
      <c r="AE186" s="5" t="s">
        <v>51</v>
      </c>
      <c r="AF186" s="5" t="s">
        <v>229</v>
      </c>
    </row>
    <row r="187" spans="1:32" ht="15.65" customHeight="1" x14ac:dyDescent="0.35">
      <c r="A187" s="5" t="s">
        <v>175</v>
      </c>
      <c r="B187" s="5" t="s">
        <v>203</v>
      </c>
      <c r="C187" s="5" t="s">
        <v>47</v>
      </c>
      <c r="D187" s="5">
        <v>3000045</v>
      </c>
      <c r="E187" s="11">
        <v>3000046</v>
      </c>
      <c r="F187" s="11" t="s">
        <v>204</v>
      </c>
      <c r="G187" s="5" t="s">
        <v>205</v>
      </c>
      <c r="H187" s="5" t="s">
        <v>54</v>
      </c>
      <c r="I187" s="5">
        <v>6957308</v>
      </c>
      <c r="J187" s="6">
        <v>46106</v>
      </c>
      <c r="K187" s="6">
        <v>46106</v>
      </c>
      <c r="L187" s="6">
        <v>46106</v>
      </c>
      <c r="M187" s="7">
        <v>26</v>
      </c>
      <c r="N187" s="7">
        <v>-2668575</v>
      </c>
      <c r="O187" s="7">
        <v>-2668575</v>
      </c>
      <c r="P187" s="7">
        <v>0</v>
      </c>
      <c r="Q187" s="7">
        <v>-2668575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5" t="s">
        <v>47</v>
      </c>
      <c r="Z187" s="6"/>
      <c r="AA187" s="5" t="s">
        <v>55</v>
      </c>
      <c r="AB187" s="5" t="s">
        <v>51</v>
      </c>
      <c r="AC187" s="5" t="s">
        <v>51</v>
      </c>
      <c r="AD187" s="5" t="s">
        <v>51</v>
      </c>
      <c r="AE187" s="5" t="s">
        <v>51</v>
      </c>
      <c r="AF187" s="5" t="s">
        <v>230</v>
      </c>
    </row>
    <row r="188" spans="1:32" ht="15.65" customHeight="1" x14ac:dyDescent="0.35">
      <c r="A188" s="5" t="s">
        <v>175</v>
      </c>
      <c r="B188" s="5" t="s">
        <v>203</v>
      </c>
      <c r="C188" s="5" t="s">
        <v>47</v>
      </c>
      <c r="D188" s="5">
        <v>3000045</v>
      </c>
      <c r="E188" s="11">
        <v>3000046</v>
      </c>
      <c r="F188" s="11" t="s">
        <v>204</v>
      </c>
      <c r="G188" s="5" t="s">
        <v>205</v>
      </c>
      <c r="H188" s="5" t="s">
        <v>54</v>
      </c>
      <c r="I188" s="5">
        <v>6957309</v>
      </c>
      <c r="J188" s="6">
        <v>46106</v>
      </c>
      <c r="K188" s="6">
        <v>46106</v>
      </c>
      <c r="L188" s="6">
        <v>46106</v>
      </c>
      <c r="M188" s="7">
        <v>26</v>
      </c>
      <c r="N188" s="7">
        <v>-5628275</v>
      </c>
      <c r="O188" s="7">
        <v>-5628275</v>
      </c>
      <c r="P188" s="7">
        <v>0</v>
      </c>
      <c r="Q188" s="7">
        <v>-5628275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5" t="s">
        <v>47</v>
      </c>
      <c r="Z188" s="6"/>
      <c r="AA188" s="5" t="s">
        <v>55</v>
      </c>
      <c r="AB188" s="5" t="s">
        <v>51</v>
      </c>
      <c r="AC188" s="5" t="s">
        <v>51</v>
      </c>
      <c r="AD188" s="5" t="s">
        <v>51</v>
      </c>
      <c r="AE188" s="5" t="s">
        <v>51</v>
      </c>
      <c r="AF188" s="5" t="s">
        <v>231</v>
      </c>
    </row>
    <row r="189" spans="1:32" ht="15.65" customHeight="1" x14ac:dyDescent="0.35">
      <c r="A189" s="5" t="s">
        <v>175</v>
      </c>
      <c r="B189" s="5" t="s">
        <v>203</v>
      </c>
      <c r="C189" s="5" t="s">
        <v>47</v>
      </c>
      <c r="D189" s="5">
        <v>3000045</v>
      </c>
      <c r="E189" s="11">
        <v>3000532</v>
      </c>
      <c r="F189" s="11" t="s">
        <v>204</v>
      </c>
      <c r="G189" s="5" t="s">
        <v>205</v>
      </c>
      <c r="H189" s="5" t="s">
        <v>54</v>
      </c>
      <c r="I189" s="5">
        <v>6957310</v>
      </c>
      <c r="J189" s="6">
        <v>46106</v>
      </c>
      <c r="K189" s="6">
        <v>46106</v>
      </c>
      <c r="L189" s="6">
        <v>46106</v>
      </c>
      <c r="M189" s="7">
        <v>26</v>
      </c>
      <c r="N189" s="7">
        <v>-2349825</v>
      </c>
      <c r="O189" s="7">
        <v>-2349825</v>
      </c>
      <c r="P189" s="7">
        <v>0</v>
      </c>
      <c r="Q189" s="7">
        <v>-2349825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5" t="s">
        <v>47</v>
      </c>
      <c r="Z189" s="6"/>
      <c r="AA189" s="5" t="s">
        <v>55</v>
      </c>
      <c r="AB189" s="5" t="s">
        <v>51</v>
      </c>
      <c r="AC189" s="5" t="s">
        <v>51</v>
      </c>
      <c r="AD189" s="5" t="s">
        <v>51</v>
      </c>
      <c r="AE189" s="5" t="s">
        <v>51</v>
      </c>
      <c r="AF189" s="5" t="s">
        <v>232</v>
      </c>
    </row>
    <row r="190" spans="1:32" ht="15.65" customHeight="1" x14ac:dyDescent="0.35">
      <c r="A190" s="5" t="s">
        <v>175</v>
      </c>
      <c r="B190" s="5" t="s">
        <v>203</v>
      </c>
      <c r="C190" s="5" t="s">
        <v>47</v>
      </c>
      <c r="D190" s="5">
        <v>3000045</v>
      </c>
      <c r="E190" s="11">
        <v>3001303</v>
      </c>
      <c r="F190" s="11" t="s">
        <v>204</v>
      </c>
      <c r="G190" s="5" t="s">
        <v>205</v>
      </c>
      <c r="H190" s="5" t="s">
        <v>54</v>
      </c>
      <c r="I190" s="5">
        <v>6957311</v>
      </c>
      <c r="J190" s="6">
        <v>46106</v>
      </c>
      <c r="K190" s="6">
        <v>46106</v>
      </c>
      <c r="L190" s="6">
        <v>46106</v>
      </c>
      <c r="M190" s="7">
        <v>26</v>
      </c>
      <c r="N190" s="7">
        <v>-544850</v>
      </c>
      <c r="O190" s="7">
        <v>-544850</v>
      </c>
      <c r="P190" s="7">
        <v>0</v>
      </c>
      <c r="Q190" s="7">
        <v>-544850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5" t="s">
        <v>47</v>
      </c>
      <c r="Z190" s="6"/>
      <c r="AA190" s="5" t="s">
        <v>55</v>
      </c>
      <c r="AB190" s="5" t="s">
        <v>51</v>
      </c>
      <c r="AC190" s="5" t="s">
        <v>51</v>
      </c>
      <c r="AD190" s="5" t="s">
        <v>51</v>
      </c>
      <c r="AE190" s="5" t="s">
        <v>51</v>
      </c>
      <c r="AF190" s="5" t="s">
        <v>233</v>
      </c>
    </row>
    <row r="191" spans="1:32" ht="15.65" customHeight="1" x14ac:dyDescent="0.35">
      <c r="A191" s="5" t="s">
        <v>175</v>
      </c>
      <c r="B191" s="5" t="s">
        <v>203</v>
      </c>
      <c r="C191" s="5" t="s">
        <v>47</v>
      </c>
      <c r="D191" s="5">
        <v>3000045</v>
      </c>
      <c r="E191" s="11">
        <v>3100585</v>
      </c>
      <c r="F191" s="11" t="s">
        <v>204</v>
      </c>
      <c r="G191" s="5" t="s">
        <v>205</v>
      </c>
      <c r="H191" s="5" t="s">
        <v>54</v>
      </c>
      <c r="I191" s="5">
        <v>6957312</v>
      </c>
      <c r="J191" s="6">
        <v>46106</v>
      </c>
      <c r="K191" s="6">
        <v>46106</v>
      </c>
      <c r="L191" s="6">
        <v>46106</v>
      </c>
      <c r="M191" s="7">
        <v>26</v>
      </c>
      <c r="N191" s="7">
        <v>-1916750</v>
      </c>
      <c r="O191" s="7">
        <v>-1916750</v>
      </c>
      <c r="P191" s="7">
        <v>0</v>
      </c>
      <c r="Q191" s="7">
        <v>-1916750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5" t="s">
        <v>47</v>
      </c>
      <c r="Z191" s="6"/>
      <c r="AA191" s="5" t="s">
        <v>55</v>
      </c>
      <c r="AB191" s="5" t="s">
        <v>51</v>
      </c>
      <c r="AC191" s="5" t="s">
        <v>51</v>
      </c>
      <c r="AD191" s="5" t="s">
        <v>51</v>
      </c>
      <c r="AE191" s="5" t="s">
        <v>51</v>
      </c>
      <c r="AF191" s="5" t="s">
        <v>232</v>
      </c>
    </row>
    <row r="192" spans="1:32" ht="15.65" customHeight="1" x14ac:dyDescent="0.35">
      <c r="A192" s="5" t="s">
        <v>175</v>
      </c>
      <c r="B192" s="5" t="s">
        <v>203</v>
      </c>
      <c r="C192" s="5" t="s">
        <v>47</v>
      </c>
      <c r="D192" s="5">
        <v>3000045</v>
      </c>
      <c r="E192" s="11">
        <v>3000045</v>
      </c>
      <c r="F192" s="11" t="s">
        <v>204</v>
      </c>
      <c r="G192" s="5" t="s">
        <v>204</v>
      </c>
      <c r="H192" s="5" t="s">
        <v>54</v>
      </c>
      <c r="I192" s="5">
        <v>6957316</v>
      </c>
      <c r="J192" s="6">
        <v>46106</v>
      </c>
      <c r="K192" s="6">
        <v>46106</v>
      </c>
      <c r="L192" s="6">
        <v>46106</v>
      </c>
      <c r="M192" s="7">
        <v>26</v>
      </c>
      <c r="N192" s="7">
        <v>-18553658</v>
      </c>
      <c r="O192" s="7">
        <v>-18553658</v>
      </c>
      <c r="P192" s="7">
        <v>0</v>
      </c>
      <c r="Q192" s="7">
        <v>-18553658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5" t="s">
        <v>47</v>
      </c>
      <c r="Z192" s="6"/>
      <c r="AA192" s="5" t="s">
        <v>55</v>
      </c>
      <c r="AB192" s="5" t="s">
        <v>51</v>
      </c>
      <c r="AC192" s="5" t="s">
        <v>51</v>
      </c>
      <c r="AD192" s="5" t="s">
        <v>51</v>
      </c>
      <c r="AE192" s="5" t="s">
        <v>51</v>
      </c>
      <c r="AF192" s="5" t="s">
        <v>234</v>
      </c>
    </row>
    <row r="193" spans="1:32" ht="15.65" customHeight="1" x14ac:dyDescent="0.35">
      <c r="A193" s="5" t="s">
        <v>175</v>
      </c>
      <c r="B193" s="5" t="s">
        <v>203</v>
      </c>
      <c r="C193" s="5" t="s">
        <v>47</v>
      </c>
      <c r="D193" s="5">
        <v>3000045</v>
      </c>
      <c r="E193" s="5">
        <v>3000045</v>
      </c>
      <c r="F193" s="5" t="s">
        <v>204</v>
      </c>
      <c r="G193" s="5" t="s">
        <v>204</v>
      </c>
      <c r="H193" s="5" t="s">
        <v>54</v>
      </c>
      <c r="I193" s="5">
        <v>6957317</v>
      </c>
      <c r="J193" s="6">
        <v>46106</v>
      </c>
      <c r="K193" s="6">
        <v>46106</v>
      </c>
      <c r="L193" s="6">
        <v>46106</v>
      </c>
      <c r="M193" s="7">
        <v>26</v>
      </c>
      <c r="N193" s="7">
        <v>-4545000</v>
      </c>
      <c r="O193" s="7">
        <v>-4545000</v>
      </c>
      <c r="P193" s="7">
        <v>0</v>
      </c>
      <c r="Q193" s="7">
        <v>-4545000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5" t="s">
        <v>47</v>
      </c>
      <c r="Z193" s="6"/>
      <c r="AA193" s="5" t="s">
        <v>55</v>
      </c>
      <c r="AB193" s="5" t="s">
        <v>51</v>
      </c>
      <c r="AC193" s="5" t="s">
        <v>51</v>
      </c>
      <c r="AD193" s="5" t="s">
        <v>51</v>
      </c>
      <c r="AE193" s="5" t="s">
        <v>51</v>
      </c>
      <c r="AF193" s="5" t="s">
        <v>235</v>
      </c>
    </row>
    <row r="194" spans="1:32" ht="15.65" customHeight="1" x14ac:dyDescent="0.35">
      <c r="A194" s="5" t="s">
        <v>175</v>
      </c>
      <c r="B194" s="5" t="s">
        <v>203</v>
      </c>
      <c r="C194" s="5" t="s">
        <v>47</v>
      </c>
      <c r="D194" s="5">
        <v>3000045</v>
      </c>
      <c r="E194" s="11">
        <v>3000045</v>
      </c>
      <c r="F194" s="11" t="s">
        <v>204</v>
      </c>
      <c r="G194" s="5" t="s">
        <v>204</v>
      </c>
      <c r="H194" s="5" t="s">
        <v>54</v>
      </c>
      <c r="I194" s="5">
        <v>6957318</v>
      </c>
      <c r="J194" s="6">
        <v>46106</v>
      </c>
      <c r="K194" s="6">
        <v>46106</v>
      </c>
      <c r="L194" s="6">
        <v>46106</v>
      </c>
      <c r="M194" s="7">
        <v>26</v>
      </c>
      <c r="N194" s="7">
        <v>-3636000</v>
      </c>
      <c r="O194" s="7">
        <v>-3636000</v>
      </c>
      <c r="P194" s="7">
        <v>0</v>
      </c>
      <c r="Q194" s="7">
        <v>-3636000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5" t="s">
        <v>47</v>
      </c>
      <c r="Z194" s="6"/>
      <c r="AA194" s="5" t="s">
        <v>55</v>
      </c>
      <c r="AB194" s="5" t="s">
        <v>51</v>
      </c>
      <c r="AC194" s="5" t="s">
        <v>51</v>
      </c>
      <c r="AD194" s="5" t="s">
        <v>51</v>
      </c>
      <c r="AE194" s="5" t="s">
        <v>51</v>
      </c>
      <c r="AF194" s="5" t="s">
        <v>236</v>
      </c>
    </row>
    <row r="195" spans="1:32" ht="15.65" customHeight="1" x14ac:dyDescent="0.35">
      <c r="A195" s="5" t="s">
        <v>175</v>
      </c>
      <c r="B195" s="5" t="s">
        <v>203</v>
      </c>
      <c r="C195" s="5" t="s">
        <v>47</v>
      </c>
      <c r="D195" s="5">
        <v>3000045</v>
      </c>
      <c r="E195" s="11">
        <v>3000532</v>
      </c>
      <c r="F195" s="11" t="s">
        <v>204</v>
      </c>
      <c r="G195" s="5" t="s">
        <v>205</v>
      </c>
      <c r="H195" s="5" t="s">
        <v>54</v>
      </c>
      <c r="I195" s="5">
        <v>6957320</v>
      </c>
      <c r="J195" s="6">
        <v>46106</v>
      </c>
      <c r="K195" s="6">
        <v>46106</v>
      </c>
      <c r="L195" s="6">
        <v>46106</v>
      </c>
      <c r="M195" s="7">
        <v>26</v>
      </c>
      <c r="N195" s="7">
        <v>-1212950</v>
      </c>
      <c r="O195" s="7">
        <v>-1212950</v>
      </c>
      <c r="P195" s="7">
        <v>0</v>
      </c>
      <c r="Q195" s="7">
        <v>-1212950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5" t="s">
        <v>47</v>
      </c>
      <c r="Z195" s="6"/>
      <c r="AA195" s="5" t="s">
        <v>55</v>
      </c>
      <c r="AB195" s="5" t="s">
        <v>51</v>
      </c>
      <c r="AC195" s="5" t="s">
        <v>51</v>
      </c>
      <c r="AD195" s="5" t="s">
        <v>51</v>
      </c>
      <c r="AE195" s="5" t="s">
        <v>51</v>
      </c>
      <c r="AF195" s="5" t="s">
        <v>237</v>
      </c>
    </row>
    <row r="196" spans="1:32" ht="15.65" customHeight="1" x14ac:dyDescent="0.35">
      <c r="A196" s="5" t="s">
        <v>175</v>
      </c>
      <c r="B196" s="5" t="s">
        <v>203</v>
      </c>
      <c r="C196" s="5" t="s">
        <v>47</v>
      </c>
      <c r="D196" s="5">
        <v>3000045</v>
      </c>
      <c r="E196" s="11">
        <v>3100585</v>
      </c>
      <c r="F196" s="11" t="s">
        <v>204</v>
      </c>
      <c r="G196" s="5" t="s">
        <v>205</v>
      </c>
      <c r="H196" s="5" t="s">
        <v>54</v>
      </c>
      <c r="I196" s="5">
        <v>6957335</v>
      </c>
      <c r="J196" s="6">
        <v>46106</v>
      </c>
      <c r="K196" s="6">
        <v>46106</v>
      </c>
      <c r="L196" s="6">
        <v>46106</v>
      </c>
      <c r="M196" s="7">
        <v>26</v>
      </c>
      <c r="N196" s="7">
        <v>-199750</v>
      </c>
      <c r="O196" s="7">
        <v>-199750</v>
      </c>
      <c r="P196" s="7">
        <v>0</v>
      </c>
      <c r="Q196" s="7">
        <v>-199750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5" t="s">
        <v>47</v>
      </c>
      <c r="Z196" s="6"/>
      <c r="AA196" s="5" t="s">
        <v>55</v>
      </c>
      <c r="AB196" s="5" t="s">
        <v>51</v>
      </c>
      <c r="AC196" s="5" t="s">
        <v>51</v>
      </c>
      <c r="AD196" s="5" t="s">
        <v>51</v>
      </c>
      <c r="AE196" s="5" t="s">
        <v>51</v>
      </c>
      <c r="AF196" s="5" t="s">
        <v>237</v>
      </c>
    </row>
    <row r="197" spans="1:32" ht="15.65" customHeight="1" x14ac:dyDescent="0.35">
      <c r="A197" s="5" t="s">
        <v>175</v>
      </c>
      <c r="B197" s="5" t="s">
        <v>203</v>
      </c>
      <c r="C197" s="5" t="s">
        <v>47</v>
      </c>
      <c r="D197" s="5">
        <v>3000045</v>
      </c>
      <c r="E197" s="11">
        <v>3000046</v>
      </c>
      <c r="F197" s="11" t="s">
        <v>204</v>
      </c>
      <c r="G197" s="5" t="s">
        <v>205</v>
      </c>
      <c r="H197" s="5" t="s">
        <v>54</v>
      </c>
      <c r="I197" s="5">
        <v>6957374</v>
      </c>
      <c r="J197" s="6">
        <v>46106</v>
      </c>
      <c r="K197" s="6">
        <v>46106</v>
      </c>
      <c r="L197" s="6">
        <v>46106</v>
      </c>
      <c r="M197" s="7">
        <v>26</v>
      </c>
      <c r="N197" s="7">
        <v>-98000</v>
      </c>
      <c r="O197" s="7">
        <v>-98000</v>
      </c>
      <c r="P197" s="7">
        <v>0</v>
      </c>
      <c r="Q197" s="7">
        <v>-98000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5" t="s">
        <v>47</v>
      </c>
      <c r="Z197" s="6"/>
      <c r="AA197" s="5" t="s">
        <v>55</v>
      </c>
      <c r="AB197" s="5" t="s">
        <v>51</v>
      </c>
      <c r="AC197" s="5" t="s">
        <v>51</v>
      </c>
      <c r="AD197" s="5" t="s">
        <v>51</v>
      </c>
      <c r="AE197" s="5" t="s">
        <v>51</v>
      </c>
      <c r="AF197" s="5" t="s">
        <v>238</v>
      </c>
    </row>
    <row r="198" spans="1:32" ht="15.65" customHeight="1" x14ac:dyDescent="0.35">
      <c r="A198" s="5" t="s">
        <v>175</v>
      </c>
      <c r="B198" s="5" t="s">
        <v>203</v>
      </c>
      <c r="C198" s="5" t="s">
        <v>47</v>
      </c>
      <c r="D198" s="5">
        <v>3000045</v>
      </c>
      <c r="E198" s="11">
        <v>3000046</v>
      </c>
      <c r="F198" s="11" t="s">
        <v>204</v>
      </c>
      <c r="G198" s="5" t="s">
        <v>205</v>
      </c>
      <c r="H198" s="5" t="s">
        <v>54</v>
      </c>
      <c r="I198" s="5">
        <v>6957375</v>
      </c>
      <c r="J198" s="6">
        <v>46106</v>
      </c>
      <c r="K198" s="6">
        <v>46106</v>
      </c>
      <c r="L198" s="6">
        <v>46106</v>
      </c>
      <c r="M198" s="7">
        <v>26</v>
      </c>
      <c r="N198" s="7">
        <v>-196000</v>
      </c>
      <c r="O198" s="7">
        <v>-196000</v>
      </c>
      <c r="P198" s="7">
        <v>0</v>
      </c>
      <c r="Q198" s="7">
        <v>-196000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5" t="s">
        <v>47</v>
      </c>
      <c r="Z198" s="6"/>
      <c r="AA198" s="5" t="s">
        <v>55</v>
      </c>
      <c r="AB198" s="5" t="s">
        <v>51</v>
      </c>
      <c r="AC198" s="5" t="s">
        <v>51</v>
      </c>
      <c r="AD198" s="5" t="s">
        <v>51</v>
      </c>
      <c r="AE198" s="5" t="s">
        <v>51</v>
      </c>
      <c r="AF198" s="5" t="s">
        <v>238</v>
      </c>
    </row>
    <row r="199" spans="1:32" ht="15.65" customHeight="1" x14ac:dyDescent="0.35">
      <c r="A199" s="5" t="s">
        <v>175</v>
      </c>
      <c r="B199" s="5" t="s">
        <v>203</v>
      </c>
      <c r="C199" s="5" t="s">
        <v>47</v>
      </c>
      <c r="D199" s="5">
        <v>3000045</v>
      </c>
      <c r="E199" s="11">
        <v>3000046</v>
      </c>
      <c r="F199" s="11" t="s">
        <v>204</v>
      </c>
      <c r="G199" s="5" t="s">
        <v>205</v>
      </c>
      <c r="H199" s="5" t="s">
        <v>54</v>
      </c>
      <c r="I199" s="5">
        <v>6957376</v>
      </c>
      <c r="J199" s="6">
        <v>46106</v>
      </c>
      <c r="K199" s="6">
        <v>46106</v>
      </c>
      <c r="L199" s="6">
        <v>46106</v>
      </c>
      <c r="M199" s="7">
        <v>26</v>
      </c>
      <c r="N199" s="7">
        <v>-196000</v>
      </c>
      <c r="O199" s="7">
        <v>-196000</v>
      </c>
      <c r="P199" s="7">
        <v>0</v>
      </c>
      <c r="Q199" s="7">
        <v>-196000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5" t="s">
        <v>47</v>
      </c>
      <c r="Z199" s="6"/>
      <c r="AA199" s="5" t="s">
        <v>55</v>
      </c>
      <c r="AB199" s="5" t="s">
        <v>51</v>
      </c>
      <c r="AC199" s="5" t="s">
        <v>51</v>
      </c>
      <c r="AD199" s="5" t="s">
        <v>51</v>
      </c>
      <c r="AE199" s="5" t="s">
        <v>51</v>
      </c>
      <c r="AF199" s="5" t="s">
        <v>238</v>
      </c>
    </row>
    <row r="200" spans="1:32" ht="15.65" customHeight="1" x14ac:dyDescent="0.35">
      <c r="A200" s="5" t="s">
        <v>175</v>
      </c>
      <c r="B200" s="5" t="s">
        <v>203</v>
      </c>
      <c r="C200" s="5" t="s">
        <v>47</v>
      </c>
      <c r="D200" s="5">
        <v>3000045</v>
      </c>
      <c r="E200" s="11">
        <v>3000045</v>
      </c>
      <c r="F200" s="11" t="s">
        <v>204</v>
      </c>
      <c r="G200" s="5" t="s">
        <v>204</v>
      </c>
      <c r="H200" s="5" t="s">
        <v>54</v>
      </c>
      <c r="I200" s="5">
        <v>6957387</v>
      </c>
      <c r="J200" s="6">
        <v>46106</v>
      </c>
      <c r="K200" s="6">
        <v>46106</v>
      </c>
      <c r="L200" s="6">
        <v>46106</v>
      </c>
      <c r="M200" s="7">
        <v>26</v>
      </c>
      <c r="N200" s="7">
        <v>-654000</v>
      </c>
      <c r="O200" s="7">
        <v>-654000</v>
      </c>
      <c r="P200" s="7">
        <v>0</v>
      </c>
      <c r="Q200" s="7">
        <v>-654000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5" t="s">
        <v>47</v>
      </c>
      <c r="Z200" s="6"/>
      <c r="AA200" s="5" t="s">
        <v>55</v>
      </c>
      <c r="AB200" s="5" t="s">
        <v>51</v>
      </c>
      <c r="AC200" s="5" t="s">
        <v>51</v>
      </c>
      <c r="AD200" s="5" t="s">
        <v>51</v>
      </c>
      <c r="AE200" s="5" t="s">
        <v>51</v>
      </c>
      <c r="AF200" s="5" t="s">
        <v>239</v>
      </c>
    </row>
    <row r="201" spans="1:32" ht="15.65" customHeight="1" x14ac:dyDescent="0.35">
      <c r="A201" s="5" t="s">
        <v>175</v>
      </c>
      <c r="B201" s="5" t="s">
        <v>203</v>
      </c>
      <c r="C201" s="5" t="s">
        <v>47</v>
      </c>
      <c r="D201" s="5">
        <v>3000045</v>
      </c>
      <c r="E201" s="11">
        <v>3000045</v>
      </c>
      <c r="F201" s="11" t="s">
        <v>204</v>
      </c>
      <c r="G201" s="5" t="s">
        <v>204</v>
      </c>
      <c r="H201" s="5" t="s">
        <v>54</v>
      </c>
      <c r="I201" s="5">
        <v>6957388</v>
      </c>
      <c r="J201" s="6">
        <v>46106</v>
      </c>
      <c r="K201" s="6">
        <v>46106</v>
      </c>
      <c r="L201" s="6">
        <v>46106</v>
      </c>
      <c r="M201" s="7">
        <v>26</v>
      </c>
      <c r="N201" s="7">
        <v>-21800000</v>
      </c>
      <c r="O201" s="7">
        <v>-21800000</v>
      </c>
      <c r="P201" s="7">
        <v>0</v>
      </c>
      <c r="Q201" s="7">
        <v>-21800000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5" t="s">
        <v>47</v>
      </c>
      <c r="Z201" s="6"/>
      <c r="AA201" s="5" t="s">
        <v>55</v>
      </c>
      <c r="AB201" s="5" t="s">
        <v>51</v>
      </c>
      <c r="AC201" s="5" t="s">
        <v>51</v>
      </c>
      <c r="AD201" s="5" t="s">
        <v>51</v>
      </c>
      <c r="AE201" s="5" t="s">
        <v>51</v>
      </c>
      <c r="AF201" s="5" t="s">
        <v>240</v>
      </c>
    </row>
    <row r="202" spans="1:32" ht="15.65" customHeight="1" x14ac:dyDescent="0.35">
      <c r="A202" s="5" t="s">
        <v>175</v>
      </c>
      <c r="B202" s="5" t="s">
        <v>203</v>
      </c>
      <c r="C202" s="5" t="s">
        <v>47</v>
      </c>
      <c r="D202" s="5">
        <v>3000045</v>
      </c>
      <c r="E202" s="11">
        <v>3000046</v>
      </c>
      <c r="F202" s="11" t="s">
        <v>204</v>
      </c>
      <c r="G202" s="5" t="s">
        <v>205</v>
      </c>
      <c r="H202" s="5" t="s">
        <v>54</v>
      </c>
      <c r="I202" s="5">
        <v>6957389</v>
      </c>
      <c r="J202" s="6">
        <v>46106</v>
      </c>
      <c r="K202" s="6">
        <v>46106</v>
      </c>
      <c r="L202" s="6">
        <v>46106</v>
      </c>
      <c r="M202" s="7">
        <v>26</v>
      </c>
      <c r="N202" s="7">
        <v>-588000</v>
      </c>
      <c r="O202" s="7">
        <v>-588000</v>
      </c>
      <c r="P202" s="7">
        <v>0</v>
      </c>
      <c r="Q202" s="7">
        <v>-588000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5" t="s">
        <v>47</v>
      </c>
      <c r="Z202" s="6"/>
      <c r="AA202" s="5" t="s">
        <v>55</v>
      </c>
      <c r="AB202" s="5" t="s">
        <v>51</v>
      </c>
      <c r="AC202" s="5" t="s">
        <v>51</v>
      </c>
      <c r="AD202" s="5" t="s">
        <v>51</v>
      </c>
      <c r="AE202" s="5" t="s">
        <v>51</v>
      </c>
      <c r="AF202" s="5" t="s">
        <v>241</v>
      </c>
    </row>
    <row r="203" spans="1:32" ht="15.65" customHeight="1" x14ac:dyDescent="0.35">
      <c r="A203" s="5" t="s">
        <v>175</v>
      </c>
      <c r="B203" s="5" t="s">
        <v>203</v>
      </c>
      <c r="C203" s="5" t="s">
        <v>47</v>
      </c>
      <c r="D203" s="5">
        <v>3000045</v>
      </c>
      <c r="E203" s="11">
        <v>3000046</v>
      </c>
      <c r="F203" s="11" t="s">
        <v>204</v>
      </c>
      <c r="G203" s="5" t="s">
        <v>205</v>
      </c>
      <c r="H203" s="5" t="s">
        <v>54</v>
      </c>
      <c r="I203" s="5">
        <v>6957390</v>
      </c>
      <c r="J203" s="6">
        <v>46106</v>
      </c>
      <c r="K203" s="6">
        <v>46106</v>
      </c>
      <c r="L203" s="6">
        <v>46106</v>
      </c>
      <c r="M203" s="7">
        <v>26</v>
      </c>
      <c r="N203" s="7">
        <v>-490000</v>
      </c>
      <c r="O203" s="7">
        <v>-490000</v>
      </c>
      <c r="P203" s="7">
        <v>0</v>
      </c>
      <c r="Q203" s="7">
        <v>-490000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5" t="s">
        <v>47</v>
      </c>
      <c r="Z203" s="6"/>
      <c r="AA203" s="5" t="s">
        <v>55</v>
      </c>
      <c r="AB203" s="5" t="s">
        <v>51</v>
      </c>
      <c r="AC203" s="5" t="s">
        <v>51</v>
      </c>
      <c r="AD203" s="5" t="s">
        <v>51</v>
      </c>
      <c r="AE203" s="5" t="s">
        <v>51</v>
      </c>
      <c r="AF203" s="5" t="s">
        <v>242</v>
      </c>
    </row>
    <row r="204" spans="1:32" ht="15.65" customHeight="1" x14ac:dyDescent="0.35">
      <c r="A204" s="5" t="s">
        <v>175</v>
      </c>
      <c r="B204" s="5" t="s">
        <v>203</v>
      </c>
      <c r="C204" s="5" t="s">
        <v>47</v>
      </c>
      <c r="D204" s="5">
        <v>3000045</v>
      </c>
      <c r="E204" s="11">
        <v>3000532</v>
      </c>
      <c r="F204" s="11" t="s">
        <v>204</v>
      </c>
      <c r="G204" s="5" t="s">
        <v>205</v>
      </c>
      <c r="H204" s="5" t="s">
        <v>54</v>
      </c>
      <c r="I204" s="5">
        <v>6957527</v>
      </c>
      <c r="J204" s="6">
        <v>46108</v>
      </c>
      <c r="K204" s="6">
        <v>46108</v>
      </c>
      <c r="L204" s="6">
        <v>46108</v>
      </c>
      <c r="M204" s="7">
        <v>24</v>
      </c>
      <c r="N204" s="7">
        <v>-3857433</v>
      </c>
      <c r="O204" s="7">
        <v>-3857433</v>
      </c>
      <c r="P204" s="7">
        <v>0</v>
      </c>
      <c r="Q204" s="7">
        <v>-3857433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5" t="s">
        <v>47</v>
      </c>
      <c r="Z204" s="6"/>
      <c r="AA204" s="5" t="s">
        <v>55</v>
      </c>
      <c r="AB204" s="5" t="s">
        <v>51</v>
      </c>
      <c r="AC204" s="5" t="s">
        <v>51</v>
      </c>
      <c r="AD204" s="5" t="s">
        <v>51</v>
      </c>
      <c r="AE204" s="5" t="s">
        <v>51</v>
      </c>
      <c r="AF204" s="5" t="s">
        <v>243</v>
      </c>
    </row>
    <row r="205" spans="1:32" ht="15.65" customHeight="1" x14ac:dyDescent="0.35">
      <c r="A205" s="5" t="s">
        <v>175</v>
      </c>
      <c r="B205" s="5" t="s">
        <v>203</v>
      </c>
      <c r="C205" s="5" t="s">
        <v>47</v>
      </c>
      <c r="D205" s="5">
        <v>3000045</v>
      </c>
      <c r="E205" s="11">
        <v>3100585</v>
      </c>
      <c r="F205" s="11" t="s">
        <v>204</v>
      </c>
      <c r="G205" s="5" t="s">
        <v>205</v>
      </c>
      <c r="H205" s="5" t="s">
        <v>54</v>
      </c>
      <c r="I205" s="5">
        <v>6957531</v>
      </c>
      <c r="J205" s="6">
        <v>46108</v>
      </c>
      <c r="K205" s="6">
        <v>46108</v>
      </c>
      <c r="L205" s="6">
        <v>46108</v>
      </c>
      <c r="M205" s="7">
        <v>24</v>
      </c>
      <c r="N205" s="7">
        <v>-13460007</v>
      </c>
      <c r="O205" s="7">
        <v>-13460007</v>
      </c>
      <c r="P205" s="7">
        <v>0</v>
      </c>
      <c r="Q205" s="7">
        <v>-13460007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5" t="s">
        <v>47</v>
      </c>
      <c r="Z205" s="6"/>
      <c r="AA205" s="5" t="s">
        <v>55</v>
      </c>
      <c r="AB205" s="5" t="s">
        <v>51</v>
      </c>
      <c r="AC205" s="5" t="s">
        <v>51</v>
      </c>
      <c r="AD205" s="5" t="s">
        <v>51</v>
      </c>
      <c r="AE205" s="5" t="s">
        <v>51</v>
      </c>
      <c r="AF205" s="5" t="s">
        <v>244</v>
      </c>
    </row>
    <row r="206" spans="1:32" ht="15.65" customHeight="1" x14ac:dyDescent="0.35">
      <c r="A206" s="5" t="s">
        <v>175</v>
      </c>
      <c r="B206" s="5" t="s">
        <v>203</v>
      </c>
      <c r="C206" s="5" t="s">
        <v>47</v>
      </c>
      <c r="D206" s="5">
        <v>3000045</v>
      </c>
      <c r="E206" s="11">
        <v>3000046</v>
      </c>
      <c r="F206" s="11" t="s">
        <v>204</v>
      </c>
      <c r="G206" s="5" t="s">
        <v>205</v>
      </c>
      <c r="H206" s="5" t="s">
        <v>54</v>
      </c>
      <c r="I206" s="5">
        <v>6957723</v>
      </c>
      <c r="J206" s="6">
        <v>46112</v>
      </c>
      <c r="K206" s="6">
        <v>46112</v>
      </c>
      <c r="L206" s="6">
        <v>46112</v>
      </c>
      <c r="M206" s="7">
        <v>20</v>
      </c>
      <c r="N206" s="7">
        <v>-8283216</v>
      </c>
      <c r="O206" s="7">
        <v>-8283216</v>
      </c>
      <c r="P206" s="7">
        <v>0</v>
      </c>
      <c r="Q206" s="7">
        <v>-8283216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5" t="s">
        <v>47</v>
      </c>
      <c r="Z206" s="6"/>
      <c r="AA206" s="5" t="s">
        <v>55</v>
      </c>
      <c r="AB206" s="5" t="s">
        <v>51</v>
      </c>
      <c r="AC206" s="5" t="s">
        <v>51</v>
      </c>
      <c r="AD206" s="5" t="s">
        <v>51</v>
      </c>
      <c r="AE206" s="5" t="s">
        <v>51</v>
      </c>
      <c r="AF206" s="5" t="s">
        <v>245</v>
      </c>
    </row>
    <row r="207" spans="1:32" ht="15.65" customHeight="1" x14ac:dyDescent="0.35">
      <c r="A207" s="5" t="s">
        <v>175</v>
      </c>
      <c r="B207" s="5" t="s">
        <v>203</v>
      </c>
      <c r="C207" s="5" t="s">
        <v>47</v>
      </c>
      <c r="D207" s="5">
        <v>3000045</v>
      </c>
      <c r="E207" s="11">
        <v>3000045</v>
      </c>
      <c r="F207" s="11" t="s">
        <v>204</v>
      </c>
      <c r="G207" s="5" t="s">
        <v>204</v>
      </c>
      <c r="H207" s="5" t="s">
        <v>54</v>
      </c>
      <c r="I207" s="5">
        <v>6957736</v>
      </c>
      <c r="J207" s="6">
        <v>46112</v>
      </c>
      <c r="K207" s="6">
        <v>46112</v>
      </c>
      <c r="L207" s="6">
        <v>46112</v>
      </c>
      <c r="M207" s="7">
        <v>20</v>
      </c>
      <c r="N207" s="7">
        <v>-34064366</v>
      </c>
      <c r="O207" s="7">
        <v>-34064366</v>
      </c>
      <c r="P207" s="7">
        <v>0</v>
      </c>
      <c r="Q207" s="7">
        <v>-34064366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5" t="s">
        <v>47</v>
      </c>
      <c r="Z207" s="6"/>
      <c r="AA207" s="5" t="s">
        <v>55</v>
      </c>
      <c r="AB207" s="5" t="s">
        <v>51</v>
      </c>
      <c r="AC207" s="5" t="s">
        <v>51</v>
      </c>
      <c r="AD207" s="5" t="s">
        <v>51</v>
      </c>
      <c r="AE207" s="5" t="s">
        <v>51</v>
      </c>
      <c r="AF207" s="5" t="s">
        <v>245</v>
      </c>
    </row>
    <row r="208" spans="1:32" ht="15.65" customHeight="1" x14ac:dyDescent="0.35">
      <c r="A208" s="5" t="s">
        <v>175</v>
      </c>
      <c r="B208" s="5" t="s">
        <v>203</v>
      </c>
      <c r="C208" s="5" t="s">
        <v>47</v>
      </c>
      <c r="D208" s="5">
        <v>3000045</v>
      </c>
      <c r="E208" s="11">
        <v>3000532</v>
      </c>
      <c r="F208" s="11" t="s">
        <v>204</v>
      </c>
      <c r="G208" s="5" t="s">
        <v>205</v>
      </c>
      <c r="H208" s="5" t="s">
        <v>54</v>
      </c>
      <c r="I208" s="5">
        <v>6957737</v>
      </c>
      <c r="J208" s="6">
        <v>46112</v>
      </c>
      <c r="K208" s="6">
        <v>46112</v>
      </c>
      <c r="L208" s="6">
        <v>46112</v>
      </c>
      <c r="M208" s="7">
        <v>20</v>
      </c>
      <c r="N208" s="7">
        <v>-3926058</v>
      </c>
      <c r="O208" s="7">
        <v>-3926058</v>
      </c>
      <c r="P208" s="7">
        <v>0</v>
      </c>
      <c r="Q208" s="7">
        <v>-3926058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5" t="s">
        <v>47</v>
      </c>
      <c r="Z208" s="6"/>
      <c r="AA208" s="5" t="s">
        <v>55</v>
      </c>
      <c r="AB208" s="5" t="s">
        <v>51</v>
      </c>
      <c r="AC208" s="5" t="s">
        <v>51</v>
      </c>
      <c r="AD208" s="5" t="s">
        <v>51</v>
      </c>
      <c r="AE208" s="5" t="s">
        <v>51</v>
      </c>
      <c r="AF208" s="5" t="s">
        <v>245</v>
      </c>
    </row>
    <row r="209" spans="1:32" ht="15.65" customHeight="1" x14ac:dyDescent="0.35">
      <c r="A209" s="5" t="s">
        <v>175</v>
      </c>
      <c r="B209" s="5" t="s">
        <v>203</v>
      </c>
      <c r="C209" s="5" t="s">
        <v>47</v>
      </c>
      <c r="D209" s="5">
        <v>3000045</v>
      </c>
      <c r="E209" s="11">
        <v>3001303</v>
      </c>
      <c r="F209" s="11" t="s">
        <v>204</v>
      </c>
      <c r="G209" s="5" t="s">
        <v>205</v>
      </c>
      <c r="H209" s="5" t="s">
        <v>54</v>
      </c>
      <c r="I209" s="5">
        <v>6957741</v>
      </c>
      <c r="J209" s="6">
        <v>46112</v>
      </c>
      <c r="K209" s="6">
        <v>46112</v>
      </c>
      <c r="L209" s="6">
        <v>46112</v>
      </c>
      <c r="M209" s="7">
        <v>20</v>
      </c>
      <c r="N209" s="7">
        <v>-2251592</v>
      </c>
      <c r="O209" s="7">
        <v>-2251592</v>
      </c>
      <c r="P209" s="7">
        <v>0</v>
      </c>
      <c r="Q209" s="7">
        <v>-2251592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5" t="s">
        <v>47</v>
      </c>
      <c r="Z209" s="6"/>
      <c r="AA209" s="5" t="s">
        <v>55</v>
      </c>
      <c r="AB209" s="5" t="s">
        <v>51</v>
      </c>
      <c r="AC209" s="5" t="s">
        <v>51</v>
      </c>
      <c r="AD209" s="5" t="s">
        <v>51</v>
      </c>
      <c r="AE209" s="5" t="s">
        <v>51</v>
      </c>
      <c r="AF209" s="5" t="s">
        <v>245</v>
      </c>
    </row>
    <row r="210" spans="1:32" ht="15.65" customHeight="1" x14ac:dyDescent="0.35">
      <c r="A210" s="5" t="s">
        <v>175</v>
      </c>
      <c r="B210" s="5" t="s">
        <v>203</v>
      </c>
      <c r="C210" s="5" t="s">
        <v>47</v>
      </c>
      <c r="D210" s="5">
        <v>3000045</v>
      </c>
      <c r="E210" s="11">
        <v>3100585</v>
      </c>
      <c r="F210" s="11" t="s">
        <v>204</v>
      </c>
      <c r="G210" s="5" t="s">
        <v>205</v>
      </c>
      <c r="H210" s="5" t="s">
        <v>54</v>
      </c>
      <c r="I210" s="5">
        <v>6957743</v>
      </c>
      <c r="J210" s="6">
        <v>46112</v>
      </c>
      <c r="K210" s="6">
        <v>46112</v>
      </c>
      <c r="L210" s="6">
        <v>46112</v>
      </c>
      <c r="M210" s="7">
        <v>20</v>
      </c>
      <c r="N210" s="7">
        <v>-2830312</v>
      </c>
      <c r="O210" s="7">
        <v>-2830312</v>
      </c>
      <c r="P210" s="7">
        <v>0</v>
      </c>
      <c r="Q210" s="7">
        <v>-2830312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5" t="s">
        <v>47</v>
      </c>
      <c r="Z210" s="6"/>
      <c r="AA210" s="5" t="s">
        <v>55</v>
      </c>
      <c r="AB210" s="5" t="s">
        <v>51</v>
      </c>
      <c r="AC210" s="5" t="s">
        <v>51</v>
      </c>
      <c r="AD210" s="5" t="s">
        <v>51</v>
      </c>
      <c r="AE210" s="5" t="s">
        <v>51</v>
      </c>
      <c r="AF210" s="5" t="s">
        <v>245</v>
      </c>
    </row>
    <row r="211" spans="1:32" ht="15.65" customHeight="1" x14ac:dyDescent="0.35">
      <c r="A211" s="5" t="s">
        <v>175</v>
      </c>
      <c r="B211" s="5" t="s">
        <v>203</v>
      </c>
      <c r="C211" s="5" t="s">
        <v>47</v>
      </c>
      <c r="D211" s="5">
        <v>3000045</v>
      </c>
      <c r="E211" s="11">
        <v>3000045</v>
      </c>
      <c r="F211" s="11" t="s">
        <v>204</v>
      </c>
      <c r="G211" s="5" t="s">
        <v>204</v>
      </c>
      <c r="H211" s="5" t="s">
        <v>54</v>
      </c>
      <c r="I211" s="5">
        <v>6958477</v>
      </c>
      <c r="J211" s="6">
        <v>46121</v>
      </c>
      <c r="K211" s="6">
        <v>46121</v>
      </c>
      <c r="L211" s="6">
        <v>46121</v>
      </c>
      <c r="M211" s="7">
        <v>11</v>
      </c>
      <c r="N211" s="7">
        <v>-436000</v>
      </c>
      <c r="O211" s="7">
        <v>-436000</v>
      </c>
      <c r="P211" s="7">
        <v>0</v>
      </c>
      <c r="Q211" s="7">
        <v>-436000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5" t="s">
        <v>47</v>
      </c>
      <c r="Z211" s="6"/>
      <c r="AA211" s="5" t="s">
        <v>55</v>
      </c>
      <c r="AB211" s="5" t="s">
        <v>51</v>
      </c>
      <c r="AC211" s="5" t="s">
        <v>51</v>
      </c>
      <c r="AD211" s="5" t="s">
        <v>51</v>
      </c>
      <c r="AE211" s="5" t="s">
        <v>51</v>
      </c>
      <c r="AF211" s="5" t="s">
        <v>246</v>
      </c>
    </row>
    <row r="212" spans="1:32" ht="15.65" customHeight="1" x14ac:dyDescent="0.35">
      <c r="A212" s="5" t="s">
        <v>175</v>
      </c>
      <c r="B212" s="5" t="s">
        <v>203</v>
      </c>
      <c r="C212" s="5" t="s">
        <v>47</v>
      </c>
      <c r="D212" s="5">
        <v>3000045</v>
      </c>
      <c r="E212" s="11">
        <v>3000046</v>
      </c>
      <c r="F212" s="11" t="s">
        <v>204</v>
      </c>
      <c r="G212" s="5" t="s">
        <v>205</v>
      </c>
      <c r="H212" s="5" t="s">
        <v>54</v>
      </c>
      <c r="I212" s="5">
        <v>6958478</v>
      </c>
      <c r="J212" s="6">
        <v>46121</v>
      </c>
      <c r="K212" s="6">
        <v>46121</v>
      </c>
      <c r="L212" s="6">
        <v>46121</v>
      </c>
      <c r="M212" s="7">
        <v>11</v>
      </c>
      <c r="N212" s="7">
        <v>-436000</v>
      </c>
      <c r="O212" s="7">
        <v>-436000</v>
      </c>
      <c r="P212" s="7">
        <v>0</v>
      </c>
      <c r="Q212" s="7">
        <v>-436000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5" t="s">
        <v>47</v>
      </c>
      <c r="Z212" s="6"/>
      <c r="AA212" s="5" t="s">
        <v>55</v>
      </c>
      <c r="AB212" s="5" t="s">
        <v>51</v>
      </c>
      <c r="AC212" s="5" t="s">
        <v>51</v>
      </c>
      <c r="AD212" s="5" t="s">
        <v>51</v>
      </c>
      <c r="AE212" s="5" t="s">
        <v>51</v>
      </c>
      <c r="AF212" s="5" t="s">
        <v>247</v>
      </c>
    </row>
    <row r="213" spans="1:32" ht="15.65" customHeight="1" x14ac:dyDescent="0.35">
      <c r="A213" s="5" t="s">
        <v>175</v>
      </c>
      <c r="B213" s="5" t="s">
        <v>203</v>
      </c>
      <c r="C213" s="5" t="s">
        <v>47</v>
      </c>
      <c r="D213" s="5">
        <v>3000045</v>
      </c>
      <c r="E213" s="11">
        <v>3001303</v>
      </c>
      <c r="F213" s="11" t="s">
        <v>204</v>
      </c>
      <c r="G213" s="5" t="s">
        <v>205</v>
      </c>
      <c r="H213" s="5" t="s">
        <v>54</v>
      </c>
      <c r="I213" s="5">
        <v>6958488</v>
      </c>
      <c r="J213" s="6">
        <v>46121</v>
      </c>
      <c r="K213" s="6">
        <v>46121</v>
      </c>
      <c r="L213" s="6">
        <v>46121</v>
      </c>
      <c r="M213" s="7">
        <v>11</v>
      </c>
      <c r="N213" s="7">
        <v>-1030200</v>
      </c>
      <c r="O213" s="7">
        <v>-1030200</v>
      </c>
      <c r="P213" s="7">
        <v>0</v>
      </c>
      <c r="Q213" s="7">
        <v>-1030200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5" t="s">
        <v>47</v>
      </c>
      <c r="Z213" s="6"/>
      <c r="AA213" s="5" t="s">
        <v>55</v>
      </c>
      <c r="AB213" s="5" t="s">
        <v>51</v>
      </c>
      <c r="AC213" s="5" t="s">
        <v>51</v>
      </c>
      <c r="AD213" s="5" t="s">
        <v>51</v>
      </c>
      <c r="AE213" s="5" t="s">
        <v>51</v>
      </c>
      <c r="AF213" s="5" t="s">
        <v>248</v>
      </c>
    </row>
    <row r="214" spans="1:32" ht="15.65" customHeight="1" x14ac:dyDescent="0.35">
      <c r="A214" s="5" t="s">
        <v>175</v>
      </c>
      <c r="B214" s="5" t="s">
        <v>203</v>
      </c>
      <c r="C214" s="5" t="s">
        <v>47</v>
      </c>
      <c r="D214" s="5">
        <v>3000045</v>
      </c>
      <c r="E214" s="11">
        <v>3000046</v>
      </c>
      <c r="F214" s="11" t="s">
        <v>204</v>
      </c>
      <c r="G214" s="5" t="s">
        <v>205</v>
      </c>
      <c r="H214" s="5" t="s">
        <v>54</v>
      </c>
      <c r="I214" s="5">
        <v>6958647</v>
      </c>
      <c r="J214" s="6">
        <v>46122</v>
      </c>
      <c r="K214" s="6">
        <v>46122</v>
      </c>
      <c r="L214" s="6">
        <v>46122</v>
      </c>
      <c r="M214" s="7">
        <v>10</v>
      </c>
      <c r="N214" s="7">
        <v>-9265000</v>
      </c>
      <c r="O214" s="7">
        <v>-9265000</v>
      </c>
      <c r="P214" s="7">
        <v>0</v>
      </c>
      <c r="Q214" s="7">
        <v>-9265000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5" t="s">
        <v>47</v>
      </c>
      <c r="Z214" s="6"/>
      <c r="AA214" s="5" t="s">
        <v>55</v>
      </c>
      <c r="AB214" s="5" t="s">
        <v>51</v>
      </c>
      <c r="AC214" s="5" t="s">
        <v>51</v>
      </c>
      <c r="AD214" s="5" t="s">
        <v>51</v>
      </c>
      <c r="AE214" s="5" t="s">
        <v>51</v>
      </c>
      <c r="AF214" s="5" t="s">
        <v>249</v>
      </c>
    </row>
    <row r="215" spans="1:32" ht="15.65" customHeight="1" x14ac:dyDescent="0.35">
      <c r="A215" s="5" t="s">
        <v>175</v>
      </c>
      <c r="B215" s="5" t="s">
        <v>203</v>
      </c>
      <c r="C215" s="5" t="s">
        <v>47</v>
      </c>
      <c r="D215" s="5">
        <v>3000045</v>
      </c>
      <c r="E215" s="11">
        <v>3000046</v>
      </c>
      <c r="F215" s="11" t="s">
        <v>204</v>
      </c>
      <c r="G215" s="5" t="s">
        <v>205</v>
      </c>
      <c r="H215" s="5" t="s">
        <v>54</v>
      </c>
      <c r="I215" s="5">
        <v>6958648</v>
      </c>
      <c r="J215" s="6">
        <v>46122</v>
      </c>
      <c r="K215" s="6">
        <v>46122</v>
      </c>
      <c r="L215" s="6">
        <v>46122</v>
      </c>
      <c r="M215" s="7">
        <v>10</v>
      </c>
      <c r="N215" s="7">
        <v>-16350000</v>
      </c>
      <c r="O215" s="7">
        <v>-16350000</v>
      </c>
      <c r="P215" s="7">
        <v>0</v>
      </c>
      <c r="Q215" s="7">
        <v>-16350000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5" t="s">
        <v>47</v>
      </c>
      <c r="Z215" s="6"/>
      <c r="AA215" s="5" t="s">
        <v>55</v>
      </c>
      <c r="AB215" s="5" t="s">
        <v>51</v>
      </c>
      <c r="AC215" s="5" t="s">
        <v>51</v>
      </c>
      <c r="AD215" s="5" t="s">
        <v>51</v>
      </c>
      <c r="AE215" s="5" t="s">
        <v>51</v>
      </c>
      <c r="AF215" s="5" t="s">
        <v>249</v>
      </c>
    </row>
    <row r="216" spans="1:32" ht="15.65" customHeight="1" x14ac:dyDescent="0.35">
      <c r="A216" s="5" t="s">
        <v>175</v>
      </c>
      <c r="B216" s="5" t="s">
        <v>203</v>
      </c>
      <c r="C216" s="5" t="s">
        <v>47</v>
      </c>
      <c r="D216" s="5">
        <v>3000045</v>
      </c>
      <c r="E216" s="11">
        <v>3000046</v>
      </c>
      <c r="F216" s="11" t="s">
        <v>204</v>
      </c>
      <c r="G216" s="5" t="s">
        <v>205</v>
      </c>
      <c r="H216" s="5" t="s">
        <v>54</v>
      </c>
      <c r="I216" s="5">
        <v>6958649</v>
      </c>
      <c r="J216" s="6">
        <v>46122</v>
      </c>
      <c r="K216" s="6">
        <v>46122</v>
      </c>
      <c r="L216" s="6">
        <v>46122</v>
      </c>
      <c r="M216" s="7">
        <v>10</v>
      </c>
      <c r="N216" s="7">
        <v>-9265000</v>
      </c>
      <c r="O216" s="7">
        <v>-9265000</v>
      </c>
      <c r="P216" s="7">
        <v>0</v>
      </c>
      <c r="Q216" s="7">
        <v>-9265000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5" t="s">
        <v>47</v>
      </c>
      <c r="Z216" s="6"/>
      <c r="AA216" s="5" t="s">
        <v>55</v>
      </c>
      <c r="AB216" s="5" t="s">
        <v>51</v>
      </c>
      <c r="AC216" s="5" t="s">
        <v>51</v>
      </c>
      <c r="AD216" s="5" t="s">
        <v>51</v>
      </c>
      <c r="AE216" s="5" t="s">
        <v>51</v>
      </c>
      <c r="AF216" s="5" t="s">
        <v>249</v>
      </c>
    </row>
    <row r="217" spans="1:32" ht="15.65" customHeight="1" x14ac:dyDescent="0.35">
      <c r="A217" s="5" t="s">
        <v>175</v>
      </c>
      <c r="B217" s="5" t="s">
        <v>203</v>
      </c>
      <c r="C217" s="5" t="s">
        <v>47</v>
      </c>
      <c r="D217" s="5">
        <v>3000045</v>
      </c>
      <c r="E217" s="11">
        <v>3000046</v>
      </c>
      <c r="F217" s="11" t="s">
        <v>204</v>
      </c>
      <c r="G217" s="5" t="s">
        <v>205</v>
      </c>
      <c r="H217" s="5" t="s">
        <v>54</v>
      </c>
      <c r="I217" s="5">
        <v>6958650</v>
      </c>
      <c r="J217" s="6">
        <v>46122</v>
      </c>
      <c r="K217" s="6">
        <v>46122</v>
      </c>
      <c r="L217" s="6">
        <v>46122</v>
      </c>
      <c r="M217" s="7">
        <v>10</v>
      </c>
      <c r="N217" s="7">
        <v>-18530000</v>
      </c>
      <c r="O217" s="7">
        <v>-18530000</v>
      </c>
      <c r="P217" s="7">
        <v>0</v>
      </c>
      <c r="Q217" s="7">
        <v>-18530000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5" t="s">
        <v>47</v>
      </c>
      <c r="Z217" s="6"/>
      <c r="AA217" s="5" t="s">
        <v>55</v>
      </c>
      <c r="AB217" s="5" t="s">
        <v>51</v>
      </c>
      <c r="AC217" s="5" t="s">
        <v>51</v>
      </c>
      <c r="AD217" s="5" t="s">
        <v>51</v>
      </c>
      <c r="AE217" s="5" t="s">
        <v>51</v>
      </c>
      <c r="AF217" s="5" t="s">
        <v>249</v>
      </c>
    </row>
    <row r="218" spans="1:32" ht="15.65" customHeight="1" x14ac:dyDescent="0.35">
      <c r="A218" s="5" t="s">
        <v>175</v>
      </c>
      <c r="B218" s="5" t="s">
        <v>203</v>
      </c>
      <c r="C218" s="5" t="s">
        <v>47</v>
      </c>
      <c r="D218" s="5">
        <v>3000045</v>
      </c>
      <c r="E218" s="11">
        <v>3000045</v>
      </c>
      <c r="F218" s="11" t="s">
        <v>204</v>
      </c>
      <c r="G218" s="5" t="s">
        <v>204</v>
      </c>
      <c r="H218" s="5" t="s">
        <v>54</v>
      </c>
      <c r="I218" s="5">
        <v>6958651</v>
      </c>
      <c r="J218" s="6">
        <v>46122</v>
      </c>
      <c r="K218" s="6">
        <v>46122</v>
      </c>
      <c r="L218" s="6">
        <v>46122</v>
      </c>
      <c r="M218" s="7">
        <v>10</v>
      </c>
      <c r="N218" s="7">
        <v>-32892159</v>
      </c>
      <c r="O218" s="7">
        <v>-32892159</v>
      </c>
      <c r="P218" s="7">
        <v>0</v>
      </c>
      <c r="Q218" s="7">
        <v>-32892159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5" t="s">
        <v>47</v>
      </c>
      <c r="Z218" s="6"/>
      <c r="AA218" s="5" t="s">
        <v>55</v>
      </c>
      <c r="AB218" s="5" t="s">
        <v>51</v>
      </c>
      <c r="AC218" s="5" t="s">
        <v>51</v>
      </c>
      <c r="AD218" s="5" t="s">
        <v>51</v>
      </c>
      <c r="AE218" s="5" t="s">
        <v>51</v>
      </c>
      <c r="AF218" s="5" t="s">
        <v>250</v>
      </c>
    </row>
    <row r="219" spans="1:32" ht="15.65" customHeight="1" x14ac:dyDescent="0.35">
      <c r="A219" s="5" t="s">
        <v>175</v>
      </c>
      <c r="B219" s="5" t="s">
        <v>203</v>
      </c>
      <c r="C219" s="5" t="s">
        <v>47</v>
      </c>
      <c r="D219" s="5">
        <v>3000045</v>
      </c>
      <c r="E219" s="11">
        <v>3000045</v>
      </c>
      <c r="F219" s="11" t="s">
        <v>204</v>
      </c>
      <c r="G219" s="5" t="s">
        <v>204</v>
      </c>
      <c r="H219" s="5" t="s">
        <v>54</v>
      </c>
      <c r="I219" s="5">
        <v>6958652</v>
      </c>
      <c r="J219" s="6">
        <v>46122</v>
      </c>
      <c r="K219" s="6">
        <v>46122</v>
      </c>
      <c r="L219" s="6">
        <v>46122</v>
      </c>
      <c r="M219" s="7">
        <v>10</v>
      </c>
      <c r="N219" s="7">
        <v>-654000</v>
      </c>
      <c r="O219" s="7">
        <v>-654000</v>
      </c>
      <c r="P219" s="7">
        <v>0</v>
      </c>
      <c r="Q219" s="7">
        <v>-654000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5" t="s">
        <v>47</v>
      </c>
      <c r="Z219" s="6"/>
      <c r="AA219" s="5" t="s">
        <v>55</v>
      </c>
      <c r="AB219" s="5" t="s">
        <v>51</v>
      </c>
      <c r="AC219" s="5" t="s">
        <v>51</v>
      </c>
      <c r="AD219" s="5" t="s">
        <v>51</v>
      </c>
      <c r="AE219" s="5" t="s">
        <v>51</v>
      </c>
      <c r="AF219" s="5" t="s">
        <v>251</v>
      </c>
    </row>
    <row r="220" spans="1:32" ht="15.65" customHeight="1" x14ac:dyDescent="0.35">
      <c r="A220" s="5" t="s">
        <v>175</v>
      </c>
      <c r="B220" s="5" t="s">
        <v>203</v>
      </c>
      <c r="C220" s="5" t="s">
        <v>47</v>
      </c>
      <c r="D220" s="5">
        <v>3000045</v>
      </c>
      <c r="E220" s="11">
        <v>3000045</v>
      </c>
      <c r="F220" s="11" t="s">
        <v>204</v>
      </c>
      <c r="G220" s="5" t="s">
        <v>204</v>
      </c>
      <c r="H220" s="5" t="s">
        <v>54</v>
      </c>
      <c r="I220" s="5">
        <v>6958975</v>
      </c>
      <c r="J220" s="6">
        <v>46125</v>
      </c>
      <c r="K220" s="6">
        <v>46125</v>
      </c>
      <c r="L220" s="6">
        <v>46125</v>
      </c>
      <c r="M220" s="7">
        <v>7</v>
      </c>
      <c r="N220" s="7">
        <v>-452899</v>
      </c>
      <c r="O220" s="7">
        <v>-452899</v>
      </c>
      <c r="P220" s="7">
        <v>0</v>
      </c>
      <c r="Q220" s="7">
        <v>-452899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5" t="s">
        <v>47</v>
      </c>
      <c r="Z220" s="6"/>
      <c r="AA220" s="5" t="s">
        <v>55</v>
      </c>
      <c r="AB220" s="5" t="s">
        <v>51</v>
      </c>
      <c r="AC220" s="5" t="s">
        <v>51</v>
      </c>
      <c r="AD220" s="5" t="s">
        <v>51</v>
      </c>
      <c r="AE220" s="5" t="s">
        <v>51</v>
      </c>
      <c r="AF220" s="5" t="s">
        <v>252</v>
      </c>
    </row>
    <row r="221" spans="1:32" ht="15.65" customHeight="1" x14ac:dyDescent="0.35">
      <c r="A221" s="5" t="s">
        <v>175</v>
      </c>
      <c r="B221" s="5" t="s">
        <v>203</v>
      </c>
      <c r="C221" s="5" t="s">
        <v>47</v>
      </c>
      <c r="D221" s="5">
        <v>3000045</v>
      </c>
      <c r="E221" s="11">
        <v>3000045</v>
      </c>
      <c r="F221" s="11" t="s">
        <v>204</v>
      </c>
      <c r="G221" s="5" t="s">
        <v>204</v>
      </c>
      <c r="H221" s="5" t="s">
        <v>54</v>
      </c>
      <c r="I221" s="5">
        <v>6958976</v>
      </c>
      <c r="J221" s="6">
        <v>46125</v>
      </c>
      <c r="K221" s="6">
        <v>46125</v>
      </c>
      <c r="L221" s="6">
        <v>46125</v>
      </c>
      <c r="M221" s="7">
        <v>7</v>
      </c>
      <c r="N221" s="7">
        <v>-706358</v>
      </c>
      <c r="O221" s="7">
        <v>-706358</v>
      </c>
      <c r="P221" s="7">
        <v>0</v>
      </c>
      <c r="Q221" s="7">
        <v>-706358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5" t="s">
        <v>47</v>
      </c>
      <c r="Z221" s="6"/>
      <c r="AA221" s="5" t="s">
        <v>55</v>
      </c>
      <c r="AB221" s="5" t="s">
        <v>51</v>
      </c>
      <c r="AC221" s="5" t="s">
        <v>51</v>
      </c>
      <c r="AD221" s="5" t="s">
        <v>51</v>
      </c>
      <c r="AE221" s="5" t="s">
        <v>51</v>
      </c>
      <c r="AF221" s="5" t="s">
        <v>253</v>
      </c>
    </row>
    <row r="222" spans="1:32" ht="15.65" customHeight="1" x14ac:dyDescent="0.35">
      <c r="A222" s="5" t="s">
        <v>175</v>
      </c>
      <c r="B222" s="5" t="s">
        <v>203</v>
      </c>
      <c r="C222" s="5" t="s">
        <v>47</v>
      </c>
      <c r="D222" s="5">
        <v>3000045</v>
      </c>
      <c r="E222" s="5">
        <v>3000045</v>
      </c>
      <c r="F222" s="5" t="s">
        <v>204</v>
      </c>
      <c r="G222" s="5" t="s">
        <v>204</v>
      </c>
      <c r="H222" s="5" t="s">
        <v>54</v>
      </c>
      <c r="I222" s="5">
        <v>6958977</v>
      </c>
      <c r="J222" s="6">
        <v>46125</v>
      </c>
      <c r="K222" s="6">
        <v>46125</v>
      </c>
      <c r="L222" s="6">
        <v>46125</v>
      </c>
      <c r="M222" s="7">
        <v>7</v>
      </c>
      <c r="N222" s="7">
        <v>-32662</v>
      </c>
      <c r="O222" s="7">
        <v>-32662</v>
      </c>
      <c r="P222" s="7">
        <v>0</v>
      </c>
      <c r="Q222" s="7">
        <v>-32662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5" t="s">
        <v>47</v>
      </c>
      <c r="Z222" s="6"/>
      <c r="AA222" s="5" t="s">
        <v>55</v>
      </c>
      <c r="AB222" s="5" t="s">
        <v>51</v>
      </c>
      <c r="AC222" s="5" t="s">
        <v>51</v>
      </c>
      <c r="AD222" s="5" t="s">
        <v>51</v>
      </c>
      <c r="AE222" s="5" t="s">
        <v>51</v>
      </c>
      <c r="AF222" s="5" t="s">
        <v>254</v>
      </c>
    </row>
    <row r="223" spans="1:32" ht="15.65" customHeight="1" x14ac:dyDescent="0.35">
      <c r="A223" s="5" t="s">
        <v>175</v>
      </c>
      <c r="B223" s="5" t="s">
        <v>203</v>
      </c>
      <c r="C223" s="5" t="s">
        <v>47</v>
      </c>
      <c r="D223" s="5">
        <v>3000045</v>
      </c>
      <c r="E223" s="11">
        <v>3000046</v>
      </c>
      <c r="F223" s="11" t="s">
        <v>204</v>
      </c>
      <c r="G223" s="5" t="s">
        <v>205</v>
      </c>
      <c r="H223" s="5" t="s">
        <v>54</v>
      </c>
      <c r="I223" s="5">
        <v>6958983</v>
      </c>
      <c r="J223" s="6">
        <v>46125</v>
      </c>
      <c r="K223" s="6">
        <v>46125</v>
      </c>
      <c r="L223" s="6">
        <v>46125</v>
      </c>
      <c r="M223" s="7">
        <v>7</v>
      </c>
      <c r="N223" s="7">
        <v>-461314</v>
      </c>
      <c r="O223" s="7">
        <v>-461314</v>
      </c>
      <c r="P223" s="7">
        <v>0</v>
      </c>
      <c r="Q223" s="7">
        <v>-461314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5" t="s">
        <v>47</v>
      </c>
      <c r="Z223" s="6"/>
      <c r="AA223" s="5" t="s">
        <v>55</v>
      </c>
      <c r="AB223" s="5" t="s">
        <v>51</v>
      </c>
      <c r="AC223" s="5" t="s">
        <v>51</v>
      </c>
      <c r="AD223" s="5" t="s">
        <v>51</v>
      </c>
      <c r="AE223" s="5" t="s">
        <v>51</v>
      </c>
      <c r="AF223" s="5" t="s">
        <v>255</v>
      </c>
    </row>
    <row r="224" spans="1:32" ht="15.65" customHeight="1" x14ac:dyDescent="0.35">
      <c r="A224" s="5" t="s">
        <v>175</v>
      </c>
      <c r="B224" s="5" t="s">
        <v>203</v>
      </c>
      <c r="C224" s="5" t="s">
        <v>47</v>
      </c>
      <c r="D224" s="5">
        <v>3000045</v>
      </c>
      <c r="E224" s="11">
        <v>3000046</v>
      </c>
      <c r="F224" s="11" t="s">
        <v>204</v>
      </c>
      <c r="G224" s="5" t="s">
        <v>205</v>
      </c>
      <c r="H224" s="5" t="s">
        <v>54</v>
      </c>
      <c r="I224" s="5">
        <v>6958984</v>
      </c>
      <c r="J224" s="6">
        <v>46125</v>
      </c>
      <c r="K224" s="6">
        <v>46125</v>
      </c>
      <c r="L224" s="6">
        <v>46125</v>
      </c>
      <c r="M224" s="7">
        <v>7</v>
      </c>
      <c r="N224" s="7">
        <v>-719478</v>
      </c>
      <c r="O224" s="7">
        <v>-719478</v>
      </c>
      <c r="P224" s="7">
        <v>0</v>
      </c>
      <c r="Q224" s="7">
        <v>-719478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5" t="s">
        <v>47</v>
      </c>
      <c r="Z224" s="6"/>
      <c r="AA224" s="5" t="s">
        <v>55</v>
      </c>
      <c r="AB224" s="5" t="s">
        <v>51</v>
      </c>
      <c r="AC224" s="5" t="s">
        <v>51</v>
      </c>
      <c r="AD224" s="5" t="s">
        <v>51</v>
      </c>
      <c r="AE224" s="5" t="s">
        <v>51</v>
      </c>
      <c r="AF224" s="5" t="s">
        <v>221</v>
      </c>
    </row>
    <row r="225" spans="1:32" ht="15.65" customHeight="1" x14ac:dyDescent="0.35">
      <c r="A225" s="5" t="s">
        <v>175</v>
      </c>
      <c r="B225" s="5" t="s">
        <v>203</v>
      </c>
      <c r="C225" s="5" t="s">
        <v>47</v>
      </c>
      <c r="D225" s="5">
        <v>3000045</v>
      </c>
      <c r="E225" s="11">
        <v>3000046</v>
      </c>
      <c r="F225" s="11" t="s">
        <v>204</v>
      </c>
      <c r="G225" s="5" t="s">
        <v>205</v>
      </c>
      <c r="H225" s="5" t="s">
        <v>54</v>
      </c>
      <c r="I225" s="5">
        <v>6958985</v>
      </c>
      <c r="J225" s="6">
        <v>46125</v>
      </c>
      <c r="K225" s="6">
        <v>46125</v>
      </c>
      <c r="L225" s="6">
        <v>46125</v>
      </c>
      <c r="M225" s="7">
        <v>7</v>
      </c>
      <c r="N225" s="7">
        <v>-14695</v>
      </c>
      <c r="O225" s="7">
        <v>-14695</v>
      </c>
      <c r="P225" s="7">
        <v>0</v>
      </c>
      <c r="Q225" s="7">
        <v>-14695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5" t="s">
        <v>47</v>
      </c>
      <c r="Z225" s="6"/>
      <c r="AA225" s="5" t="s">
        <v>55</v>
      </c>
      <c r="AB225" s="5" t="s">
        <v>51</v>
      </c>
      <c r="AC225" s="5" t="s">
        <v>51</v>
      </c>
      <c r="AD225" s="5" t="s">
        <v>51</v>
      </c>
      <c r="AE225" s="5" t="s">
        <v>51</v>
      </c>
      <c r="AF225" s="5" t="s">
        <v>221</v>
      </c>
    </row>
    <row r="226" spans="1:32" ht="15.65" customHeight="1" x14ac:dyDescent="0.35">
      <c r="A226" s="5" t="s">
        <v>175</v>
      </c>
      <c r="B226" s="5" t="s">
        <v>203</v>
      </c>
      <c r="C226" s="5" t="s">
        <v>47</v>
      </c>
      <c r="D226" s="5">
        <v>3000045</v>
      </c>
      <c r="E226" s="11">
        <v>3000046</v>
      </c>
      <c r="F226" s="11" t="s">
        <v>204</v>
      </c>
      <c r="G226" s="5" t="s">
        <v>205</v>
      </c>
      <c r="H226" s="5" t="s">
        <v>54</v>
      </c>
      <c r="I226" s="5">
        <v>6959442</v>
      </c>
      <c r="J226" s="6">
        <v>46127</v>
      </c>
      <c r="K226" s="6">
        <v>46127</v>
      </c>
      <c r="L226" s="6">
        <v>46127</v>
      </c>
      <c r="M226" s="7">
        <v>5</v>
      </c>
      <c r="N226" s="7">
        <v>-2413518</v>
      </c>
      <c r="O226" s="7">
        <v>-2413518</v>
      </c>
      <c r="P226" s="7">
        <v>0</v>
      </c>
      <c r="Q226" s="7">
        <v>-2413518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5" t="s">
        <v>47</v>
      </c>
      <c r="Z226" s="6"/>
      <c r="AA226" s="5" t="s">
        <v>55</v>
      </c>
      <c r="AB226" s="5" t="s">
        <v>51</v>
      </c>
      <c r="AC226" s="5" t="s">
        <v>51</v>
      </c>
      <c r="AD226" s="5" t="s">
        <v>51</v>
      </c>
      <c r="AE226" s="5" t="s">
        <v>51</v>
      </c>
      <c r="AF226" s="5" t="s">
        <v>256</v>
      </c>
    </row>
    <row r="227" spans="1:32" ht="15.65" customHeight="1" x14ac:dyDescent="0.35">
      <c r="A227" s="5" t="s">
        <v>175</v>
      </c>
      <c r="B227" s="5" t="s">
        <v>203</v>
      </c>
      <c r="C227" s="5" t="s">
        <v>47</v>
      </c>
      <c r="D227" s="5">
        <v>3000045</v>
      </c>
      <c r="E227" s="11">
        <v>3000045</v>
      </c>
      <c r="F227" s="11" t="s">
        <v>204</v>
      </c>
      <c r="G227" s="5" t="s">
        <v>204</v>
      </c>
      <c r="H227" s="5" t="s">
        <v>54</v>
      </c>
      <c r="I227" s="5">
        <v>6959457</v>
      </c>
      <c r="J227" s="6">
        <v>46127</v>
      </c>
      <c r="K227" s="6">
        <v>46127</v>
      </c>
      <c r="L227" s="6">
        <v>46127</v>
      </c>
      <c r="M227" s="7">
        <v>5</v>
      </c>
      <c r="N227" s="7">
        <v>-2570231</v>
      </c>
      <c r="O227" s="7">
        <v>-2570231</v>
      </c>
      <c r="P227" s="7">
        <v>0</v>
      </c>
      <c r="Q227" s="7">
        <v>-2570231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5" t="s">
        <v>47</v>
      </c>
      <c r="Z227" s="6"/>
      <c r="AA227" s="5" t="s">
        <v>55</v>
      </c>
      <c r="AB227" s="5" t="s">
        <v>51</v>
      </c>
      <c r="AC227" s="5" t="s">
        <v>51</v>
      </c>
      <c r="AD227" s="5" t="s">
        <v>51</v>
      </c>
      <c r="AE227" s="5" t="s">
        <v>51</v>
      </c>
      <c r="AF227" s="5" t="s">
        <v>257</v>
      </c>
    </row>
    <row r="228" spans="1:32" ht="15.65" customHeight="1" x14ac:dyDescent="0.35">
      <c r="A228" s="5" t="s">
        <v>175</v>
      </c>
      <c r="B228" s="5" t="s">
        <v>203</v>
      </c>
      <c r="C228" s="5" t="s">
        <v>47</v>
      </c>
      <c r="D228" s="5">
        <v>3000045</v>
      </c>
      <c r="E228" s="11">
        <v>3000046</v>
      </c>
      <c r="F228" s="11" t="s">
        <v>204</v>
      </c>
      <c r="G228" s="5" t="s">
        <v>205</v>
      </c>
      <c r="H228" s="5" t="s">
        <v>54</v>
      </c>
      <c r="I228" s="5">
        <v>6959458</v>
      </c>
      <c r="J228" s="6">
        <v>46127</v>
      </c>
      <c r="K228" s="6">
        <v>46127</v>
      </c>
      <c r="L228" s="6">
        <v>46127</v>
      </c>
      <c r="M228" s="7">
        <v>5</v>
      </c>
      <c r="N228" s="7">
        <v>-3197114</v>
      </c>
      <c r="O228" s="7">
        <v>-3197114</v>
      </c>
      <c r="P228" s="7">
        <v>0</v>
      </c>
      <c r="Q228" s="7">
        <v>-3197114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5" t="s">
        <v>47</v>
      </c>
      <c r="Z228" s="6"/>
      <c r="AA228" s="5" t="s">
        <v>55</v>
      </c>
      <c r="AB228" s="5" t="s">
        <v>51</v>
      </c>
      <c r="AC228" s="5" t="s">
        <v>51</v>
      </c>
      <c r="AD228" s="5" t="s">
        <v>51</v>
      </c>
      <c r="AE228" s="5" t="s">
        <v>51</v>
      </c>
      <c r="AF228" s="5" t="s">
        <v>256</v>
      </c>
    </row>
    <row r="229" spans="1:32" ht="15.65" customHeight="1" x14ac:dyDescent="0.35">
      <c r="A229" s="5" t="s">
        <v>175</v>
      </c>
      <c r="B229" s="5" t="s">
        <v>203</v>
      </c>
      <c r="C229" s="5" t="s">
        <v>47</v>
      </c>
      <c r="D229" s="5">
        <v>3000045</v>
      </c>
      <c r="E229" s="11">
        <v>3000046</v>
      </c>
      <c r="F229" s="11" t="s">
        <v>204</v>
      </c>
      <c r="G229" s="5" t="s">
        <v>205</v>
      </c>
      <c r="H229" s="5" t="s">
        <v>54</v>
      </c>
      <c r="I229" s="5">
        <v>6959746</v>
      </c>
      <c r="J229" s="6">
        <v>46128</v>
      </c>
      <c r="K229" s="6">
        <v>46128</v>
      </c>
      <c r="L229" s="6">
        <v>46128</v>
      </c>
      <c r="M229" s="7">
        <v>4</v>
      </c>
      <c r="N229" s="7">
        <v>-5057207</v>
      </c>
      <c r="O229" s="7">
        <v>-5057207</v>
      </c>
      <c r="P229" s="7">
        <v>0</v>
      </c>
      <c r="Q229" s="7">
        <v>-5057207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5" t="s">
        <v>47</v>
      </c>
      <c r="Z229" s="6"/>
      <c r="AA229" s="5" t="s">
        <v>55</v>
      </c>
      <c r="AB229" s="5" t="s">
        <v>51</v>
      </c>
      <c r="AC229" s="5" t="s">
        <v>51</v>
      </c>
      <c r="AD229" s="5" t="s">
        <v>51</v>
      </c>
      <c r="AE229" s="5" t="s">
        <v>51</v>
      </c>
      <c r="AF229" s="5" t="s">
        <v>258</v>
      </c>
    </row>
    <row r="230" spans="1:32" ht="15.65" customHeight="1" x14ac:dyDescent="0.35">
      <c r="A230" s="5" t="s">
        <v>175</v>
      </c>
      <c r="B230" s="5" t="s">
        <v>203</v>
      </c>
      <c r="C230" s="5" t="s">
        <v>47</v>
      </c>
      <c r="D230" s="5">
        <v>3000045</v>
      </c>
      <c r="E230" s="11">
        <v>3000046</v>
      </c>
      <c r="F230" s="11" t="s">
        <v>204</v>
      </c>
      <c r="G230" s="5" t="s">
        <v>205</v>
      </c>
      <c r="H230" s="5" t="s">
        <v>54</v>
      </c>
      <c r="I230" s="5">
        <v>6959747</v>
      </c>
      <c r="J230" s="6">
        <v>46128</v>
      </c>
      <c r="K230" s="6">
        <v>46128</v>
      </c>
      <c r="L230" s="6">
        <v>46128</v>
      </c>
      <c r="M230" s="7">
        <v>4</v>
      </c>
      <c r="N230" s="7">
        <v>-5057207</v>
      </c>
      <c r="O230" s="7">
        <v>-5057207</v>
      </c>
      <c r="P230" s="7">
        <v>0</v>
      </c>
      <c r="Q230" s="7">
        <v>-5057207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5" t="s">
        <v>47</v>
      </c>
      <c r="Z230" s="6"/>
      <c r="AA230" s="5" t="s">
        <v>55</v>
      </c>
      <c r="AB230" s="5" t="s">
        <v>51</v>
      </c>
      <c r="AC230" s="5" t="s">
        <v>51</v>
      </c>
      <c r="AD230" s="5" t="s">
        <v>51</v>
      </c>
      <c r="AE230" s="5" t="s">
        <v>51</v>
      </c>
      <c r="AF230" s="5" t="s">
        <v>258</v>
      </c>
    </row>
    <row r="231" spans="1:32" ht="15.65" customHeight="1" x14ac:dyDescent="0.35">
      <c r="A231" s="5" t="s">
        <v>175</v>
      </c>
      <c r="B231" s="5" t="s">
        <v>203</v>
      </c>
      <c r="C231" s="5" t="s">
        <v>47</v>
      </c>
      <c r="D231" s="5">
        <v>3000045</v>
      </c>
      <c r="E231" s="11">
        <v>3000046</v>
      </c>
      <c r="F231" s="11" t="s">
        <v>204</v>
      </c>
      <c r="G231" s="5" t="s">
        <v>205</v>
      </c>
      <c r="H231" s="5" t="s">
        <v>54</v>
      </c>
      <c r="I231" s="5">
        <v>6959748</v>
      </c>
      <c r="J231" s="6">
        <v>46128</v>
      </c>
      <c r="K231" s="6">
        <v>46128</v>
      </c>
      <c r="L231" s="6">
        <v>46128</v>
      </c>
      <c r="M231" s="7">
        <v>4</v>
      </c>
      <c r="N231" s="7">
        <v>-10114414</v>
      </c>
      <c r="O231" s="7">
        <v>-10114414</v>
      </c>
      <c r="P231" s="7">
        <v>0</v>
      </c>
      <c r="Q231" s="7">
        <v>-10114414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5" t="s">
        <v>47</v>
      </c>
      <c r="Z231" s="6"/>
      <c r="AA231" s="5" t="s">
        <v>55</v>
      </c>
      <c r="AB231" s="5" t="s">
        <v>51</v>
      </c>
      <c r="AC231" s="5" t="s">
        <v>51</v>
      </c>
      <c r="AD231" s="5" t="s">
        <v>51</v>
      </c>
      <c r="AE231" s="5" t="s">
        <v>51</v>
      </c>
      <c r="AF231" s="5" t="s">
        <v>258</v>
      </c>
    </row>
    <row r="232" spans="1:32" ht="15.65" customHeight="1" x14ac:dyDescent="0.35">
      <c r="A232" s="5" t="s">
        <v>175</v>
      </c>
      <c r="B232" s="5" t="s">
        <v>203</v>
      </c>
      <c r="C232" s="5" t="s">
        <v>47</v>
      </c>
      <c r="D232" s="5">
        <v>3000045</v>
      </c>
      <c r="E232" s="11">
        <v>3000046</v>
      </c>
      <c r="F232" s="11" t="s">
        <v>204</v>
      </c>
      <c r="G232" s="5" t="s">
        <v>205</v>
      </c>
      <c r="H232" s="5" t="s">
        <v>54</v>
      </c>
      <c r="I232" s="5">
        <v>6959816</v>
      </c>
      <c r="J232" s="6">
        <v>46128</v>
      </c>
      <c r="K232" s="6">
        <v>46128</v>
      </c>
      <c r="L232" s="6">
        <v>46128</v>
      </c>
      <c r="M232" s="7">
        <v>4</v>
      </c>
      <c r="N232" s="7">
        <v>-49000</v>
      </c>
      <c r="O232" s="7">
        <v>-49000</v>
      </c>
      <c r="P232" s="7">
        <v>0</v>
      </c>
      <c r="Q232" s="7">
        <v>-49000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5" t="s">
        <v>47</v>
      </c>
      <c r="Z232" s="6"/>
      <c r="AA232" s="5" t="s">
        <v>55</v>
      </c>
      <c r="AB232" s="5" t="s">
        <v>51</v>
      </c>
      <c r="AC232" s="5" t="s">
        <v>51</v>
      </c>
      <c r="AD232" s="5" t="s">
        <v>51</v>
      </c>
      <c r="AE232" s="5" t="s">
        <v>51</v>
      </c>
      <c r="AF232" s="5" t="s">
        <v>259</v>
      </c>
    </row>
    <row r="233" spans="1:32" ht="15.65" customHeight="1" x14ac:dyDescent="0.35">
      <c r="A233" s="5" t="s">
        <v>175</v>
      </c>
      <c r="B233" s="5" t="s">
        <v>203</v>
      </c>
      <c r="C233" s="5" t="s">
        <v>47</v>
      </c>
      <c r="D233" s="5">
        <v>3000045</v>
      </c>
      <c r="E233" s="11">
        <v>3000046</v>
      </c>
      <c r="F233" s="11" t="s">
        <v>204</v>
      </c>
      <c r="G233" s="5" t="s">
        <v>205</v>
      </c>
      <c r="H233" s="5" t="s">
        <v>54</v>
      </c>
      <c r="I233" s="5">
        <v>6959817</v>
      </c>
      <c r="J233" s="6">
        <v>46128</v>
      </c>
      <c r="K233" s="6">
        <v>46128</v>
      </c>
      <c r="L233" s="6">
        <v>46128</v>
      </c>
      <c r="M233" s="7">
        <v>4</v>
      </c>
      <c r="N233" s="7">
        <v>-245000</v>
      </c>
      <c r="O233" s="7">
        <v>-245000</v>
      </c>
      <c r="P233" s="7">
        <v>0</v>
      </c>
      <c r="Q233" s="7">
        <v>-245000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5" t="s">
        <v>47</v>
      </c>
      <c r="Z233" s="6"/>
      <c r="AA233" s="5" t="s">
        <v>55</v>
      </c>
      <c r="AB233" s="5" t="s">
        <v>51</v>
      </c>
      <c r="AC233" s="5" t="s">
        <v>51</v>
      </c>
      <c r="AD233" s="5" t="s">
        <v>51</v>
      </c>
      <c r="AE233" s="5" t="s">
        <v>51</v>
      </c>
      <c r="AF233" s="5" t="s">
        <v>260</v>
      </c>
    </row>
    <row r="234" spans="1:32" ht="15.65" customHeight="1" x14ac:dyDescent="0.35">
      <c r="A234" s="5" t="s">
        <v>175</v>
      </c>
      <c r="B234" s="5" t="s">
        <v>203</v>
      </c>
      <c r="C234" s="5" t="s">
        <v>47</v>
      </c>
      <c r="D234" s="5">
        <v>3000045</v>
      </c>
      <c r="E234" s="11">
        <v>3000046</v>
      </c>
      <c r="F234" s="11" t="s">
        <v>204</v>
      </c>
      <c r="G234" s="5" t="s">
        <v>205</v>
      </c>
      <c r="H234" s="5" t="s">
        <v>54</v>
      </c>
      <c r="I234" s="5">
        <v>6959818</v>
      </c>
      <c r="J234" s="6">
        <v>46128</v>
      </c>
      <c r="K234" s="6">
        <v>46128</v>
      </c>
      <c r="L234" s="6">
        <v>46128</v>
      </c>
      <c r="M234" s="7">
        <v>4</v>
      </c>
      <c r="N234" s="7">
        <v>-98000</v>
      </c>
      <c r="O234" s="7">
        <v>-98000</v>
      </c>
      <c r="P234" s="7">
        <v>0</v>
      </c>
      <c r="Q234" s="7">
        <v>-98000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5" t="s">
        <v>47</v>
      </c>
      <c r="Z234" s="6"/>
      <c r="AA234" s="5" t="s">
        <v>55</v>
      </c>
      <c r="AB234" s="5" t="s">
        <v>51</v>
      </c>
      <c r="AC234" s="5" t="s">
        <v>51</v>
      </c>
      <c r="AD234" s="5" t="s">
        <v>51</v>
      </c>
      <c r="AE234" s="5" t="s">
        <v>51</v>
      </c>
      <c r="AF234" s="5" t="s">
        <v>259</v>
      </c>
    </row>
    <row r="235" spans="1:32" ht="15.65" customHeight="1" x14ac:dyDescent="0.35">
      <c r="A235" s="5" t="s">
        <v>175</v>
      </c>
      <c r="B235" s="5" t="s">
        <v>203</v>
      </c>
      <c r="C235" s="5" t="s">
        <v>47</v>
      </c>
      <c r="D235" s="5">
        <v>3000045</v>
      </c>
      <c r="E235" s="5">
        <v>3000046</v>
      </c>
      <c r="F235" s="5" t="s">
        <v>204</v>
      </c>
      <c r="G235" s="5" t="s">
        <v>205</v>
      </c>
      <c r="H235" s="5" t="s">
        <v>54</v>
      </c>
      <c r="I235" s="5">
        <v>6959819</v>
      </c>
      <c r="J235" s="6">
        <v>46128</v>
      </c>
      <c r="K235" s="6">
        <v>46128</v>
      </c>
      <c r="L235" s="6">
        <v>46128</v>
      </c>
      <c r="M235" s="7">
        <v>4</v>
      </c>
      <c r="N235" s="7">
        <v>-490000</v>
      </c>
      <c r="O235" s="7">
        <v>-490000</v>
      </c>
      <c r="P235" s="7">
        <v>0</v>
      </c>
      <c r="Q235" s="7">
        <v>-490000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5" t="s">
        <v>47</v>
      </c>
      <c r="Z235" s="6"/>
      <c r="AA235" s="5" t="s">
        <v>55</v>
      </c>
      <c r="AB235" s="5" t="s">
        <v>51</v>
      </c>
      <c r="AC235" s="5" t="s">
        <v>51</v>
      </c>
      <c r="AD235" s="5" t="s">
        <v>51</v>
      </c>
      <c r="AE235" s="5" t="s">
        <v>51</v>
      </c>
      <c r="AF235" s="5" t="s">
        <v>260</v>
      </c>
    </row>
    <row r="236" spans="1:32" ht="15.65" customHeight="1" x14ac:dyDescent="0.35">
      <c r="A236" s="5" t="s">
        <v>175</v>
      </c>
      <c r="B236" s="5" t="s">
        <v>203</v>
      </c>
      <c r="C236" s="5" t="s">
        <v>47</v>
      </c>
      <c r="D236" s="5">
        <v>3000045</v>
      </c>
      <c r="E236" s="11">
        <v>3000046</v>
      </c>
      <c r="F236" s="11" t="s">
        <v>204</v>
      </c>
      <c r="G236" s="5" t="s">
        <v>205</v>
      </c>
      <c r="H236" s="5" t="s">
        <v>54</v>
      </c>
      <c r="I236" s="5">
        <v>6959820</v>
      </c>
      <c r="J236" s="6">
        <v>46128</v>
      </c>
      <c r="K236" s="6">
        <v>46128</v>
      </c>
      <c r="L236" s="6">
        <v>46128</v>
      </c>
      <c r="M236" s="7">
        <v>4</v>
      </c>
      <c r="N236" s="7">
        <v>-49000</v>
      </c>
      <c r="O236" s="7">
        <v>-49000</v>
      </c>
      <c r="P236" s="7">
        <v>0</v>
      </c>
      <c r="Q236" s="7">
        <v>-49000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5" t="s">
        <v>47</v>
      </c>
      <c r="Z236" s="6"/>
      <c r="AA236" s="5" t="s">
        <v>55</v>
      </c>
      <c r="AB236" s="5" t="s">
        <v>51</v>
      </c>
      <c r="AC236" s="5" t="s">
        <v>51</v>
      </c>
      <c r="AD236" s="5" t="s">
        <v>51</v>
      </c>
      <c r="AE236" s="5" t="s">
        <v>51</v>
      </c>
      <c r="AF236" s="5" t="s">
        <v>259</v>
      </c>
    </row>
    <row r="237" spans="1:32" ht="15.65" customHeight="1" x14ac:dyDescent="0.35">
      <c r="A237" s="5" t="s">
        <v>175</v>
      </c>
      <c r="B237" s="5" t="s">
        <v>203</v>
      </c>
      <c r="C237" s="5" t="s">
        <v>47</v>
      </c>
      <c r="D237" s="5">
        <v>3000045</v>
      </c>
      <c r="E237" s="5">
        <v>3000046</v>
      </c>
      <c r="F237" s="5" t="s">
        <v>204</v>
      </c>
      <c r="G237" s="5" t="s">
        <v>205</v>
      </c>
      <c r="H237" s="5" t="s">
        <v>54</v>
      </c>
      <c r="I237" s="5">
        <v>6959821</v>
      </c>
      <c r="J237" s="6">
        <v>46128</v>
      </c>
      <c r="K237" s="6">
        <v>46128</v>
      </c>
      <c r="L237" s="6">
        <v>46128</v>
      </c>
      <c r="M237" s="7">
        <v>4</v>
      </c>
      <c r="N237" s="7">
        <v>-98000</v>
      </c>
      <c r="O237" s="7">
        <v>-98000</v>
      </c>
      <c r="P237" s="7">
        <v>0</v>
      </c>
      <c r="Q237" s="7">
        <v>-98000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5" t="s">
        <v>47</v>
      </c>
      <c r="Z237" s="6"/>
      <c r="AA237" s="5" t="s">
        <v>55</v>
      </c>
      <c r="AB237" s="5" t="s">
        <v>51</v>
      </c>
      <c r="AC237" s="5" t="s">
        <v>51</v>
      </c>
      <c r="AD237" s="5" t="s">
        <v>51</v>
      </c>
      <c r="AE237" s="5" t="s">
        <v>51</v>
      </c>
      <c r="AF237" s="5" t="s">
        <v>259</v>
      </c>
    </row>
    <row r="238" spans="1:32" ht="15.65" customHeight="1" x14ac:dyDescent="0.35">
      <c r="A238" s="5" t="s">
        <v>175</v>
      </c>
      <c r="B238" s="5" t="s">
        <v>203</v>
      </c>
      <c r="C238" s="5" t="s">
        <v>47</v>
      </c>
      <c r="D238" s="5">
        <v>3000045</v>
      </c>
      <c r="E238" s="11">
        <v>3000045</v>
      </c>
      <c r="F238" s="11" t="s">
        <v>204</v>
      </c>
      <c r="G238" s="5" t="s">
        <v>204</v>
      </c>
      <c r="H238" s="5" t="s">
        <v>54</v>
      </c>
      <c r="I238" s="5">
        <v>6959825</v>
      </c>
      <c r="J238" s="6">
        <v>46129</v>
      </c>
      <c r="K238" s="6">
        <v>46129</v>
      </c>
      <c r="L238" s="6">
        <v>46129</v>
      </c>
      <c r="M238" s="7">
        <v>3</v>
      </c>
      <c r="N238" s="7">
        <v>-7470650</v>
      </c>
      <c r="O238" s="7">
        <v>-7470650</v>
      </c>
      <c r="P238" s="7">
        <v>0</v>
      </c>
      <c r="Q238" s="7">
        <v>-7470650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5" t="s">
        <v>47</v>
      </c>
      <c r="Z238" s="6"/>
      <c r="AA238" s="5" t="s">
        <v>55</v>
      </c>
      <c r="AB238" s="5" t="s">
        <v>51</v>
      </c>
      <c r="AC238" s="5" t="s">
        <v>51</v>
      </c>
      <c r="AD238" s="5" t="s">
        <v>51</v>
      </c>
      <c r="AE238" s="5" t="s">
        <v>51</v>
      </c>
      <c r="AF238" s="5" t="s">
        <v>261</v>
      </c>
    </row>
    <row r="239" spans="1:32" ht="15.65" customHeight="1" x14ac:dyDescent="0.35">
      <c r="A239" s="5" t="s">
        <v>175</v>
      </c>
      <c r="B239" s="5" t="s">
        <v>203</v>
      </c>
      <c r="C239" s="5" t="s">
        <v>47</v>
      </c>
      <c r="D239" s="5">
        <v>3000045</v>
      </c>
      <c r="E239" s="11">
        <v>3100585</v>
      </c>
      <c r="F239" s="11" t="s">
        <v>204</v>
      </c>
      <c r="G239" s="5" t="s">
        <v>205</v>
      </c>
      <c r="H239" s="5" t="s">
        <v>54</v>
      </c>
      <c r="I239" s="5">
        <v>6959846</v>
      </c>
      <c r="J239" s="6">
        <v>46129</v>
      </c>
      <c r="K239" s="6">
        <v>46129</v>
      </c>
      <c r="L239" s="6">
        <v>46129</v>
      </c>
      <c r="M239" s="7">
        <v>3</v>
      </c>
      <c r="N239" s="7">
        <v>-1079500</v>
      </c>
      <c r="O239" s="7">
        <v>-1079500</v>
      </c>
      <c r="P239" s="7">
        <v>0</v>
      </c>
      <c r="Q239" s="7">
        <v>-1079500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5" t="s">
        <v>47</v>
      </c>
      <c r="Z239" s="6"/>
      <c r="AA239" s="5" t="s">
        <v>55</v>
      </c>
      <c r="AB239" s="5" t="s">
        <v>51</v>
      </c>
      <c r="AC239" s="5" t="s">
        <v>51</v>
      </c>
      <c r="AD239" s="5" t="s">
        <v>51</v>
      </c>
      <c r="AE239" s="5" t="s">
        <v>51</v>
      </c>
      <c r="AF239" s="5" t="s">
        <v>262</v>
      </c>
    </row>
    <row r="240" spans="1:32" ht="15.65" customHeight="1" x14ac:dyDescent="0.35">
      <c r="A240" s="5" t="s">
        <v>175</v>
      </c>
      <c r="B240" s="5" t="s">
        <v>203</v>
      </c>
      <c r="C240" s="5" t="s">
        <v>47</v>
      </c>
      <c r="D240" s="5">
        <v>3000045</v>
      </c>
      <c r="E240" s="5">
        <v>3000532</v>
      </c>
      <c r="F240" s="5" t="s">
        <v>204</v>
      </c>
      <c r="G240" s="5" t="s">
        <v>205</v>
      </c>
      <c r="H240" s="5" t="s">
        <v>54</v>
      </c>
      <c r="I240" s="5">
        <v>6959847</v>
      </c>
      <c r="J240" s="6">
        <v>46129</v>
      </c>
      <c r="K240" s="6">
        <v>46129</v>
      </c>
      <c r="L240" s="6">
        <v>46129</v>
      </c>
      <c r="M240" s="7">
        <v>3</v>
      </c>
      <c r="N240" s="7">
        <v>-1534250</v>
      </c>
      <c r="O240" s="7">
        <v>-1534250</v>
      </c>
      <c r="P240" s="7">
        <v>0</v>
      </c>
      <c r="Q240" s="7">
        <v>-1534250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5" t="s">
        <v>47</v>
      </c>
      <c r="Z240" s="6"/>
      <c r="AA240" s="5" t="s">
        <v>55</v>
      </c>
      <c r="AB240" s="5" t="s">
        <v>51</v>
      </c>
      <c r="AC240" s="5" t="s">
        <v>51</v>
      </c>
      <c r="AD240" s="5" t="s">
        <v>51</v>
      </c>
      <c r="AE240" s="5" t="s">
        <v>51</v>
      </c>
      <c r="AF240" s="5" t="s">
        <v>262</v>
      </c>
    </row>
    <row r="241" spans="1:32" ht="15.65" customHeight="1" x14ac:dyDescent="0.35">
      <c r="A241" s="5" t="s">
        <v>175</v>
      </c>
      <c r="B241" s="5" t="s">
        <v>203</v>
      </c>
      <c r="C241" s="5" t="s">
        <v>47</v>
      </c>
      <c r="D241" s="5">
        <v>3000045</v>
      </c>
      <c r="E241" s="11">
        <v>3000046</v>
      </c>
      <c r="F241" s="11" t="s">
        <v>204</v>
      </c>
      <c r="G241" s="5" t="s">
        <v>205</v>
      </c>
      <c r="H241" s="5" t="s">
        <v>54</v>
      </c>
      <c r="I241" s="5">
        <v>6959892</v>
      </c>
      <c r="J241" s="6">
        <v>46129</v>
      </c>
      <c r="K241" s="6">
        <v>46129</v>
      </c>
      <c r="L241" s="6">
        <v>46129</v>
      </c>
      <c r="M241" s="7">
        <v>3</v>
      </c>
      <c r="N241" s="7">
        <v>-6094500</v>
      </c>
      <c r="O241" s="7">
        <v>-6094500</v>
      </c>
      <c r="P241" s="7">
        <v>0</v>
      </c>
      <c r="Q241" s="7">
        <v>-6094500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5" t="s">
        <v>47</v>
      </c>
      <c r="Z241" s="6"/>
      <c r="AA241" s="5" t="s">
        <v>55</v>
      </c>
      <c r="AB241" s="5" t="s">
        <v>51</v>
      </c>
      <c r="AC241" s="5" t="s">
        <v>51</v>
      </c>
      <c r="AD241" s="5" t="s">
        <v>51</v>
      </c>
      <c r="AE241" s="5" t="s">
        <v>51</v>
      </c>
      <c r="AF241" s="5" t="s">
        <v>263</v>
      </c>
    </row>
    <row r="242" spans="1:32" ht="15.65" customHeight="1" x14ac:dyDescent="0.35">
      <c r="A242" s="5" t="s">
        <v>175</v>
      </c>
      <c r="B242" s="5" t="s">
        <v>203</v>
      </c>
      <c r="C242" s="5" t="s">
        <v>47</v>
      </c>
      <c r="D242" s="5">
        <v>3000045</v>
      </c>
      <c r="E242" s="11">
        <v>3000045</v>
      </c>
      <c r="F242" s="11" t="s">
        <v>204</v>
      </c>
      <c r="G242" s="5" t="s">
        <v>204</v>
      </c>
      <c r="H242" s="5" t="s">
        <v>54</v>
      </c>
      <c r="I242" s="5">
        <v>6959906</v>
      </c>
      <c r="J242" s="6">
        <v>46129</v>
      </c>
      <c r="K242" s="6">
        <v>46129</v>
      </c>
      <c r="L242" s="6">
        <v>46129</v>
      </c>
      <c r="M242" s="7">
        <v>3</v>
      </c>
      <c r="N242" s="7">
        <v>-3755725</v>
      </c>
      <c r="O242" s="7">
        <v>-3755725</v>
      </c>
      <c r="P242" s="7">
        <v>0</v>
      </c>
      <c r="Q242" s="7">
        <v>-3755725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5" t="s">
        <v>47</v>
      </c>
      <c r="Z242" s="6"/>
      <c r="AA242" s="5" t="s">
        <v>55</v>
      </c>
      <c r="AB242" s="5" t="s">
        <v>51</v>
      </c>
      <c r="AC242" s="5" t="s">
        <v>51</v>
      </c>
      <c r="AD242" s="5" t="s">
        <v>51</v>
      </c>
      <c r="AE242" s="5" t="s">
        <v>51</v>
      </c>
      <c r="AF242" s="5" t="s">
        <v>264</v>
      </c>
    </row>
    <row r="243" spans="1:32" ht="15.65" customHeight="1" x14ac:dyDescent="0.35">
      <c r="A243" s="5" t="s">
        <v>175</v>
      </c>
      <c r="B243" s="5" t="s">
        <v>203</v>
      </c>
      <c r="C243" s="5" t="s">
        <v>47</v>
      </c>
      <c r="D243" s="5">
        <v>3000045</v>
      </c>
      <c r="E243" s="11">
        <v>3000045</v>
      </c>
      <c r="F243" s="11" t="s">
        <v>204</v>
      </c>
      <c r="G243" s="5" t="s">
        <v>204</v>
      </c>
      <c r="H243" s="5" t="s">
        <v>54</v>
      </c>
      <c r="I243" s="5">
        <v>6959907</v>
      </c>
      <c r="J243" s="6">
        <v>46129</v>
      </c>
      <c r="K243" s="6">
        <v>46129</v>
      </c>
      <c r="L243" s="6">
        <v>46129</v>
      </c>
      <c r="M243" s="7">
        <v>3</v>
      </c>
      <c r="N243" s="7">
        <v>-10083975</v>
      </c>
      <c r="O243" s="7">
        <v>-10083975</v>
      </c>
      <c r="P243" s="7">
        <v>0</v>
      </c>
      <c r="Q243" s="7">
        <v>-10083975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5" t="s">
        <v>47</v>
      </c>
      <c r="Z243" s="6"/>
      <c r="AA243" s="5" t="s">
        <v>55</v>
      </c>
      <c r="AB243" s="5" t="s">
        <v>51</v>
      </c>
      <c r="AC243" s="5" t="s">
        <v>51</v>
      </c>
      <c r="AD243" s="5" t="s">
        <v>51</v>
      </c>
      <c r="AE243" s="5" t="s">
        <v>51</v>
      </c>
      <c r="AF243" s="5" t="s">
        <v>265</v>
      </c>
    </row>
    <row r="244" spans="1:32" ht="15.65" customHeight="1" x14ac:dyDescent="0.35">
      <c r="A244" s="5" t="s">
        <v>175</v>
      </c>
      <c r="B244" s="5" t="s">
        <v>203</v>
      </c>
      <c r="C244" s="5" t="s">
        <v>47</v>
      </c>
      <c r="D244" s="5">
        <v>3000045</v>
      </c>
      <c r="E244" s="11">
        <v>3000045</v>
      </c>
      <c r="F244" s="11" t="s">
        <v>204</v>
      </c>
      <c r="G244" s="5" t="s">
        <v>204</v>
      </c>
      <c r="H244" s="5" t="s">
        <v>54</v>
      </c>
      <c r="I244" s="5">
        <v>9905790</v>
      </c>
      <c r="J244" s="6">
        <v>46072</v>
      </c>
      <c r="K244" s="6">
        <v>46072</v>
      </c>
      <c r="L244" s="6">
        <v>46132</v>
      </c>
      <c r="M244" s="7">
        <v>0</v>
      </c>
      <c r="N244" s="7">
        <v>526998660</v>
      </c>
      <c r="O244" s="7">
        <v>0</v>
      </c>
      <c r="P244" s="7">
        <v>526998660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5" t="s">
        <v>47</v>
      </c>
      <c r="Z244" s="6"/>
      <c r="AA244" s="5" t="s">
        <v>55</v>
      </c>
      <c r="AB244" s="5" t="s">
        <v>266</v>
      </c>
      <c r="AC244" s="5" t="s">
        <v>51</v>
      </c>
      <c r="AD244" s="5" t="s">
        <v>51</v>
      </c>
      <c r="AE244" s="5" t="s">
        <v>51</v>
      </c>
      <c r="AF244" s="5" t="s">
        <v>267</v>
      </c>
    </row>
    <row r="245" spans="1:32" ht="15.65" customHeight="1" x14ac:dyDescent="0.35">
      <c r="A245" s="5" t="s">
        <v>175</v>
      </c>
      <c r="B245" s="5" t="s">
        <v>203</v>
      </c>
      <c r="C245" s="5" t="s">
        <v>47</v>
      </c>
      <c r="D245" s="5">
        <v>3000045</v>
      </c>
      <c r="E245" s="5">
        <v>3000046</v>
      </c>
      <c r="F245" s="5" t="s">
        <v>204</v>
      </c>
      <c r="G245" s="5" t="s">
        <v>205</v>
      </c>
      <c r="H245" s="5" t="s">
        <v>54</v>
      </c>
      <c r="I245" s="5">
        <v>9906257</v>
      </c>
      <c r="J245" s="6">
        <v>46072</v>
      </c>
      <c r="K245" s="6">
        <v>46072</v>
      </c>
      <c r="L245" s="6">
        <v>46132</v>
      </c>
      <c r="M245" s="7">
        <v>0</v>
      </c>
      <c r="N245" s="7">
        <v>545585757</v>
      </c>
      <c r="O245" s="7">
        <v>0</v>
      </c>
      <c r="P245" s="7">
        <v>545585757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5" t="s">
        <v>47</v>
      </c>
      <c r="Z245" s="6"/>
      <c r="AA245" s="5" t="s">
        <v>55</v>
      </c>
      <c r="AB245" s="5" t="s">
        <v>268</v>
      </c>
      <c r="AC245" s="5" t="s">
        <v>51</v>
      </c>
      <c r="AD245" s="5" t="s">
        <v>51</v>
      </c>
      <c r="AE245" s="5" t="s">
        <v>51</v>
      </c>
      <c r="AF245" s="5" t="s">
        <v>269</v>
      </c>
    </row>
    <row r="246" spans="1:32" ht="15.65" customHeight="1" x14ac:dyDescent="0.35">
      <c r="A246" s="5" t="s">
        <v>175</v>
      </c>
      <c r="B246" s="5" t="s">
        <v>203</v>
      </c>
      <c r="C246" s="5" t="s">
        <v>47</v>
      </c>
      <c r="D246" s="5">
        <v>3000045</v>
      </c>
      <c r="E246" s="11">
        <v>3000046</v>
      </c>
      <c r="F246" s="11" t="s">
        <v>204</v>
      </c>
      <c r="G246" s="5" t="s">
        <v>205</v>
      </c>
      <c r="H246" s="5" t="s">
        <v>54</v>
      </c>
      <c r="I246" s="5">
        <v>9906290</v>
      </c>
      <c r="J246" s="6">
        <v>46072</v>
      </c>
      <c r="K246" s="6">
        <v>46072</v>
      </c>
      <c r="L246" s="6">
        <v>46132</v>
      </c>
      <c r="M246" s="7">
        <v>0</v>
      </c>
      <c r="N246" s="7">
        <v>546613666</v>
      </c>
      <c r="O246" s="7">
        <v>0</v>
      </c>
      <c r="P246" s="7">
        <v>546613666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5" t="s">
        <v>47</v>
      </c>
      <c r="Z246" s="6"/>
      <c r="AA246" s="5" t="s">
        <v>55</v>
      </c>
      <c r="AB246" s="5" t="s">
        <v>270</v>
      </c>
      <c r="AC246" s="5" t="s">
        <v>51</v>
      </c>
      <c r="AD246" s="5" t="s">
        <v>51</v>
      </c>
      <c r="AE246" s="5" t="s">
        <v>51</v>
      </c>
      <c r="AF246" s="5" t="s">
        <v>271</v>
      </c>
    </row>
    <row r="247" spans="1:32" ht="15.65" customHeight="1" x14ac:dyDescent="0.35">
      <c r="A247" s="5" t="s">
        <v>175</v>
      </c>
      <c r="B247" s="5" t="s">
        <v>203</v>
      </c>
      <c r="C247" s="5" t="s">
        <v>47</v>
      </c>
      <c r="D247" s="5">
        <v>3000045</v>
      </c>
      <c r="E247" s="11">
        <v>3000045</v>
      </c>
      <c r="F247" s="11" t="s">
        <v>204</v>
      </c>
      <c r="G247" s="5" t="s">
        <v>204</v>
      </c>
      <c r="H247" s="5" t="s">
        <v>54</v>
      </c>
      <c r="I247" s="5">
        <v>9906295</v>
      </c>
      <c r="J247" s="6">
        <v>46072</v>
      </c>
      <c r="K247" s="6">
        <v>46072</v>
      </c>
      <c r="L247" s="6">
        <v>46132</v>
      </c>
      <c r="M247" s="7">
        <v>0</v>
      </c>
      <c r="N247" s="7">
        <v>398708601</v>
      </c>
      <c r="O247" s="7">
        <v>0</v>
      </c>
      <c r="P247" s="7">
        <v>398708601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5" t="s">
        <v>47</v>
      </c>
      <c r="Z247" s="6"/>
      <c r="AA247" s="5" t="s">
        <v>55</v>
      </c>
      <c r="AB247" s="5" t="s">
        <v>272</v>
      </c>
      <c r="AC247" s="5" t="s">
        <v>51</v>
      </c>
      <c r="AD247" s="5" t="s">
        <v>51</v>
      </c>
      <c r="AE247" s="5" t="s">
        <v>51</v>
      </c>
      <c r="AF247" s="5" t="s">
        <v>273</v>
      </c>
    </row>
    <row r="248" spans="1:32" ht="15.65" customHeight="1" x14ac:dyDescent="0.35">
      <c r="A248" s="5" t="s">
        <v>175</v>
      </c>
      <c r="B248" s="5" t="s">
        <v>203</v>
      </c>
      <c r="C248" s="5" t="s">
        <v>47</v>
      </c>
      <c r="D248" s="5">
        <v>3000045</v>
      </c>
      <c r="E248" s="11">
        <v>3000045</v>
      </c>
      <c r="F248" s="11" t="s">
        <v>204</v>
      </c>
      <c r="G248" s="5" t="s">
        <v>204</v>
      </c>
      <c r="H248" s="5" t="s">
        <v>54</v>
      </c>
      <c r="I248" s="5">
        <v>9906299</v>
      </c>
      <c r="J248" s="6">
        <v>46072</v>
      </c>
      <c r="K248" s="6">
        <v>46072</v>
      </c>
      <c r="L248" s="6">
        <v>46132</v>
      </c>
      <c r="M248" s="7">
        <v>0</v>
      </c>
      <c r="N248" s="7">
        <v>1320412</v>
      </c>
      <c r="O248" s="7">
        <v>0</v>
      </c>
      <c r="P248" s="7">
        <v>1320412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5" t="s">
        <v>47</v>
      </c>
      <c r="Z248" s="6"/>
      <c r="AA248" s="5" t="s">
        <v>55</v>
      </c>
      <c r="AB248" s="5" t="s">
        <v>274</v>
      </c>
      <c r="AC248" s="5" t="s">
        <v>51</v>
      </c>
      <c r="AD248" s="5" t="s">
        <v>51</v>
      </c>
      <c r="AE248" s="5" t="s">
        <v>51</v>
      </c>
      <c r="AF248" s="5" t="s">
        <v>243</v>
      </c>
    </row>
    <row r="249" spans="1:32" ht="15.65" customHeight="1" x14ac:dyDescent="0.35">
      <c r="A249" s="5" t="s">
        <v>175</v>
      </c>
      <c r="B249" s="5" t="s">
        <v>203</v>
      </c>
      <c r="C249" s="5" t="s">
        <v>47</v>
      </c>
      <c r="D249" s="5">
        <v>3000045</v>
      </c>
      <c r="E249" s="11">
        <v>3000045</v>
      </c>
      <c r="F249" s="11" t="s">
        <v>204</v>
      </c>
      <c r="G249" s="5" t="s">
        <v>204</v>
      </c>
      <c r="H249" s="5" t="s">
        <v>54</v>
      </c>
      <c r="I249" s="5">
        <v>9906302</v>
      </c>
      <c r="J249" s="6">
        <v>46072</v>
      </c>
      <c r="K249" s="6">
        <v>46072</v>
      </c>
      <c r="L249" s="6">
        <v>46132</v>
      </c>
      <c r="M249" s="7">
        <v>0</v>
      </c>
      <c r="N249" s="7">
        <v>464490950</v>
      </c>
      <c r="O249" s="7">
        <v>0</v>
      </c>
      <c r="P249" s="7">
        <v>464490950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5" t="s">
        <v>47</v>
      </c>
      <c r="Z249" s="6"/>
      <c r="AA249" s="5" t="s">
        <v>55</v>
      </c>
      <c r="AB249" s="5" t="s">
        <v>275</v>
      </c>
      <c r="AC249" s="5" t="s">
        <v>51</v>
      </c>
      <c r="AD249" s="5" t="s">
        <v>51</v>
      </c>
      <c r="AE249" s="5" t="s">
        <v>51</v>
      </c>
      <c r="AF249" s="5" t="s">
        <v>271</v>
      </c>
    </row>
    <row r="250" spans="1:32" ht="15.65" customHeight="1" x14ac:dyDescent="0.35">
      <c r="A250" s="5" t="s">
        <v>175</v>
      </c>
      <c r="B250" s="5" t="s">
        <v>203</v>
      </c>
      <c r="C250" s="5" t="s">
        <v>47</v>
      </c>
      <c r="D250" s="5">
        <v>3000045</v>
      </c>
      <c r="E250" s="11">
        <v>3000045</v>
      </c>
      <c r="F250" s="11" t="s">
        <v>204</v>
      </c>
      <c r="G250" s="5" t="s">
        <v>204</v>
      </c>
      <c r="H250" s="5" t="s">
        <v>54</v>
      </c>
      <c r="I250" s="5">
        <v>9906303</v>
      </c>
      <c r="J250" s="6">
        <v>46072</v>
      </c>
      <c r="K250" s="6">
        <v>46072</v>
      </c>
      <c r="L250" s="6">
        <v>46132</v>
      </c>
      <c r="M250" s="7">
        <v>0</v>
      </c>
      <c r="N250" s="7">
        <v>481180625</v>
      </c>
      <c r="O250" s="7">
        <v>0</v>
      </c>
      <c r="P250" s="7">
        <v>481180625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5" t="s">
        <v>47</v>
      </c>
      <c r="Z250" s="6"/>
      <c r="AA250" s="5" t="s">
        <v>55</v>
      </c>
      <c r="AB250" s="5" t="s">
        <v>276</v>
      </c>
      <c r="AC250" s="5" t="s">
        <v>51</v>
      </c>
      <c r="AD250" s="5" t="s">
        <v>51</v>
      </c>
      <c r="AE250" s="5" t="s">
        <v>51</v>
      </c>
      <c r="AF250" s="5" t="s">
        <v>277</v>
      </c>
    </row>
    <row r="251" spans="1:32" ht="15.65" customHeight="1" x14ac:dyDescent="0.35">
      <c r="A251" s="5" t="s">
        <v>175</v>
      </c>
      <c r="B251" s="5" t="s">
        <v>203</v>
      </c>
      <c r="C251" s="5" t="s">
        <v>47</v>
      </c>
      <c r="D251" s="5">
        <v>3000045</v>
      </c>
      <c r="E251" s="11">
        <v>3000046</v>
      </c>
      <c r="F251" s="11" t="s">
        <v>204</v>
      </c>
      <c r="G251" s="5" t="s">
        <v>205</v>
      </c>
      <c r="H251" s="5" t="s">
        <v>54</v>
      </c>
      <c r="I251" s="5">
        <v>9906678</v>
      </c>
      <c r="J251" s="6">
        <v>46074</v>
      </c>
      <c r="K251" s="6">
        <v>46074</v>
      </c>
      <c r="L251" s="6">
        <v>46134</v>
      </c>
      <c r="M251" s="7">
        <v>-2</v>
      </c>
      <c r="N251" s="7">
        <v>561645335</v>
      </c>
      <c r="O251" s="7">
        <v>0</v>
      </c>
      <c r="P251" s="7">
        <v>561645335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5" t="s">
        <v>47</v>
      </c>
      <c r="Z251" s="6"/>
      <c r="AA251" s="5" t="s">
        <v>55</v>
      </c>
      <c r="AB251" s="5" t="s">
        <v>51</v>
      </c>
      <c r="AC251" s="5" t="s">
        <v>278</v>
      </c>
      <c r="AD251" s="5" t="s">
        <v>51</v>
      </c>
      <c r="AE251" s="5" t="s">
        <v>51</v>
      </c>
      <c r="AF251" s="5" t="s">
        <v>279</v>
      </c>
    </row>
    <row r="252" spans="1:32" ht="15.65" customHeight="1" x14ac:dyDescent="0.35">
      <c r="A252" s="5" t="s">
        <v>175</v>
      </c>
      <c r="B252" s="5" t="s">
        <v>203</v>
      </c>
      <c r="C252" s="5" t="s">
        <v>47</v>
      </c>
      <c r="D252" s="5">
        <v>3000045</v>
      </c>
      <c r="E252" s="5">
        <v>3000046</v>
      </c>
      <c r="F252" s="5" t="s">
        <v>204</v>
      </c>
      <c r="G252" s="5" t="s">
        <v>205</v>
      </c>
      <c r="H252" s="5" t="s">
        <v>54</v>
      </c>
      <c r="I252" s="5">
        <v>9906695</v>
      </c>
      <c r="J252" s="6">
        <v>46074</v>
      </c>
      <c r="K252" s="6">
        <v>46074</v>
      </c>
      <c r="L252" s="6">
        <v>46134</v>
      </c>
      <c r="M252" s="7">
        <v>-2</v>
      </c>
      <c r="N252" s="7">
        <v>5421347</v>
      </c>
      <c r="O252" s="7">
        <v>0</v>
      </c>
      <c r="P252" s="7">
        <v>5421347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5" t="s">
        <v>47</v>
      </c>
      <c r="Z252" s="6"/>
      <c r="AA252" s="5" t="s">
        <v>55</v>
      </c>
      <c r="AB252" s="5" t="s">
        <v>51</v>
      </c>
      <c r="AC252" s="5" t="s">
        <v>280</v>
      </c>
      <c r="AD252" s="5" t="s">
        <v>51</v>
      </c>
      <c r="AE252" s="5" t="s">
        <v>51</v>
      </c>
      <c r="AF252" s="5" t="s">
        <v>281</v>
      </c>
    </row>
    <row r="253" spans="1:32" ht="15.65" customHeight="1" x14ac:dyDescent="0.35">
      <c r="A253" s="5" t="s">
        <v>175</v>
      </c>
      <c r="B253" s="5" t="s">
        <v>203</v>
      </c>
      <c r="C253" s="5" t="s">
        <v>47</v>
      </c>
      <c r="D253" s="5">
        <v>3000045</v>
      </c>
      <c r="E253" s="11">
        <v>3000045</v>
      </c>
      <c r="F253" s="11" t="s">
        <v>204</v>
      </c>
      <c r="G253" s="5" t="s">
        <v>204</v>
      </c>
      <c r="H253" s="5" t="s">
        <v>54</v>
      </c>
      <c r="I253" s="5">
        <v>9910309</v>
      </c>
      <c r="J253" s="6">
        <v>46081</v>
      </c>
      <c r="K253" s="6">
        <v>46081</v>
      </c>
      <c r="L253" s="6">
        <v>46141</v>
      </c>
      <c r="M253" s="7">
        <v>-9</v>
      </c>
      <c r="N253" s="7">
        <v>509474572</v>
      </c>
      <c r="O253" s="7">
        <v>0</v>
      </c>
      <c r="P253" s="7">
        <v>509474572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5" t="s">
        <v>47</v>
      </c>
      <c r="Z253" s="6"/>
      <c r="AA253" s="5" t="s">
        <v>55</v>
      </c>
      <c r="AB253" s="5" t="s">
        <v>51</v>
      </c>
      <c r="AC253" s="5" t="s">
        <v>51</v>
      </c>
      <c r="AD253" s="5" t="s">
        <v>282</v>
      </c>
      <c r="AE253" s="5" t="s">
        <v>51</v>
      </c>
      <c r="AF253" s="5" t="s">
        <v>283</v>
      </c>
    </row>
    <row r="254" spans="1:32" ht="15.65" customHeight="1" x14ac:dyDescent="0.35">
      <c r="A254" s="5" t="s">
        <v>175</v>
      </c>
      <c r="B254" s="5" t="s">
        <v>203</v>
      </c>
      <c r="C254" s="5" t="s">
        <v>47</v>
      </c>
      <c r="D254" s="5">
        <v>3000045</v>
      </c>
      <c r="E254" s="11">
        <v>3000045</v>
      </c>
      <c r="F254" s="11" t="s">
        <v>204</v>
      </c>
      <c r="G254" s="5" t="s">
        <v>204</v>
      </c>
      <c r="H254" s="5" t="s">
        <v>54</v>
      </c>
      <c r="I254" s="5">
        <v>9910318</v>
      </c>
      <c r="J254" s="6">
        <v>46081</v>
      </c>
      <c r="K254" s="6">
        <v>46081</v>
      </c>
      <c r="L254" s="6">
        <v>46141</v>
      </c>
      <c r="M254" s="7">
        <v>-9</v>
      </c>
      <c r="N254" s="7">
        <v>571228283</v>
      </c>
      <c r="O254" s="7">
        <v>0</v>
      </c>
      <c r="P254" s="7">
        <v>571228283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5" t="s">
        <v>47</v>
      </c>
      <c r="Z254" s="6"/>
      <c r="AA254" s="5" t="s">
        <v>55</v>
      </c>
      <c r="AB254" s="5" t="s">
        <v>51</v>
      </c>
      <c r="AC254" s="5" t="s">
        <v>51</v>
      </c>
      <c r="AD254" s="5" t="s">
        <v>284</v>
      </c>
      <c r="AE254" s="5" t="s">
        <v>51</v>
      </c>
      <c r="AF254" s="5" t="s">
        <v>285</v>
      </c>
    </row>
    <row r="255" spans="1:32" ht="15.65" customHeight="1" x14ac:dyDescent="0.35">
      <c r="A255" s="5" t="s">
        <v>175</v>
      </c>
      <c r="B255" s="5" t="s">
        <v>203</v>
      </c>
      <c r="C255" s="5" t="s">
        <v>47</v>
      </c>
      <c r="D255" s="5">
        <v>3000045</v>
      </c>
      <c r="E255" s="11">
        <v>3000045</v>
      </c>
      <c r="F255" s="11" t="s">
        <v>204</v>
      </c>
      <c r="G255" s="5" t="s">
        <v>204</v>
      </c>
      <c r="H255" s="5" t="s">
        <v>54</v>
      </c>
      <c r="I255" s="5">
        <v>9910325</v>
      </c>
      <c r="J255" s="6">
        <v>46081</v>
      </c>
      <c r="K255" s="6">
        <v>46081</v>
      </c>
      <c r="L255" s="6">
        <v>46141</v>
      </c>
      <c r="M255" s="7">
        <v>-9</v>
      </c>
      <c r="N255" s="7">
        <v>393656869</v>
      </c>
      <c r="O255" s="7">
        <v>0</v>
      </c>
      <c r="P255" s="7">
        <v>393656869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5" t="s">
        <v>47</v>
      </c>
      <c r="Z255" s="6"/>
      <c r="AA255" s="5" t="s">
        <v>55</v>
      </c>
      <c r="AB255" s="5" t="s">
        <v>51</v>
      </c>
      <c r="AC255" s="5" t="s">
        <v>51</v>
      </c>
      <c r="AD255" s="5" t="s">
        <v>286</v>
      </c>
      <c r="AE255" s="5" t="s">
        <v>51</v>
      </c>
      <c r="AF255" s="5" t="s">
        <v>287</v>
      </c>
    </row>
    <row r="256" spans="1:32" ht="15.65" customHeight="1" x14ac:dyDescent="0.35">
      <c r="A256" s="5" t="s">
        <v>175</v>
      </c>
      <c r="B256" s="5" t="s">
        <v>203</v>
      </c>
      <c r="C256" s="5" t="s">
        <v>47</v>
      </c>
      <c r="D256" s="5">
        <v>3000045</v>
      </c>
      <c r="E256" s="5">
        <v>3000046</v>
      </c>
      <c r="F256" s="5" t="s">
        <v>204</v>
      </c>
      <c r="G256" s="5" t="s">
        <v>205</v>
      </c>
      <c r="H256" s="5" t="s">
        <v>54</v>
      </c>
      <c r="I256" s="5">
        <v>9910347</v>
      </c>
      <c r="J256" s="6">
        <v>46081</v>
      </c>
      <c r="K256" s="6">
        <v>46081</v>
      </c>
      <c r="L256" s="6">
        <v>46141</v>
      </c>
      <c r="M256" s="7">
        <v>-9</v>
      </c>
      <c r="N256" s="7">
        <v>438535885</v>
      </c>
      <c r="O256" s="7">
        <v>0</v>
      </c>
      <c r="P256" s="7">
        <v>438535885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5" t="s">
        <v>47</v>
      </c>
      <c r="Z256" s="6"/>
      <c r="AA256" s="5" t="s">
        <v>55</v>
      </c>
      <c r="AB256" s="5" t="s">
        <v>51</v>
      </c>
      <c r="AC256" s="5" t="s">
        <v>51</v>
      </c>
      <c r="AD256" s="5" t="s">
        <v>288</v>
      </c>
      <c r="AE256" s="5" t="s">
        <v>51</v>
      </c>
      <c r="AF256" s="5" t="s">
        <v>289</v>
      </c>
    </row>
    <row r="257" spans="1:32" ht="15.65" customHeight="1" x14ac:dyDescent="0.35">
      <c r="A257" s="5" t="s">
        <v>175</v>
      </c>
      <c r="B257" s="5" t="s">
        <v>203</v>
      </c>
      <c r="C257" s="5" t="s">
        <v>47</v>
      </c>
      <c r="D257" s="5">
        <v>3000045</v>
      </c>
      <c r="E257" s="11">
        <v>3000046</v>
      </c>
      <c r="F257" s="11" t="s">
        <v>204</v>
      </c>
      <c r="G257" s="5" t="s">
        <v>205</v>
      </c>
      <c r="H257" s="5" t="s">
        <v>54</v>
      </c>
      <c r="I257" s="5">
        <v>9910351</v>
      </c>
      <c r="J257" s="6">
        <v>46081</v>
      </c>
      <c r="K257" s="6">
        <v>46081</v>
      </c>
      <c r="L257" s="6">
        <v>46141</v>
      </c>
      <c r="M257" s="7">
        <v>-9</v>
      </c>
      <c r="N257" s="7">
        <v>454113674</v>
      </c>
      <c r="O257" s="7">
        <v>0</v>
      </c>
      <c r="P257" s="7">
        <v>454113674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5" t="s">
        <v>47</v>
      </c>
      <c r="Z257" s="6"/>
      <c r="AA257" s="5" t="s">
        <v>55</v>
      </c>
      <c r="AB257" s="5" t="s">
        <v>51</v>
      </c>
      <c r="AC257" s="5" t="s">
        <v>51</v>
      </c>
      <c r="AD257" s="5" t="s">
        <v>290</v>
      </c>
      <c r="AE257" s="5" t="s">
        <v>51</v>
      </c>
      <c r="AF257" s="5" t="s">
        <v>283</v>
      </c>
    </row>
    <row r="258" spans="1:32" ht="15.65" customHeight="1" x14ac:dyDescent="0.35">
      <c r="A258" s="5" t="s">
        <v>175</v>
      </c>
      <c r="B258" s="5" t="s">
        <v>203</v>
      </c>
      <c r="C258" s="5" t="s">
        <v>47</v>
      </c>
      <c r="D258" s="5">
        <v>3000045</v>
      </c>
      <c r="E258" s="5">
        <v>3000045</v>
      </c>
      <c r="F258" s="5" t="s">
        <v>204</v>
      </c>
      <c r="G258" s="5" t="s">
        <v>204</v>
      </c>
      <c r="H258" s="5" t="s">
        <v>54</v>
      </c>
      <c r="I258" s="5">
        <v>9910577</v>
      </c>
      <c r="J258" s="6">
        <v>46081</v>
      </c>
      <c r="K258" s="6">
        <v>46081</v>
      </c>
      <c r="L258" s="6">
        <v>46141</v>
      </c>
      <c r="M258" s="7">
        <v>-9</v>
      </c>
      <c r="N258" s="7">
        <v>526056803</v>
      </c>
      <c r="O258" s="7">
        <v>0</v>
      </c>
      <c r="P258" s="7">
        <v>526056803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5" t="s">
        <v>47</v>
      </c>
      <c r="Z258" s="6"/>
      <c r="AA258" s="5" t="s">
        <v>55</v>
      </c>
      <c r="AB258" s="5" t="s">
        <v>51</v>
      </c>
      <c r="AC258" s="5" t="s">
        <v>51</v>
      </c>
      <c r="AD258" s="5" t="s">
        <v>291</v>
      </c>
      <c r="AE258" s="5" t="s">
        <v>51</v>
      </c>
      <c r="AF258" s="5" t="s">
        <v>292</v>
      </c>
    </row>
    <row r="259" spans="1:32" ht="15.65" customHeight="1" x14ac:dyDescent="0.35">
      <c r="A259" s="5" t="s">
        <v>175</v>
      </c>
      <c r="B259" s="5" t="s">
        <v>203</v>
      </c>
      <c r="C259" s="5" t="s">
        <v>47</v>
      </c>
      <c r="D259" s="5">
        <v>3000045</v>
      </c>
      <c r="E259" s="11">
        <v>3000046</v>
      </c>
      <c r="F259" s="11" t="s">
        <v>204</v>
      </c>
      <c r="G259" s="5" t="s">
        <v>205</v>
      </c>
      <c r="H259" s="5" t="s">
        <v>54</v>
      </c>
      <c r="I259" s="5">
        <v>9910592</v>
      </c>
      <c r="J259" s="6">
        <v>46081</v>
      </c>
      <c r="K259" s="6">
        <v>46081</v>
      </c>
      <c r="L259" s="6">
        <v>46141</v>
      </c>
      <c r="M259" s="7">
        <v>-9</v>
      </c>
      <c r="N259" s="7">
        <v>449937390</v>
      </c>
      <c r="O259" s="7">
        <v>0</v>
      </c>
      <c r="P259" s="7">
        <v>449937390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5" t="s">
        <v>47</v>
      </c>
      <c r="Z259" s="6"/>
      <c r="AA259" s="5" t="s">
        <v>55</v>
      </c>
      <c r="AB259" s="5" t="s">
        <v>51</v>
      </c>
      <c r="AC259" s="5" t="s">
        <v>51</v>
      </c>
      <c r="AD259" s="5" t="s">
        <v>293</v>
      </c>
      <c r="AE259" s="5" t="s">
        <v>51</v>
      </c>
      <c r="AF259" s="5" t="s">
        <v>294</v>
      </c>
    </row>
    <row r="260" spans="1:32" ht="15.65" customHeight="1" x14ac:dyDescent="0.35">
      <c r="A260" s="5" t="s">
        <v>175</v>
      </c>
      <c r="B260" s="5" t="s">
        <v>203</v>
      </c>
      <c r="C260" s="5" t="s">
        <v>47</v>
      </c>
      <c r="D260" s="5">
        <v>3000045</v>
      </c>
      <c r="E260" s="11">
        <v>3000045</v>
      </c>
      <c r="F260" s="11" t="s">
        <v>204</v>
      </c>
      <c r="G260" s="5" t="s">
        <v>204</v>
      </c>
      <c r="H260" s="5" t="s">
        <v>54</v>
      </c>
      <c r="I260" s="5">
        <v>9914389</v>
      </c>
      <c r="J260" s="6">
        <v>46094</v>
      </c>
      <c r="K260" s="6">
        <v>46094</v>
      </c>
      <c r="L260" s="6">
        <v>46154</v>
      </c>
      <c r="M260" s="7">
        <v>-22</v>
      </c>
      <c r="N260" s="7">
        <v>282222256</v>
      </c>
      <c r="O260" s="7">
        <v>0</v>
      </c>
      <c r="P260" s="7">
        <v>282222256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5" t="s">
        <v>47</v>
      </c>
      <c r="Z260" s="6"/>
      <c r="AA260" s="5" t="s">
        <v>55</v>
      </c>
      <c r="AB260" s="5" t="s">
        <v>51</v>
      </c>
      <c r="AC260" s="5" t="s">
        <v>51</v>
      </c>
      <c r="AD260" s="5" t="s">
        <v>51</v>
      </c>
      <c r="AE260" s="5" t="s">
        <v>295</v>
      </c>
      <c r="AF260" s="5" t="s">
        <v>296</v>
      </c>
    </row>
    <row r="261" spans="1:32" ht="15.65" customHeight="1" x14ac:dyDescent="0.35">
      <c r="A261" s="5" t="s">
        <v>175</v>
      </c>
      <c r="B261" s="5" t="s">
        <v>203</v>
      </c>
      <c r="C261" s="5" t="s">
        <v>47</v>
      </c>
      <c r="D261" s="5">
        <v>3000045</v>
      </c>
      <c r="E261" s="5">
        <v>3000045</v>
      </c>
      <c r="F261" s="5" t="s">
        <v>204</v>
      </c>
      <c r="G261" s="5" t="s">
        <v>204</v>
      </c>
      <c r="H261" s="5" t="s">
        <v>54</v>
      </c>
      <c r="I261" s="5">
        <v>9914390</v>
      </c>
      <c r="J261" s="6">
        <v>46094</v>
      </c>
      <c r="K261" s="6">
        <v>46094</v>
      </c>
      <c r="L261" s="6">
        <v>46154</v>
      </c>
      <c r="M261" s="7">
        <v>-22</v>
      </c>
      <c r="N261" s="7">
        <v>377476098</v>
      </c>
      <c r="O261" s="7">
        <v>0</v>
      </c>
      <c r="P261" s="7">
        <v>377476098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5" t="s">
        <v>47</v>
      </c>
      <c r="Z261" s="6"/>
      <c r="AA261" s="5" t="s">
        <v>55</v>
      </c>
      <c r="AB261" s="5" t="s">
        <v>51</v>
      </c>
      <c r="AC261" s="5" t="s">
        <v>51</v>
      </c>
      <c r="AD261" s="5" t="s">
        <v>51</v>
      </c>
      <c r="AE261" s="5" t="s">
        <v>297</v>
      </c>
      <c r="AF261" s="5" t="s">
        <v>67</v>
      </c>
    </row>
    <row r="262" spans="1:32" ht="15.65" customHeight="1" x14ac:dyDescent="0.35">
      <c r="A262" s="5" t="s">
        <v>175</v>
      </c>
      <c r="B262" s="5" t="s">
        <v>203</v>
      </c>
      <c r="C262" s="5" t="s">
        <v>47</v>
      </c>
      <c r="D262" s="5">
        <v>3000045</v>
      </c>
      <c r="E262" s="11">
        <v>3000046</v>
      </c>
      <c r="F262" s="11" t="s">
        <v>204</v>
      </c>
      <c r="G262" s="5" t="s">
        <v>205</v>
      </c>
      <c r="H262" s="5" t="s">
        <v>54</v>
      </c>
      <c r="I262" s="5">
        <v>9914391</v>
      </c>
      <c r="J262" s="6">
        <v>46094</v>
      </c>
      <c r="K262" s="6">
        <v>46094</v>
      </c>
      <c r="L262" s="6">
        <v>46154</v>
      </c>
      <c r="M262" s="7">
        <v>-22</v>
      </c>
      <c r="N262" s="7">
        <v>417116559</v>
      </c>
      <c r="O262" s="7">
        <v>0</v>
      </c>
      <c r="P262" s="7">
        <v>417116559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5" t="s">
        <v>47</v>
      </c>
      <c r="Z262" s="6"/>
      <c r="AA262" s="5" t="s">
        <v>55</v>
      </c>
      <c r="AB262" s="5" t="s">
        <v>51</v>
      </c>
      <c r="AC262" s="5" t="s">
        <v>51</v>
      </c>
      <c r="AD262" s="5" t="s">
        <v>51</v>
      </c>
      <c r="AE262" s="5" t="s">
        <v>298</v>
      </c>
      <c r="AF262" s="5" t="s">
        <v>299</v>
      </c>
    </row>
    <row r="263" spans="1:32" ht="15.65" customHeight="1" x14ac:dyDescent="0.35">
      <c r="A263" s="5" t="s">
        <v>175</v>
      </c>
      <c r="B263" s="5" t="s">
        <v>203</v>
      </c>
      <c r="C263" s="5" t="s">
        <v>47</v>
      </c>
      <c r="D263" s="5">
        <v>3000045</v>
      </c>
      <c r="E263" s="11">
        <v>3000046</v>
      </c>
      <c r="F263" s="11" t="s">
        <v>204</v>
      </c>
      <c r="G263" s="5" t="s">
        <v>205</v>
      </c>
      <c r="H263" s="5" t="s">
        <v>54</v>
      </c>
      <c r="I263" s="5">
        <v>9914392</v>
      </c>
      <c r="J263" s="6">
        <v>46094</v>
      </c>
      <c r="K263" s="6">
        <v>46094</v>
      </c>
      <c r="L263" s="6">
        <v>46154</v>
      </c>
      <c r="M263" s="7">
        <v>-22</v>
      </c>
      <c r="N263" s="7">
        <v>259612252</v>
      </c>
      <c r="O263" s="7">
        <v>0</v>
      </c>
      <c r="P263" s="7">
        <v>259612252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5" t="s">
        <v>47</v>
      </c>
      <c r="Z263" s="6"/>
      <c r="AA263" s="5" t="s">
        <v>55</v>
      </c>
      <c r="AB263" s="5" t="s">
        <v>51</v>
      </c>
      <c r="AC263" s="5" t="s">
        <v>51</v>
      </c>
      <c r="AD263" s="5" t="s">
        <v>51</v>
      </c>
      <c r="AE263" s="5" t="s">
        <v>300</v>
      </c>
      <c r="AF263" s="5" t="s">
        <v>301</v>
      </c>
    </row>
    <row r="264" spans="1:32" ht="15.65" customHeight="1" x14ac:dyDescent="0.35">
      <c r="A264" s="5" t="s">
        <v>175</v>
      </c>
      <c r="B264" s="5" t="s">
        <v>203</v>
      </c>
      <c r="C264" s="5" t="s">
        <v>47</v>
      </c>
      <c r="D264" s="5">
        <v>3000045</v>
      </c>
      <c r="E264" s="11">
        <v>3000045</v>
      </c>
      <c r="F264" s="11" t="s">
        <v>204</v>
      </c>
      <c r="G264" s="5" t="s">
        <v>204</v>
      </c>
      <c r="H264" s="5" t="s">
        <v>54</v>
      </c>
      <c r="I264" s="5">
        <v>9915615</v>
      </c>
      <c r="J264" s="6">
        <v>46096</v>
      </c>
      <c r="K264" s="6">
        <v>46096</v>
      </c>
      <c r="L264" s="6">
        <v>46156</v>
      </c>
      <c r="M264" s="7">
        <v>-24</v>
      </c>
      <c r="N264" s="7">
        <v>522168651</v>
      </c>
      <c r="O264" s="7">
        <v>0</v>
      </c>
      <c r="P264" s="7">
        <v>522168651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5" t="s">
        <v>47</v>
      </c>
      <c r="Z264" s="6"/>
      <c r="AA264" s="5" t="s">
        <v>55</v>
      </c>
      <c r="AB264" s="5" t="s">
        <v>51</v>
      </c>
      <c r="AC264" s="5" t="s">
        <v>51</v>
      </c>
      <c r="AD264" s="5" t="s">
        <v>51</v>
      </c>
      <c r="AE264" s="5" t="s">
        <v>302</v>
      </c>
      <c r="AF264" s="5" t="s">
        <v>303</v>
      </c>
    </row>
    <row r="265" spans="1:32" ht="15.65" customHeight="1" x14ac:dyDescent="0.35">
      <c r="A265" s="5" t="s">
        <v>175</v>
      </c>
      <c r="B265" s="5" t="s">
        <v>203</v>
      </c>
      <c r="C265" s="5" t="s">
        <v>47</v>
      </c>
      <c r="D265" s="5">
        <v>3000045</v>
      </c>
      <c r="E265" s="11">
        <v>3000045</v>
      </c>
      <c r="F265" s="11" t="s">
        <v>204</v>
      </c>
      <c r="G265" s="5" t="s">
        <v>204</v>
      </c>
      <c r="H265" s="5" t="s">
        <v>54</v>
      </c>
      <c r="I265" s="5">
        <v>9915616</v>
      </c>
      <c r="J265" s="6">
        <v>46096</v>
      </c>
      <c r="K265" s="6">
        <v>46096</v>
      </c>
      <c r="L265" s="6">
        <v>46156</v>
      </c>
      <c r="M265" s="7">
        <v>-24</v>
      </c>
      <c r="N265" s="7">
        <v>183871483</v>
      </c>
      <c r="O265" s="7">
        <v>0</v>
      </c>
      <c r="P265" s="7">
        <v>183871483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5" t="s">
        <v>47</v>
      </c>
      <c r="Z265" s="6"/>
      <c r="AA265" s="5" t="s">
        <v>55</v>
      </c>
      <c r="AB265" s="5" t="s">
        <v>51</v>
      </c>
      <c r="AC265" s="5" t="s">
        <v>51</v>
      </c>
      <c r="AD265" s="5" t="s">
        <v>51</v>
      </c>
      <c r="AE265" s="5" t="s">
        <v>304</v>
      </c>
      <c r="AF265" s="5" t="s">
        <v>305</v>
      </c>
    </row>
    <row r="266" spans="1:32" ht="15.65" customHeight="1" x14ac:dyDescent="0.35">
      <c r="A266" s="5" t="s">
        <v>175</v>
      </c>
      <c r="B266" s="5" t="s">
        <v>203</v>
      </c>
      <c r="C266" s="5" t="s">
        <v>47</v>
      </c>
      <c r="D266" s="5">
        <v>3000045</v>
      </c>
      <c r="E266" s="11">
        <v>3000045</v>
      </c>
      <c r="F266" s="11" t="s">
        <v>204</v>
      </c>
      <c r="G266" s="5" t="s">
        <v>204</v>
      </c>
      <c r="H266" s="5" t="s">
        <v>140</v>
      </c>
      <c r="I266" s="5">
        <v>9917200</v>
      </c>
      <c r="J266" s="6">
        <v>46103</v>
      </c>
      <c r="K266" s="6">
        <v>46103</v>
      </c>
      <c r="L266" s="6">
        <v>46148</v>
      </c>
      <c r="M266" s="7">
        <v>-16</v>
      </c>
      <c r="N266" s="7">
        <v>1426978</v>
      </c>
      <c r="O266" s="7">
        <v>0</v>
      </c>
      <c r="P266" s="7">
        <v>1426978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5" t="s">
        <v>47</v>
      </c>
      <c r="Z266" s="6"/>
      <c r="AA266" s="5" t="s">
        <v>55</v>
      </c>
      <c r="AB266" s="5" t="s">
        <v>51</v>
      </c>
      <c r="AC266" s="5" t="s">
        <v>51</v>
      </c>
      <c r="AD266" s="5" t="s">
        <v>51</v>
      </c>
      <c r="AE266" s="5" t="s">
        <v>306</v>
      </c>
      <c r="AF266" s="5" t="s">
        <v>307</v>
      </c>
    </row>
    <row r="267" spans="1:32" ht="15.65" customHeight="1" x14ac:dyDescent="0.35">
      <c r="A267" s="5" t="s">
        <v>175</v>
      </c>
      <c r="B267" s="5" t="s">
        <v>203</v>
      </c>
      <c r="C267" s="5" t="s">
        <v>47</v>
      </c>
      <c r="D267" s="5">
        <v>3000045</v>
      </c>
      <c r="E267" s="11">
        <v>3000046</v>
      </c>
      <c r="F267" s="11" t="s">
        <v>204</v>
      </c>
      <c r="G267" s="5" t="s">
        <v>205</v>
      </c>
      <c r="H267" s="5" t="s">
        <v>140</v>
      </c>
      <c r="I267" s="5">
        <v>9917201</v>
      </c>
      <c r="J267" s="6">
        <v>46103</v>
      </c>
      <c r="K267" s="6">
        <v>46103</v>
      </c>
      <c r="L267" s="6">
        <v>46148</v>
      </c>
      <c r="M267" s="7">
        <v>-16</v>
      </c>
      <c r="N267" s="7">
        <v>4382505</v>
      </c>
      <c r="O267" s="7">
        <v>0</v>
      </c>
      <c r="P267" s="7">
        <v>4382505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5" t="s">
        <v>47</v>
      </c>
      <c r="Z267" s="6"/>
      <c r="AA267" s="5" t="s">
        <v>55</v>
      </c>
      <c r="AB267" s="5" t="s">
        <v>51</v>
      </c>
      <c r="AC267" s="5" t="s">
        <v>51</v>
      </c>
      <c r="AD267" s="5" t="s">
        <v>51</v>
      </c>
      <c r="AE267" s="5" t="s">
        <v>308</v>
      </c>
      <c r="AF267" s="5" t="s">
        <v>309</v>
      </c>
    </row>
    <row r="268" spans="1:32" ht="15.65" customHeight="1" x14ac:dyDescent="0.35">
      <c r="A268" s="5" t="s">
        <v>175</v>
      </c>
      <c r="B268" s="5" t="s">
        <v>203</v>
      </c>
      <c r="C268" s="5" t="s">
        <v>47</v>
      </c>
      <c r="D268" s="5">
        <v>3000045</v>
      </c>
      <c r="E268" s="11">
        <v>3000532</v>
      </c>
      <c r="F268" s="11" t="s">
        <v>204</v>
      </c>
      <c r="G268" s="5" t="s">
        <v>205</v>
      </c>
      <c r="H268" s="5" t="s">
        <v>140</v>
      </c>
      <c r="I268" s="5">
        <v>9917202</v>
      </c>
      <c r="J268" s="6">
        <v>46103</v>
      </c>
      <c r="K268" s="6">
        <v>46103</v>
      </c>
      <c r="L268" s="6">
        <v>46148</v>
      </c>
      <c r="M268" s="7">
        <v>-16</v>
      </c>
      <c r="N268" s="7">
        <v>5976244</v>
      </c>
      <c r="O268" s="7">
        <v>0</v>
      </c>
      <c r="P268" s="7">
        <v>5976244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5" t="s">
        <v>47</v>
      </c>
      <c r="Z268" s="6"/>
      <c r="AA268" s="5" t="s">
        <v>55</v>
      </c>
      <c r="AB268" s="5" t="s">
        <v>51</v>
      </c>
      <c r="AC268" s="5" t="s">
        <v>51</v>
      </c>
      <c r="AD268" s="5" t="s">
        <v>51</v>
      </c>
      <c r="AE268" s="5" t="s">
        <v>310</v>
      </c>
      <c r="AF268" s="5" t="s">
        <v>106</v>
      </c>
    </row>
    <row r="269" spans="1:32" ht="15.65" customHeight="1" x14ac:dyDescent="0.35">
      <c r="A269" s="5" t="s">
        <v>175</v>
      </c>
      <c r="B269" s="5" t="s">
        <v>203</v>
      </c>
      <c r="C269" s="5" t="s">
        <v>47</v>
      </c>
      <c r="D269" s="5">
        <v>3000045</v>
      </c>
      <c r="E269" s="11">
        <v>3001303</v>
      </c>
      <c r="F269" s="11" t="s">
        <v>204</v>
      </c>
      <c r="G269" s="5" t="s">
        <v>205</v>
      </c>
      <c r="H269" s="5" t="s">
        <v>140</v>
      </c>
      <c r="I269" s="5">
        <v>9917203</v>
      </c>
      <c r="J269" s="6">
        <v>46103</v>
      </c>
      <c r="K269" s="6">
        <v>46103</v>
      </c>
      <c r="L269" s="6">
        <v>46148</v>
      </c>
      <c r="M269" s="7">
        <v>-16</v>
      </c>
      <c r="N269" s="7">
        <v>3854311</v>
      </c>
      <c r="O269" s="7">
        <v>0</v>
      </c>
      <c r="P269" s="7">
        <v>3854311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5" t="s">
        <v>47</v>
      </c>
      <c r="Z269" s="6"/>
      <c r="AA269" s="5" t="s">
        <v>55</v>
      </c>
      <c r="AB269" s="5" t="s">
        <v>51</v>
      </c>
      <c r="AC269" s="5" t="s">
        <v>51</v>
      </c>
      <c r="AD269" s="5" t="s">
        <v>51</v>
      </c>
      <c r="AE269" s="5" t="s">
        <v>311</v>
      </c>
      <c r="AF269" s="5" t="s">
        <v>312</v>
      </c>
    </row>
    <row r="270" spans="1:32" ht="15.65" customHeight="1" x14ac:dyDescent="0.35">
      <c r="A270" s="5" t="s">
        <v>175</v>
      </c>
      <c r="B270" s="5" t="s">
        <v>203</v>
      </c>
      <c r="C270" s="5" t="s">
        <v>47</v>
      </c>
      <c r="D270" s="5">
        <v>3000045</v>
      </c>
      <c r="E270" s="5">
        <v>3100585</v>
      </c>
      <c r="F270" s="5" t="s">
        <v>204</v>
      </c>
      <c r="G270" s="5" t="s">
        <v>205</v>
      </c>
      <c r="H270" s="5" t="s">
        <v>140</v>
      </c>
      <c r="I270" s="5">
        <v>9917204</v>
      </c>
      <c r="J270" s="6">
        <v>46103</v>
      </c>
      <c r="K270" s="6">
        <v>46103</v>
      </c>
      <c r="L270" s="6">
        <v>46148</v>
      </c>
      <c r="M270" s="7">
        <v>-16</v>
      </c>
      <c r="N270" s="7">
        <v>492767</v>
      </c>
      <c r="O270" s="7">
        <v>0</v>
      </c>
      <c r="P270" s="7">
        <v>492767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5" t="s">
        <v>47</v>
      </c>
      <c r="Z270" s="6"/>
      <c r="AA270" s="5" t="s">
        <v>55</v>
      </c>
      <c r="AB270" s="5" t="s">
        <v>51</v>
      </c>
      <c r="AC270" s="5" t="s">
        <v>51</v>
      </c>
      <c r="AD270" s="5" t="s">
        <v>51</v>
      </c>
      <c r="AE270" s="5" t="s">
        <v>313</v>
      </c>
      <c r="AF270" s="5" t="s">
        <v>161</v>
      </c>
    </row>
    <row r="271" spans="1:32" ht="15.65" customHeight="1" x14ac:dyDescent="0.35">
      <c r="A271" s="5" t="s">
        <v>175</v>
      </c>
      <c r="B271" s="5" t="s">
        <v>203</v>
      </c>
      <c r="C271" s="5" t="s">
        <v>47</v>
      </c>
      <c r="D271" s="5">
        <v>3000045</v>
      </c>
      <c r="E271" s="11">
        <v>3000046</v>
      </c>
      <c r="F271" s="11" t="s">
        <v>204</v>
      </c>
      <c r="G271" s="5" t="s">
        <v>205</v>
      </c>
      <c r="H271" s="5" t="s">
        <v>54</v>
      </c>
      <c r="I271" s="5">
        <v>9920035</v>
      </c>
      <c r="J271" s="6">
        <v>46110</v>
      </c>
      <c r="K271" s="6">
        <v>46110</v>
      </c>
      <c r="L271" s="6">
        <v>46170</v>
      </c>
      <c r="M271" s="7">
        <v>-38</v>
      </c>
      <c r="N271" s="7">
        <v>285907414</v>
      </c>
      <c r="O271" s="7">
        <v>0</v>
      </c>
      <c r="P271" s="7">
        <v>285907414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5" t="s">
        <v>47</v>
      </c>
      <c r="Z271" s="6"/>
      <c r="AA271" s="5" t="s">
        <v>55</v>
      </c>
      <c r="AB271" s="5" t="s">
        <v>51</v>
      </c>
      <c r="AC271" s="5" t="s">
        <v>51</v>
      </c>
      <c r="AD271" s="5" t="s">
        <v>51</v>
      </c>
      <c r="AE271" s="5" t="s">
        <v>314</v>
      </c>
      <c r="AF271" s="5" t="s">
        <v>315</v>
      </c>
    </row>
    <row r="272" spans="1:32" ht="15.65" customHeight="1" x14ac:dyDescent="0.35">
      <c r="A272" s="5" t="s">
        <v>175</v>
      </c>
      <c r="B272" s="5" t="s">
        <v>203</v>
      </c>
      <c r="C272" s="5" t="s">
        <v>47</v>
      </c>
      <c r="D272" s="5">
        <v>3000045</v>
      </c>
      <c r="E272" s="11">
        <v>3000046</v>
      </c>
      <c r="F272" s="11" t="s">
        <v>204</v>
      </c>
      <c r="G272" s="5" t="s">
        <v>205</v>
      </c>
      <c r="H272" s="5" t="s">
        <v>54</v>
      </c>
      <c r="I272" s="5">
        <v>9920036</v>
      </c>
      <c r="J272" s="6">
        <v>46110</v>
      </c>
      <c r="K272" s="6">
        <v>46110</v>
      </c>
      <c r="L272" s="6">
        <v>46170</v>
      </c>
      <c r="M272" s="7">
        <v>-38</v>
      </c>
      <c r="N272" s="7">
        <v>351319096</v>
      </c>
      <c r="O272" s="7">
        <v>0</v>
      </c>
      <c r="P272" s="7">
        <v>351319096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5" t="s">
        <v>47</v>
      </c>
      <c r="Z272" s="6"/>
      <c r="AA272" s="5" t="s">
        <v>55</v>
      </c>
      <c r="AB272" s="5" t="s">
        <v>51</v>
      </c>
      <c r="AC272" s="5" t="s">
        <v>51</v>
      </c>
      <c r="AD272" s="5" t="s">
        <v>51</v>
      </c>
      <c r="AE272" s="5" t="s">
        <v>316</v>
      </c>
      <c r="AF272" s="5" t="s">
        <v>195</v>
      </c>
    </row>
    <row r="273" spans="1:32" ht="15.65" customHeight="1" x14ac:dyDescent="0.35">
      <c r="A273" s="5" t="s">
        <v>175</v>
      </c>
      <c r="B273" s="5" t="s">
        <v>203</v>
      </c>
      <c r="C273" s="5" t="s">
        <v>317</v>
      </c>
      <c r="D273" s="5">
        <v>3000045</v>
      </c>
      <c r="E273" s="5">
        <v>3100895</v>
      </c>
      <c r="F273" s="5" t="s">
        <v>204</v>
      </c>
      <c r="G273" s="5" t="s">
        <v>205</v>
      </c>
      <c r="H273" s="5" t="s">
        <v>54</v>
      </c>
      <c r="I273" s="5">
        <v>9920544</v>
      </c>
      <c r="J273" s="6">
        <v>46112</v>
      </c>
      <c r="K273" s="6">
        <v>46112</v>
      </c>
      <c r="L273" s="6">
        <v>46159</v>
      </c>
      <c r="M273" s="7">
        <v>-27</v>
      </c>
      <c r="N273" s="7">
        <v>143092913</v>
      </c>
      <c r="O273" s="7">
        <v>0</v>
      </c>
      <c r="P273" s="7">
        <v>143092913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5" t="s">
        <v>317</v>
      </c>
      <c r="Z273" s="6"/>
      <c r="AA273" s="5" t="s">
        <v>55</v>
      </c>
      <c r="AB273" s="5" t="s">
        <v>51</v>
      </c>
      <c r="AC273" s="5" t="s">
        <v>51</v>
      </c>
      <c r="AD273" s="5" t="s">
        <v>51</v>
      </c>
      <c r="AE273" s="5" t="s">
        <v>318</v>
      </c>
      <c r="AF273" s="5" t="s">
        <v>195</v>
      </c>
    </row>
    <row r="274" spans="1:32" ht="15.65" customHeight="1" x14ac:dyDescent="0.35">
      <c r="A274" s="5" t="s">
        <v>175</v>
      </c>
      <c r="B274" s="5" t="s">
        <v>203</v>
      </c>
      <c r="C274" s="5" t="s">
        <v>317</v>
      </c>
      <c r="D274" s="5">
        <v>3000045</v>
      </c>
      <c r="E274" s="11">
        <v>3100895</v>
      </c>
      <c r="F274" s="11" t="s">
        <v>204</v>
      </c>
      <c r="G274" s="5" t="s">
        <v>205</v>
      </c>
      <c r="H274" s="5" t="s">
        <v>54</v>
      </c>
      <c r="I274" s="5">
        <v>9920545</v>
      </c>
      <c r="J274" s="6">
        <v>46112</v>
      </c>
      <c r="K274" s="6">
        <v>46112</v>
      </c>
      <c r="L274" s="6">
        <v>46159</v>
      </c>
      <c r="M274" s="7">
        <v>-27</v>
      </c>
      <c r="N274" s="7">
        <v>3176340</v>
      </c>
      <c r="O274" s="7">
        <v>0</v>
      </c>
      <c r="P274" s="7">
        <v>3176340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5" t="s">
        <v>317</v>
      </c>
      <c r="Z274" s="6"/>
      <c r="AA274" s="5" t="s">
        <v>55</v>
      </c>
      <c r="AB274" s="5" t="s">
        <v>51</v>
      </c>
      <c r="AC274" s="5" t="s">
        <v>51</v>
      </c>
      <c r="AD274" s="5" t="s">
        <v>51</v>
      </c>
      <c r="AE274" s="5" t="s">
        <v>319</v>
      </c>
      <c r="AF274" s="5" t="s">
        <v>320</v>
      </c>
    </row>
    <row r="275" spans="1:32" ht="15.65" customHeight="1" x14ac:dyDescent="0.35">
      <c r="A275" s="5" t="s">
        <v>175</v>
      </c>
      <c r="B275" s="5" t="s">
        <v>203</v>
      </c>
      <c r="C275" s="5" t="s">
        <v>317</v>
      </c>
      <c r="D275" s="5">
        <v>3000045</v>
      </c>
      <c r="E275" s="11">
        <v>3100710</v>
      </c>
      <c r="F275" s="11" t="s">
        <v>204</v>
      </c>
      <c r="G275" s="5" t="s">
        <v>205</v>
      </c>
      <c r="H275" s="5" t="s">
        <v>54</v>
      </c>
      <c r="I275" s="5">
        <v>9920547</v>
      </c>
      <c r="J275" s="6">
        <v>46112</v>
      </c>
      <c r="K275" s="6">
        <v>46112</v>
      </c>
      <c r="L275" s="6">
        <v>46159</v>
      </c>
      <c r="M275" s="7">
        <v>-27</v>
      </c>
      <c r="N275" s="7">
        <v>415849078</v>
      </c>
      <c r="O275" s="7">
        <v>0</v>
      </c>
      <c r="P275" s="7">
        <v>415849078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5" t="s">
        <v>317</v>
      </c>
      <c r="Z275" s="6"/>
      <c r="AA275" s="5" t="s">
        <v>55</v>
      </c>
      <c r="AB275" s="5" t="s">
        <v>51</v>
      </c>
      <c r="AC275" s="5" t="s">
        <v>51</v>
      </c>
      <c r="AD275" s="5" t="s">
        <v>51</v>
      </c>
      <c r="AE275" s="5" t="s">
        <v>321</v>
      </c>
      <c r="AF275" s="5" t="s">
        <v>62</v>
      </c>
    </row>
    <row r="276" spans="1:32" ht="15.65" customHeight="1" x14ac:dyDescent="0.35">
      <c r="A276" s="5" t="s">
        <v>175</v>
      </c>
      <c r="B276" s="5" t="s">
        <v>203</v>
      </c>
      <c r="C276" s="5" t="s">
        <v>47</v>
      </c>
      <c r="D276" s="5">
        <v>3000045</v>
      </c>
      <c r="E276" s="11">
        <v>3000046</v>
      </c>
      <c r="F276" s="11" t="s">
        <v>204</v>
      </c>
      <c r="G276" s="5" t="s">
        <v>205</v>
      </c>
      <c r="H276" s="5" t="s">
        <v>54</v>
      </c>
      <c r="I276" s="5">
        <v>9921320</v>
      </c>
      <c r="J276" s="6">
        <v>46112</v>
      </c>
      <c r="K276" s="6">
        <v>46112</v>
      </c>
      <c r="L276" s="6">
        <v>46172</v>
      </c>
      <c r="M276" s="7">
        <v>-40</v>
      </c>
      <c r="N276" s="7">
        <v>435659665</v>
      </c>
      <c r="O276" s="7">
        <v>0</v>
      </c>
      <c r="P276" s="7">
        <v>435659665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5" t="s">
        <v>47</v>
      </c>
      <c r="Z276" s="6"/>
      <c r="AA276" s="5" t="s">
        <v>55</v>
      </c>
      <c r="AB276" s="5" t="s">
        <v>51</v>
      </c>
      <c r="AC276" s="5" t="s">
        <v>51</v>
      </c>
      <c r="AD276" s="5" t="s">
        <v>51</v>
      </c>
      <c r="AE276" s="5" t="s">
        <v>322</v>
      </c>
      <c r="AF276" s="5" t="s">
        <v>323</v>
      </c>
    </row>
    <row r="277" spans="1:32" ht="15.65" customHeight="1" x14ac:dyDescent="0.35">
      <c r="A277" s="5" t="s">
        <v>175</v>
      </c>
      <c r="B277" s="5" t="s">
        <v>203</v>
      </c>
      <c r="C277" s="5" t="s">
        <v>47</v>
      </c>
      <c r="D277" s="5">
        <v>3000045</v>
      </c>
      <c r="E277" s="11">
        <v>3000046</v>
      </c>
      <c r="F277" s="11" t="s">
        <v>204</v>
      </c>
      <c r="G277" s="5" t="s">
        <v>205</v>
      </c>
      <c r="H277" s="5" t="s">
        <v>54</v>
      </c>
      <c r="I277" s="5">
        <v>9921321</v>
      </c>
      <c r="J277" s="6">
        <v>46112</v>
      </c>
      <c r="K277" s="6">
        <v>46112</v>
      </c>
      <c r="L277" s="6">
        <v>46172</v>
      </c>
      <c r="M277" s="7">
        <v>-40</v>
      </c>
      <c r="N277" s="7">
        <v>436878413</v>
      </c>
      <c r="O277" s="7">
        <v>0</v>
      </c>
      <c r="P277" s="7">
        <v>436878413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5" t="s">
        <v>47</v>
      </c>
      <c r="Z277" s="6"/>
      <c r="AA277" s="5" t="s">
        <v>55</v>
      </c>
      <c r="AB277" s="5" t="s">
        <v>51</v>
      </c>
      <c r="AC277" s="5" t="s">
        <v>51</v>
      </c>
      <c r="AD277" s="5" t="s">
        <v>51</v>
      </c>
      <c r="AE277" s="5" t="s">
        <v>324</v>
      </c>
      <c r="AF277" s="5" t="s">
        <v>325</v>
      </c>
    </row>
    <row r="278" spans="1:32" ht="15.65" customHeight="1" x14ac:dyDescent="0.35">
      <c r="A278" s="5" t="s">
        <v>175</v>
      </c>
      <c r="B278" s="5" t="s">
        <v>203</v>
      </c>
      <c r="C278" s="5" t="s">
        <v>47</v>
      </c>
      <c r="D278" s="5">
        <v>3000045</v>
      </c>
      <c r="E278" s="11">
        <v>3000046</v>
      </c>
      <c r="F278" s="11" t="s">
        <v>204</v>
      </c>
      <c r="G278" s="5" t="s">
        <v>205</v>
      </c>
      <c r="H278" s="5" t="s">
        <v>54</v>
      </c>
      <c r="I278" s="5">
        <v>9921328</v>
      </c>
      <c r="J278" s="6">
        <v>46112</v>
      </c>
      <c r="K278" s="6">
        <v>46112</v>
      </c>
      <c r="L278" s="6">
        <v>46172</v>
      </c>
      <c r="M278" s="7">
        <v>-40</v>
      </c>
      <c r="N278" s="7">
        <v>13449097</v>
      </c>
      <c r="O278" s="7">
        <v>0</v>
      </c>
      <c r="P278" s="7">
        <v>13449097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5" t="s">
        <v>47</v>
      </c>
      <c r="Z278" s="6"/>
      <c r="AA278" s="5" t="s">
        <v>55</v>
      </c>
      <c r="AB278" s="5" t="s">
        <v>51</v>
      </c>
      <c r="AC278" s="5" t="s">
        <v>51</v>
      </c>
      <c r="AD278" s="5" t="s">
        <v>51</v>
      </c>
      <c r="AE278" s="5" t="s">
        <v>326</v>
      </c>
      <c r="AF278" s="5" t="s">
        <v>163</v>
      </c>
    </row>
    <row r="279" spans="1:32" ht="15.65" customHeight="1" x14ac:dyDescent="0.35">
      <c r="A279" s="5" t="s">
        <v>175</v>
      </c>
      <c r="B279" s="5" t="s">
        <v>203</v>
      </c>
      <c r="C279" s="5" t="s">
        <v>47</v>
      </c>
      <c r="D279" s="5">
        <v>3000045</v>
      </c>
      <c r="E279" s="11">
        <v>3000046</v>
      </c>
      <c r="F279" s="11" t="s">
        <v>204</v>
      </c>
      <c r="G279" s="5" t="s">
        <v>205</v>
      </c>
      <c r="H279" s="5" t="s">
        <v>54</v>
      </c>
      <c r="I279" s="5">
        <v>9921359</v>
      </c>
      <c r="J279" s="6">
        <v>46112</v>
      </c>
      <c r="K279" s="6">
        <v>46112</v>
      </c>
      <c r="L279" s="6">
        <v>46172</v>
      </c>
      <c r="M279" s="7">
        <v>-40</v>
      </c>
      <c r="N279" s="7">
        <v>386721535</v>
      </c>
      <c r="O279" s="7">
        <v>0</v>
      </c>
      <c r="P279" s="7">
        <v>386721535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5" t="s">
        <v>47</v>
      </c>
      <c r="Z279" s="6"/>
      <c r="AA279" s="5" t="s">
        <v>55</v>
      </c>
      <c r="AB279" s="5" t="s">
        <v>51</v>
      </c>
      <c r="AC279" s="5" t="s">
        <v>51</v>
      </c>
      <c r="AD279" s="5" t="s">
        <v>51</v>
      </c>
      <c r="AE279" s="5" t="s">
        <v>327</v>
      </c>
      <c r="AF279" s="5" t="s">
        <v>328</v>
      </c>
    </row>
    <row r="280" spans="1:32" ht="15.65" customHeight="1" x14ac:dyDescent="0.35">
      <c r="A280" s="5" t="s">
        <v>175</v>
      </c>
      <c r="B280" s="5" t="s">
        <v>203</v>
      </c>
      <c r="C280" s="5" t="s">
        <v>47</v>
      </c>
      <c r="D280" s="5">
        <v>3000045</v>
      </c>
      <c r="E280" s="11">
        <v>3000045</v>
      </c>
      <c r="F280" s="11" t="s">
        <v>204</v>
      </c>
      <c r="G280" s="5" t="s">
        <v>204</v>
      </c>
      <c r="H280" s="5" t="s">
        <v>54</v>
      </c>
      <c r="I280" s="5">
        <v>9921379</v>
      </c>
      <c r="J280" s="6">
        <v>46112</v>
      </c>
      <c r="K280" s="6">
        <v>46112</v>
      </c>
      <c r="L280" s="6">
        <v>46172</v>
      </c>
      <c r="M280" s="7">
        <v>-40</v>
      </c>
      <c r="N280" s="7">
        <v>418838080</v>
      </c>
      <c r="O280" s="7">
        <v>0</v>
      </c>
      <c r="P280" s="7">
        <v>418838080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5" t="s">
        <v>47</v>
      </c>
      <c r="Z280" s="6"/>
      <c r="AA280" s="5" t="s">
        <v>55</v>
      </c>
      <c r="AB280" s="5" t="s">
        <v>51</v>
      </c>
      <c r="AC280" s="5" t="s">
        <v>51</v>
      </c>
      <c r="AD280" s="5" t="s">
        <v>51</v>
      </c>
      <c r="AE280" s="5" t="s">
        <v>329</v>
      </c>
      <c r="AF280" s="5" t="s">
        <v>330</v>
      </c>
    </row>
    <row r="281" spans="1:32" ht="15.65" customHeight="1" x14ac:dyDescent="0.35">
      <c r="A281" s="5" t="s">
        <v>175</v>
      </c>
      <c r="B281" s="5" t="s">
        <v>203</v>
      </c>
      <c r="C281" s="5" t="s">
        <v>47</v>
      </c>
      <c r="D281" s="5">
        <v>3000045</v>
      </c>
      <c r="E281" s="11">
        <v>3000045</v>
      </c>
      <c r="F281" s="11" t="s">
        <v>204</v>
      </c>
      <c r="G281" s="5" t="s">
        <v>204</v>
      </c>
      <c r="H281" s="5" t="s">
        <v>54</v>
      </c>
      <c r="I281" s="5">
        <v>9921380</v>
      </c>
      <c r="J281" s="6">
        <v>46112</v>
      </c>
      <c r="K281" s="6">
        <v>46112</v>
      </c>
      <c r="L281" s="6">
        <v>46172</v>
      </c>
      <c r="M281" s="7">
        <v>-40</v>
      </c>
      <c r="N281" s="7">
        <v>21264381</v>
      </c>
      <c r="O281" s="7">
        <v>0</v>
      </c>
      <c r="P281" s="7">
        <v>21264381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5" t="s">
        <v>47</v>
      </c>
      <c r="Z281" s="6"/>
      <c r="AA281" s="5" t="s">
        <v>55</v>
      </c>
      <c r="AB281" s="5" t="s">
        <v>51</v>
      </c>
      <c r="AC281" s="5" t="s">
        <v>51</v>
      </c>
      <c r="AD281" s="5" t="s">
        <v>51</v>
      </c>
      <c r="AE281" s="5" t="s">
        <v>331</v>
      </c>
      <c r="AF281" s="5" t="s">
        <v>332</v>
      </c>
    </row>
    <row r="282" spans="1:32" ht="15.65" customHeight="1" x14ac:dyDescent="0.35">
      <c r="A282" s="5" t="s">
        <v>175</v>
      </c>
      <c r="B282" s="5" t="s">
        <v>203</v>
      </c>
      <c r="C282" s="5" t="s">
        <v>47</v>
      </c>
      <c r="D282" s="5">
        <v>3000045</v>
      </c>
      <c r="E282" s="11">
        <v>3000045</v>
      </c>
      <c r="F282" s="11" t="s">
        <v>204</v>
      </c>
      <c r="G282" s="5" t="s">
        <v>204</v>
      </c>
      <c r="H282" s="5" t="s">
        <v>54</v>
      </c>
      <c r="I282" s="5">
        <v>9921381</v>
      </c>
      <c r="J282" s="6">
        <v>46112</v>
      </c>
      <c r="K282" s="6">
        <v>46112</v>
      </c>
      <c r="L282" s="6">
        <v>46172</v>
      </c>
      <c r="M282" s="7">
        <v>-40</v>
      </c>
      <c r="N282" s="7">
        <v>366096303</v>
      </c>
      <c r="O282" s="7">
        <v>0</v>
      </c>
      <c r="P282" s="7">
        <v>366096303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5" t="s">
        <v>47</v>
      </c>
      <c r="Z282" s="6"/>
      <c r="AA282" s="5" t="s">
        <v>55</v>
      </c>
      <c r="AB282" s="5" t="s">
        <v>51</v>
      </c>
      <c r="AC282" s="5" t="s">
        <v>51</v>
      </c>
      <c r="AD282" s="5" t="s">
        <v>51</v>
      </c>
      <c r="AE282" s="5" t="s">
        <v>333</v>
      </c>
      <c r="AF282" s="5" t="s">
        <v>334</v>
      </c>
    </row>
    <row r="283" spans="1:32" ht="15.65" customHeight="1" x14ac:dyDescent="0.35">
      <c r="A283" s="5" t="s">
        <v>175</v>
      </c>
      <c r="B283" s="5" t="s">
        <v>203</v>
      </c>
      <c r="C283" s="5" t="s">
        <v>47</v>
      </c>
      <c r="D283" s="5">
        <v>3000045</v>
      </c>
      <c r="E283" s="11">
        <v>3000045</v>
      </c>
      <c r="F283" s="11" t="s">
        <v>204</v>
      </c>
      <c r="G283" s="5" t="s">
        <v>204</v>
      </c>
      <c r="H283" s="5" t="s">
        <v>54</v>
      </c>
      <c r="I283" s="5">
        <v>9921521</v>
      </c>
      <c r="J283" s="6">
        <v>46112</v>
      </c>
      <c r="K283" s="6">
        <v>46112</v>
      </c>
      <c r="L283" s="6">
        <v>46172</v>
      </c>
      <c r="M283" s="7">
        <v>-40</v>
      </c>
      <c r="N283" s="7">
        <v>290127924</v>
      </c>
      <c r="O283" s="7">
        <v>0</v>
      </c>
      <c r="P283" s="7">
        <v>290127924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5" t="s">
        <v>47</v>
      </c>
      <c r="Z283" s="6"/>
      <c r="AA283" s="5" t="s">
        <v>55</v>
      </c>
      <c r="AB283" s="5" t="s">
        <v>51</v>
      </c>
      <c r="AC283" s="5" t="s">
        <v>51</v>
      </c>
      <c r="AD283" s="5" t="s">
        <v>51</v>
      </c>
      <c r="AE283" s="5" t="s">
        <v>335</v>
      </c>
      <c r="AF283" s="5" t="s">
        <v>336</v>
      </c>
    </row>
    <row r="284" spans="1:32" ht="15.65" customHeight="1" x14ac:dyDescent="0.35">
      <c r="A284" s="5" t="s">
        <v>175</v>
      </c>
      <c r="B284" s="5" t="s">
        <v>203</v>
      </c>
      <c r="C284" s="5" t="s">
        <v>47</v>
      </c>
      <c r="D284" s="5">
        <v>3000045</v>
      </c>
      <c r="E284" s="5">
        <v>3000532</v>
      </c>
      <c r="F284" s="5" t="s">
        <v>204</v>
      </c>
      <c r="G284" s="5" t="s">
        <v>205</v>
      </c>
      <c r="H284" s="5" t="s">
        <v>54</v>
      </c>
      <c r="I284" s="5">
        <v>9921529</v>
      </c>
      <c r="J284" s="6">
        <v>46112</v>
      </c>
      <c r="K284" s="6">
        <v>46112</v>
      </c>
      <c r="L284" s="6">
        <v>46172</v>
      </c>
      <c r="M284" s="7">
        <v>-40</v>
      </c>
      <c r="N284" s="7">
        <v>410661945</v>
      </c>
      <c r="O284" s="7">
        <v>0</v>
      </c>
      <c r="P284" s="7">
        <v>410661945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5" t="s">
        <v>47</v>
      </c>
      <c r="Z284" s="6"/>
      <c r="AA284" s="5" t="s">
        <v>55</v>
      </c>
      <c r="AB284" s="5" t="s">
        <v>51</v>
      </c>
      <c r="AC284" s="5" t="s">
        <v>51</v>
      </c>
      <c r="AD284" s="5" t="s">
        <v>51</v>
      </c>
      <c r="AE284" s="5" t="s">
        <v>337</v>
      </c>
      <c r="AF284" s="5" t="s">
        <v>325</v>
      </c>
    </row>
    <row r="285" spans="1:32" ht="15.65" customHeight="1" x14ac:dyDescent="0.35">
      <c r="A285" s="5" t="s">
        <v>175</v>
      </c>
      <c r="B285" s="5" t="s">
        <v>203</v>
      </c>
      <c r="C285" s="5" t="s">
        <v>317</v>
      </c>
      <c r="D285" s="5">
        <v>3000045</v>
      </c>
      <c r="E285" s="11">
        <v>3000045</v>
      </c>
      <c r="F285" s="11" t="s">
        <v>204</v>
      </c>
      <c r="G285" s="5" t="s">
        <v>204</v>
      </c>
      <c r="H285" s="5" t="s">
        <v>49</v>
      </c>
      <c r="I285" s="5">
        <v>9102073803</v>
      </c>
      <c r="J285" s="6">
        <v>46112</v>
      </c>
      <c r="K285" s="6">
        <v>46112</v>
      </c>
      <c r="L285" s="6">
        <v>46112</v>
      </c>
      <c r="M285" s="7">
        <v>20</v>
      </c>
      <c r="N285" s="7">
        <v>34858765</v>
      </c>
      <c r="O285" s="7">
        <v>0</v>
      </c>
      <c r="P285" s="7">
        <v>0</v>
      </c>
      <c r="Q285" s="7">
        <v>34858765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5" t="s">
        <v>47</v>
      </c>
      <c r="Z285" s="6"/>
      <c r="AA285" s="5" t="s">
        <v>50</v>
      </c>
      <c r="AB285" s="5" t="s">
        <v>51</v>
      </c>
      <c r="AC285" s="5" t="s">
        <v>51</v>
      </c>
      <c r="AD285" s="5" t="s">
        <v>51</v>
      </c>
      <c r="AE285" s="5" t="s">
        <v>51</v>
      </c>
      <c r="AF285" s="5" t="s">
        <v>338</v>
      </c>
    </row>
    <row r="286" spans="1:32" ht="15.65" customHeight="1" x14ac:dyDescent="0.35">
      <c r="A286" s="5" t="s">
        <v>175</v>
      </c>
      <c r="B286" s="5" t="s">
        <v>176</v>
      </c>
      <c r="C286" s="5" t="s">
        <v>47</v>
      </c>
      <c r="D286" s="5">
        <v>3000048</v>
      </c>
      <c r="E286" s="11">
        <v>3000048</v>
      </c>
      <c r="F286" s="11" t="s">
        <v>339</v>
      </c>
      <c r="G286" s="5" t="s">
        <v>339</v>
      </c>
      <c r="H286" s="5" t="s">
        <v>54</v>
      </c>
      <c r="I286" s="5">
        <v>6954025</v>
      </c>
      <c r="J286" s="6">
        <v>46085</v>
      </c>
      <c r="K286" s="6">
        <v>46085</v>
      </c>
      <c r="L286" s="6">
        <v>46085</v>
      </c>
      <c r="M286" s="7">
        <v>47</v>
      </c>
      <c r="N286" s="7">
        <v>-5355000</v>
      </c>
      <c r="O286" s="7">
        <v>-5355000</v>
      </c>
      <c r="P286" s="7">
        <v>0</v>
      </c>
      <c r="Q286" s="7">
        <v>0</v>
      </c>
      <c r="R286" s="7">
        <v>-5355000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5" t="s">
        <v>47</v>
      </c>
      <c r="Z286" s="6"/>
      <c r="AA286" s="5" t="s">
        <v>55</v>
      </c>
      <c r="AB286" s="5" t="s">
        <v>51</v>
      </c>
      <c r="AC286" s="5" t="s">
        <v>51</v>
      </c>
      <c r="AD286" s="5" t="s">
        <v>51</v>
      </c>
      <c r="AE286" s="5" t="s">
        <v>51</v>
      </c>
      <c r="AF286" s="5" t="s">
        <v>340</v>
      </c>
    </row>
    <row r="287" spans="1:32" ht="15.65" customHeight="1" x14ac:dyDescent="0.35">
      <c r="A287" s="5" t="s">
        <v>175</v>
      </c>
      <c r="B287" s="5" t="s">
        <v>176</v>
      </c>
      <c r="C287" s="5" t="s">
        <v>47</v>
      </c>
      <c r="D287" s="5">
        <v>3000048</v>
      </c>
      <c r="E287" s="11">
        <v>3000048</v>
      </c>
      <c r="F287" s="11" t="s">
        <v>339</v>
      </c>
      <c r="G287" s="5" t="s">
        <v>339</v>
      </c>
      <c r="H287" s="5" t="s">
        <v>54</v>
      </c>
      <c r="I287" s="5">
        <v>6955574</v>
      </c>
      <c r="J287" s="6">
        <v>46095</v>
      </c>
      <c r="K287" s="6">
        <v>46095</v>
      </c>
      <c r="L287" s="6">
        <v>46095</v>
      </c>
      <c r="M287" s="7">
        <v>37</v>
      </c>
      <c r="N287" s="7">
        <v>-63997423</v>
      </c>
      <c r="O287" s="7">
        <v>-63997423</v>
      </c>
      <c r="P287" s="7">
        <v>0</v>
      </c>
      <c r="Q287" s="7">
        <v>0</v>
      </c>
      <c r="R287" s="7">
        <v>-63997423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5" t="s">
        <v>47</v>
      </c>
      <c r="Z287" s="6"/>
      <c r="AA287" s="5" t="s">
        <v>55</v>
      </c>
      <c r="AB287" s="5" t="s">
        <v>51</v>
      </c>
      <c r="AC287" s="5" t="s">
        <v>51</v>
      </c>
      <c r="AD287" s="5" t="s">
        <v>51</v>
      </c>
      <c r="AE287" s="5" t="s">
        <v>51</v>
      </c>
      <c r="AF287" s="5" t="s">
        <v>341</v>
      </c>
    </row>
    <row r="288" spans="1:32" ht="15.65" customHeight="1" x14ac:dyDescent="0.35">
      <c r="A288" s="5" t="s">
        <v>175</v>
      </c>
      <c r="B288" s="5" t="s">
        <v>176</v>
      </c>
      <c r="C288" s="5" t="s">
        <v>47</v>
      </c>
      <c r="D288" s="5">
        <v>3000048</v>
      </c>
      <c r="E288" s="11">
        <v>3000048</v>
      </c>
      <c r="F288" s="11" t="s">
        <v>339</v>
      </c>
      <c r="G288" s="5" t="s">
        <v>339</v>
      </c>
      <c r="H288" s="5" t="s">
        <v>54</v>
      </c>
      <c r="I288" s="5">
        <v>6955575</v>
      </c>
      <c r="J288" s="6">
        <v>46095</v>
      </c>
      <c r="K288" s="6">
        <v>46095</v>
      </c>
      <c r="L288" s="6">
        <v>46095</v>
      </c>
      <c r="M288" s="7">
        <v>37</v>
      </c>
      <c r="N288" s="7">
        <v>-55250766</v>
      </c>
      <c r="O288" s="7">
        <v>-55250766</v>
      </c>
      <c r="P288" s="7">
        <v>0</v>
      </c>
      <c r="Q288" s="7">
        <v>0</v>
      </c>
      <c r="R288" s="7">
        <v>-55250766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5" t="s">
        <v>47</v>
      </c>
      <c r="Z288" s="6"/>
      <c r="AA288" s="5" t="s">
        <v>55</v>
      </c>
      <c r="AB288" s="5" t="s">
        <v>51</v>
      </c>
      <c r="AC288" s="5" t="s">
        <v>51</v>
      </c>
      <c r="AD288" s="5" t="s">
        <v>51</v>
      </c>
      <c r="AE288" s="5" t="s">
        <v>51</v>
      </c>
      <c r="AF288" s="5" t="s">
        <v>56</v>
      </c>
    </row>
    <row r="289" spans="1:32" ht="15.65" customHeight="1" x14ac:dyDescent="0.35">
      <c r="A289" s="5" t="s">
        <v>175</v>
      </c>
      <c r="B289" s="5" t="s">
        <v>176</v>
      </c>
      <c r="C289" s="5" t="s">
        <v>47</v>
      </c>
      <c r="D289" s="5">
        <v>3000048</v>
      </c>
      <c r="E289" s="11">
        <v>3000048</v>
      </c>
      <c r="F289" s="11" t="s">
        <v>339</v>
      </c>
      <c r="G289" s="5" t="s">
        <v>339</v>
      </c>
      <c r="H289" s="5" t="s">
        <v>54</v>
      </c>
      <c r="I289" s="5">
        <v>6956615</v>
      </c>
      <c r="J289" s="6">
        <v>46105</v>
      </c>
      <c r="K289" s="6">
        <v>46105</v>
      </c>
      <c r="L289" s="6">
        <v>46105</v>
      </c>
      <c r="M289" s="7">
        <v>27</v>
      </c>
      <c r="N289" s="7">
        <v>-13080000</v>
      </c>
      <c r="O289" s="7">
        <v>-13080000</v>
      </c>
      <c r="P289" s="7">
        <v>0</v>
      </c>
      <c r="Q289" s="7">
        <v>-13080000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5" t="s">
        <v>47</v>
      </c>
      <c r="Z289" s="6"/>
      <c r="AA289" s="5" t="s">
        <v>55</v>
      </c>
      <c r="AB289" s="5" t="s">
        <v>51</v>
      </c>
      <c r="AC289" s="5" t="s">
        <v>51</v>
      </c>
      <c r="AD289" s="5" t="s">
        <v>51</v>
      </c>
      <c r="AE289" s="5" t="s">
        <v>51</v>
      </c>
      <c r="AF289" s="5" t="s">
        <v>342</v>
      </c>
    </row>
    <row r="290" spans="1:32" ht="15.65" customHeight="1" x14ac:dyDescent="0.35">
      <c r="A290" s="5" t="s">
        <v>175</v>
      </c>
      <c r="B290" s="5" t="s">
        <v>176</v>
      </c>
      <c r="C290" s="5" t="s">
        <v>47</v>
      </c>
      <c r="D290" s="5">
        <v>3000048</v>
      </c>
      <c r="E290" s="5">
        <v>3000048</v>
      </c>
      <c r="F290" s="5" t="s">
        <v>339</v>
      </c>
      <c r="G290" s="5" t="s">
        <v>339</v>
      </c>
      <c r="H290" s="5" t="s">
        <v>54</v>
      </c>
      <c r="I290" s="5">
        <v>6956616</v>
      </c>
      <c r="J290" s="6">
        <v>46105</v>
      </c>
      <c r="K290" s="6">
        <v>46105</v>
      </c>
      <c r="L290" s="6">
        <v>46105</v>
      </c>
      <c r="M290" s="7">
        <v>27</v>
      </c>
      <c r="N290" s="7">
        <v>-4905000</v>
      </c>
      <c r="O290" s="7">
        <v>-4905000</v>
      </c>
      <c r="P290" s="7">
        <v>0</v>
      </c>
      <c r="Q290" s="7">
        <v>-4905000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5" t="s">
        <v>47</v>
      </c>
      <c r="Z290" s="6"/>
      <c r="AA290" s="5" t="s">
        <v>55</v>
      </c>
      <c r="AB290" s="5" t="s">
        <v>51</v>
      </c>
      <c r="AC290" s="5" t="s">
        <v>51</v>
      </c>
      <c r="AD290" s="5" t="s">
        <v>51</v>
      </c>
      <c r="AE290" s="5" t="s">
        <v>51</v>
      </c>
      <c r="AF290" s="5" t="s">
        <v>343</v>
      </c>
    </row>
    <row r="291" spans="1:32" ht="15.65" customHeight="1" x14ac:dyDescent="0.35">
      <c r="A291" s="5" t="s">
        <v>175</v>
      </c>
      <c r="B291" s="5" t="s">
        <v>176</v>
      </c>
      <c r="C291" s="5" t="s">
        <v>47</v>
      </c>
      <c r="D291" s="5">
        <v>3000048</v>
      </c>
      <c r="E291" s="11">
        <v>3000048</v>
      </c>
      <c r="F291" s="11" t="s">
        <v>339</v>
      </c>
      <c r="G291" s="5" t="s">
        <v>339</v>
      </c>
      <c r="H291" s="5" t="s">
        <v>54</v>
      </c>
      <c r="I291" s="5">
        <v>6957319</v>
      </c>
      <c r="J291" s="6">
        <v>46106</v>
      </c>
      <c r="K291" s="6">
        <v>46106</v>
      </c>
      <c r="L291" s="6">
        <v>46106</v>
      </c>
      <c r="M291" s="7">
        <v>26</v>
      </c>
      <c r="N291" s="7">
        <v>-1090000</v>
      </c>
      <c r="O291" s="7">
        <v>-1090000</v>
      </c>
      <c r="P291" s="7">
        <v>0</v>
      </c>
      <c r="Q291" s="7">
        <v>-1090000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5" t="s">
        <v>47</v>
      </c>
      <c r="Z291" s="6"/>
      <c r="AA291" s="5" t="s">
        <v>55</v>
      </c>
      <c r="AB291" s="5" t="s">
        <v>51</v>
      </c>
      <c r="AC291" s="5" t="s">
        <v>51</v>
      </c>
      <c r="AD291" s="5" t="s">
        <v>51</v>
      </c>
      <c r="AE291" s="5" t="s">
        <v>51</v>
      </c>
      <c r="AF291" s="5" t="s">
        <v>344</v>
      </c>
    </row>
    <row r="292" spans="1:32" ht="15.65" customHeight="1" x14ac:dyDescent="0.35">
      <c r="A292" s="5" t="s">
        <v>175</v>
      </c>
      <c r="B292" s="5" t="s">
        <v>176</v>
      </c>
      <c r="C292" s="5" t="s">
        <v>47</v>
      </c>
      <c r="D292" s="5">
        <v>3000048</v>
      </c>
      <c r="E292" s="11">
        <v>3000048</v>
      </c>
      <c r="F292" s="11" t="s">
        <v>339</v>
      </c>
      <c r="G292" s="5" t="s">
        <v>339</v>
      </c>
      <c r="H292" s="5" t="s">
        <v>54</v>
      </c>
      <c r="I292" s="5">
        <v>6959749</v>
      </c>
      <c r="J292" s="6">
        <v>46128</v>
      </c>
      <c r="K292" s="6">
        <v>46128</v>
      </c>
      <c r="L292" s="6">
        <v>46128</v>
      </c>
      <c r="M292" s="7">
        <v>4</v>
      </c>
      <c r="N292" s="7">
        <v>-384553</v>
      </c>
      <c r="O292" s="7">
        <v>-384553</v>
      </c>
      <c r="P292" s="7">
        <v>0</v>
      </c>
      <c r="Q292" s="7">
        <v>-384553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5" t="s">
        <v>47</v>
      </c>
      <c r="Z292" s="6"/>
      <c r="AA292" s="5" t="s">
        <v>55</v>
      </c>
      <c r="AB292" s="5" t="s">
        <v>51</v>
      </c>
      <c r="AC292" s="5" t="s">
        <v>51</v>
      </c>
      <c r="AD292" s="5" t="s">
        <v>51</v>
      </c>
      <c r="AE292" s="5" t="s">
        <v>51</v>
      </c>
      <c r="AF292" s="5" t="s">
        <v>345</v>
      </c>
    </row>
    <row r="293" spans="1:32" ht="15.65" customHeight="1" x14ac:dyDescent="0.35">
      <c r="A293" s="5" t="s">
        <v>175</v>
      </c>
      <c r="B293" s="5" t="s">
        <v>176</v>
      </c>
      <c r="C293" s="5" t="s">
        <v>47</v>
      </c>
      <c r="D293" s="5">
        <v>3000048</v>
      </c>
      <c r="E293" s="5">
        <v>3000048</v>
      </c>
      <c r="F293" s="5" t="s">
        <v>339</v>
      </c>
      <c r="G293" s="5" t="s">
        <v>339</v>
      </c>
      <c r="H293" s="5" t="s">
        <v>54</v>
      </c>
      <c r="I293" s="5">
        <v>6959865</v>
      </c>
      <c r="J293" s="6">
        <v>46129</v>
      </c>
      <c r="K293" s="6">
        <v>46129</v>
      </c>
      <c r="L293" s="6">
        <v>46129</v>
      </c>
      <c r="M293" s="7">
        <v>3</v>
      </c>
      <c r="N293" s="7">
        <v>-25679412</v>
      </c>
      <c r="O293" s="7">
        <v>-25679412</v>
      </c>
      <c r="P293" s="7">
        <v>0</v>
      </c>
      <c r="Q293" s="7">
        <v>-25679412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5" t="s">
        <v>47</v>
      </c>
      <c r="Z293" s="6"/>
      <c r="AA293" s="5" t="s">
        <v>55</v>
      </c>
      <c r="AB293" s="5" t="s">
        <v>51</v>
      </c>
      <c r="AC293" s="5" t="s">
        <v>51</v>
      </c>
      <c r="AD293" s="5" t="s">
        <v>51</v>
      </c>
      <c r="AE293" s="5" t="s">
        <v>51</v>
      </c>
      <c r="AF293" s="5" t="s">
        <v>346</v>
      </c>
    </row>
    <row r="294" spans="1:32" ht="15.65" customHeight="1" x14ac:dyDescent="0.35">
      <c r="A294" s="5" t="s">
        <v>175</v>
      </c>
      <c r="B294" s="5" t="s">
        <v>176</v>
      </c>
      <c r="C294" s="5" t="s">
        <v>47</v>
      </c>
      <c r="D294" s="5">
        <v>3000048</v>
      </c>
      <c r="E294" s="11">
        <v>3000048</v>
      </c>
      <c r="F294" s="11" t="s">
        <v>339</v>
      </c>
      <c r="G294" s="5" t="s">
        <v>339</v>
      </c>
      <c r="H294" s="5" t="s">
        <v>54</v>
      </c>
      <c r="I294" s="5">
        <v>9908116</v>
      </c>
      <c r="J294" s="6">
        <v>46078</v>
      </c>
      <c r="K294" s="6">
        <v>46078</v>
      </c>
      <c r="L294" s="6">
        <v>46136</v>
      </c>
      <c r="M294" s="7">
        <v>-4</v>
      </c>
      <c r="N294" s="7">
        <v>343749292</v>
      </c>
      <c r="O294" s="7">
        <v>0</v>
      </c>
      <c r="P294" s="7">
        <v>343749292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5" t="s">
        <v>47</v>
      </c>
      <c r="Z294" s="6"/>
      <c r="AA294" s="5" t="s">
        <v>55</v>
      </c>
      <c r="AB294" s="5" t="s">
        <v>51</v>
      </c>
      <c r="AC294" s="5" t="s">
        <v>347</v>
      </c>
      <c r="AD294" s="5" t="s">
        <v>51</v>
      </c>
      <c r="AE294" s="5" t="s">
        <v>51</v>
      </c>
      <c r="AF294" s="5" t="s">
        <v>167</v>
      </c>
    </row>
    <row r="295" spans="1:32" ht="15.65" customHeight="1" x14ac:dyDescent="0.35">
      <c r="A295" s="5" t="s">
        <v>175</v>
      </c>
      <c r="B295" s="5" t="s">
        <v>176</v>
      </c>
      <c r="C295" s="5" t="s">
        <v>47</v>
      </c>
      <c r="D295" s="5">
        <v>3000048</v>
      </c>
      <c r="E295" s="11">
        <v>3000048</v>
      </c>
      <c r="F295" s="11" t="s">
        <v>339</v>
      </c>
      <c r="G295" s="5" t="s">
        <v>339</v>
      </c>
      <c r="H295" s="5" t="s">
        <v>54</v>
      </c>
      <c r="I295" s="5">
        <v>9910609</v>
      </c>
      <c r="J295" s="6">
        <v>46081</v>
      </c>
      <c r="K295" s="6">
        <v>46081</v>
      </c>
      <c r="L295" s="6">
        <v>46139</v>
      </c>
      <c r="M295" s="7">
        <v>-7</v>
      </c>
      <c r="N295" s="7">
        <v>322656133</v>
      </c>
      <c r="O295" s="7">
        <v>0</v>
      </c>
      <c r="P295" s="7">
        <v>322656133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5" t="s">
        <v>47</v>
      </c>
      <c r="Z295" s="6"/>
      <c r="AA295" s="5" t="s">
        <v>55</v>
      </c>
      <c r="AB295" s="5" t="s">
        <v>51</v>
      </c>
      <c r="AC295" s="5" t="s">
        <v>348</v>
      </c>
      <c r="AD295" s="5" t="s">
        <v>51</v>
      </c>
      <c r="AE295" s="5" t="s">
        <v>51</v>
      </c>
      <c r="AF295" s="5" t="s">
        <v>69</v>
      </c>
    </row>
    <row r="296" spans="1:32" ht="15.65" customHeight="1" x14ac:dyDescent="0.35">
      <c r="A296" s="5" t="s">
        <v>175</v>
      </c>
      <c r="B296" s="5" t="s">
        <v>176</v>
      </c>
      <c r="C296" s="5" t="s">
        <v>47</v>
      </c>
      <c r="D296" s="5">
        <v>3000048</v>
      </c>
      <c r="E296" s="11">
        <v>3000048</v>
      </c>
      <c r="F296" s="11" t="s">
        <v>339</v>
      </c>
      <c r="G296" s="5" t="s">
        <v>339</v>
      </c>
      <c r="H296" s="5" t="s">
        <v>54</v>
      </c>
      <c r="I296" s="5">
        <v>9914112</v>
      </c>
      <c r="J296" s="6">
        <v>46093</v>
      </c>
      <c r="K296" s="6">
        <v>46093</v>
      </c>
      <c r="L296" s="6">
        <v>46151</v>
      </c>
      <c r="M296" s="7">
        <v>-19</v>
      </c>
      <c r="N296" s="7">
        <v>323628956</v>
      </c>
      <c r="O296" s="7">
        <v>0</v>
      </c>
      <c r="P296" s="7">
        <v>323628956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5" t="s">
        <v>47</v>
      </c>
      <c r="Z296" s="6"/>
      <c r="AA296" s="5" t="s">
        <v>55</v>
      </c>
      <c r="AB296" s="5" t="s">
        <v>51</v>
      </c>
      <c r="AC296" s="5" t="s">
        <v>51</v>
      </c>
      <c r="AD296" s="5" t="s">
        <v>51</v>
      </c>
      <c r="AE296" s="5" t="s">
        <v>349</v>
      </c>
      <c r="AF296" s="5" t="s">
        <v>153</v>
      </c>
    </row>
    <row r="297" spans="1:32" ht="15.65" customHeight="1" x14ac:dyDescent="0.35">
      <c r="A297" s="5" t="s">
        <v>175</v>
      </c>
      <c r="B297" s="5" t="s">
        <v>176</v>
      </c>
      <c r="C297" s="5" t="s">
        <v>47</v>
      </c>
      <c r="D297" s="5">
        <v>3000048</v>
      </c>
      <c r="E297" s="11">
        <v>3000048</v>
      </c>
      <c r="F297" s="11" t="s">
        <v>339</v>
      </c>
      <c r="G297" s="5" t="s">
        <v>339</v>
      </c>
      <c r="H297" s="5" t="s">
        <v>54</v>
      </c>
      <c r="I297" s="5">
        <v>9920222</v>
      </c>
      <c r="J297" s="6">
        <v>46111</v>
      </c>
      <c r="K297" s="6">
        <v>46111</v>
      </c>
      <c r="L297" s="6">
        <v>46169</v>
      </c>
      <c r="M297" s="7">
        <v>-37</v>
      </c>
      <c r="N297" s="7">
        <v>306253625</v>
      </c>
      <c r="O297" s="7">
        <v>0</v>
      </c>
      <c r="P297" s="7">
        <v>306253625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5" t="s">
        <v>47</v>
      </c>
      <c r="Z297" s="6"/>
      <c r="AA297" s="5" t="s">
        <v>55</v>
      </c>
      <c r="AB297" s="5" t="s">
        <v>51</v>
      </c>
      <c r="AC297" s="5" t="s">
        <v>51</v>
      </c>
      <c r="AD297" s="5" t="s">
        <v>51</v>
      </c>
      <c r="AE297" s="5" t="s">
        <v>350</v>
      </c>
      <c r="AF297" s="5" t="s">
        <v>195</v>
      </c>
    </row>
    <row r="298" spans="1:32" ht="15.65" customHeight="1" x14ac:dyDescent="0.35">
      <c r="A298" s="5" t="s">
        <v>175</v>
      </c>
      <c r="B298" s="5" t="s">
        <v>176</v>
      </c>
      <c r="C298" s="5" t="s">
        <v>47</v>
      </c>
      <c r="D298" s="5">
        <v>3000048</v>
      </c>
      <c r="E298" s="5">
        <v>3000048</v>
      </c>
      <c r="F298" s="5" t="s">
        <v>339</v>
      </c>
      <c r="G298" s="5" t="s">
        <v>339</v>
      </c>
      <c r="H298" s="5" t="s">
        <v>54</v>
      </c>
      <c r="I298" s="5">
        <v>9920351</v>
      </c>
      <c r="J298" s="6">
        <v>46112</v>
      </c>
      <c r="K298" s="6">
        <v>46112</v>
      </c>
      <c r="L298" s="6">
        <v>46170</v>
      </c>
      <c r="M298" s="7">
        <v>-38</v>
      </c>
      <c r="N298" s="7">
        <v>264265824</v>
      </c>
      <c r="O298" s="7">
        <v>0</v>
      </c>
      <c r="P298" s="7">
        <v>264265824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5" t="s">
        <v>47</v>
      </c>
      <c r="Z298" s="6"/>
      <c r="AA298" s="5" t="s">
        <v>55</v>
      </c>
      <c r="AB298" s="5" t="s">
        <v>51</v>
      </c>
      <c r="AC298" s="5" t="s">
        <v>51</v>
      </c>
      <c r="AD298" s="5" t="s">
        <v>51</v>
      </c>
      <c r="AE298" s="5" t="s">
        <v>351</v>
      </c>
      <c r="AF298" s="5" t="s">
        <v>352</v>
      </c>
    </row>
    <row r="299" spans="1:32" ht="15.65" customHeight="1" x14ac:dyDescent="0.35">
      <c r="A299" s="5" t="s">
        <v>175</v>
      </c>
      <c r="B299" s="5" t="s">
        <v>176</v>
      </c>
      <c r="C299" s="5" t="s">
        <v>187</v>
      </c>
      <c r="D299" s="5">
        <v>3000048</v>
      </c>
      <c r="E299" s="11">
        <v>3100608</v>
      </c>
      <c r="F299" s="11" t="s">
        <v>339</v>
      </c>
      <c r="G299" s="5" t="s">
        <v>339</v>
      </c>
      <c r="H299" s="5" t="s">
        <v>54</v>
      </c>
      <c r="I299" s="5">
        <v>9925714</v>
      </c>
      <c r="J299" s="6">
        <v>46127</v>
      </c>
      <c r="K299" s="6">
        <v>46127</v>
      </c>
      <c r="L299" s="6">
        <v>46173</v>
      </c>
      <c r="M299" s="7">
        <v>-41</v>
      </c>
      <c r="N299" s="7">
        <v>230924538</v>
      </c>
      <c r="O299" s="7">
        <v>0</v>
      </c>
      <c r="P299" s="7">
        <v>230924538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5" t="s">
        <v>187</v>
      </c>
      <c r="Z299" s="6"/>
      <c r="AA299" s="5" t="s">
        <v>55</v>
      </c>
      <c r="AB299" s="5" t="s">
        <v>51</v>
      </c>
      <c r="AC299" s="5" t="s">
        <v>51</v>
      </c>
      <c r="AD299" s="5" t="s">
        <v>51</v>
      </c>
      <c r="AE299" s="5" t="s">
        <v>353</v>
      </c>
      <c r="AF299" s="5" t="s">
        <v>354</v>
      </c>
    </row>
    <row r="300" spans="1:32" ht="15.65" customHeight="1" x14ac:dyDescent="0.35">
      <c r="A300" s="5" t="s">
        <v>175</v>
      </c>
      <c r="B300" s="5" t="s">
        <v>176</v>
      </c>
      <c r="C300" s="5" t="s">
        <v>47</v>
      </c>
      <c r="D300" s="5">
        <v>3000048</v>
      </c>
      <c r="E300" s="5">
        <v>3000048</v>
      </c>
      <c r="F300" s="5" t="s">
        <v>339</v>
      </c>
      <c r="G300" s="5" t="s">
        <v>339</v>
      </c>
      <c r="H300" s="5" t="s">
        <v>54</v>
      </c>
      <c r="I300" s="5">
        <v>9926545</v>
      </c>
      <c r="J300" s="6">
        <v>46128</v>
      </c>
      <c r="K300" s="6">
        <v>46128</v>
      </c>
      <c r="L300" s="6">
        <v>46186</v>
      </c>
      <c r="M300" s="7">
        <v>-54</v>
      </c>
      <c r="N300" s="7">
        <v>347806791</v>
      </c>
      <c r="O300" s="7">
        <v>0</v>
      </c>
      <c r="P300" s="7">
        <v>347806791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5" t="s">
        <v>47</v>
      </c>
      <c r="Z300" s="6"/>
      <c r="AA300" s="5" t="s">
        <v>55</v>
      </c>
      <c r="AB300" s="5" t="s">
        <v>51</v>
      </c>
      <c r="AC300" s="5" t="s">
        <v>51</v>
      </c>
      <c r="AD300" s="5" t="s">
        <v>51</v>
      </c>
      <c r="AE300" s="5" t="s">
        <v>355</v>
      </c>
      <c r="AF300" s="5" t="s">
        <v>356</v>
      </c>
    </row>
    <row r="301" spans="1:32" ht="15.65" customHeight="1" x14ac:dyDescent="0.35">
      <c r="A301" s="5" t="s">
        <v>175</v>
      </c>
      <c r="B301" s="5" t="s">
        <v>176</v>
      </c>
      <c r="C301" s="5" t="s">
        <v>47</v>
      </c>
      <c r="D301" s="5">
        <v>3000048</v>
      </c>
      <c r="E301" s="11">
        <v>3000048</v>
      </c>
      <c r="F301" s="11" t="s">
        <v>339</v>
      </c>
      <c r="G301" s="5" t="s">
        <v>339</v>
      </c>
      <c r="H301" s="5" t="s">
        <v>54</v>
      </c>
      <c r="I301" s="5">
        <v>9927483</v>
      </c>
      <c r="J301" s="6">
        <v>46130</v>
      </c>
      <c r="K301" s="6">
        <v>46130</v>
      </c>
      <c r="L301" s="6">
        <v>46188</v>
      </c>
      <c r="M301" s="7">
        <v>-56</v>
      </c>
      <c r="N301" s="7">
        <v>343797461</v>
      </c>
      <c r="O301" s="7">
        <v>0</v>
      </c>
      <c r="P301" s="7">
        <v>343797461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5" t="s">
        <v>47</v>
      </c>
      <c r="Z301" s="6"/>
      <c r="AA301" s="5" t="s">
        <v>55</v>
      </c>
      <c r="AB301" s="5" t="s">
        <v>51</v>
      </c>
      <c r="AC301" s="5" t="s">
        <v>51</v>
      </c>
      <c r="AD301" s="5" t="s">
        <v>51</v>
      </c>
      <c r="AE301" s="5" t="s">
        <v>357</v>
      </c>
      <c r="AF301" s="5" t="s">
        <v>358</v>
      </c>
    </row>
    <row r="302" spans="1:32" ht="15.65" customHeight="1" x14ac:dyDescent="0.35">
      <c r="A302" s="5" t="s">
        <v>45</v>
      </c>
      <c r="B302" s="5" t="s">
        <v>359</v>
      </c>
      <c r="C302" s="5" t="s">
        <v>47</v>
      </c>
      <c r="D302" s="5">
        <v>3000251</v>
      </c>
      <c r="E302" s="11">
        <v>3100098</v>
      </c>
      <c r="F302" s="11" t="s">
        <v>360</v>
      </c>
      <c r="G302" s="5" t="s">
        <v>360</v>
      </c>
      <c r="H302" s="5" t="s">
        <v>54</v>
      </c>
      <c r="I302" s="5">
        <v>6955329</v>
      </c>
      <c r="J302" s="6">
        <v>46093</v>
      </c>
      <c r="K302" s="6">
        <v>46093</v>
      </c>
      <c r="L302" s="6">
        <v>46093</v>
      </c>
      <c r="M302" s="7">
        <v>39</v>
      </c>
      <c r="N302" s="7">
        <v>-4350261</v>
      </c>
      <c r="O302" s="7">
        <v>-4350261</v>
      </c>
      <c r="P302" s="7">
        <v>0</v>
      </c>
      <c r="Q302" s="7">
        <v>0</v>
      </c>
      <c r="R302" s="7">
        <v>-4350261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5" t="s">
        <v>47</v>
      </c>
      <c r="Z302" s="6"/>
      <c r="AA302" s="5" t="s">
        <v>55</v>
      </c>
      <c r="AB302" s="5" t="s">
        <v>51</v>
      </c>
      <c r="AC302" s="5" t="s">
        <v>51</v>
      </c>
      <c r="AD302" s="5" t="s">
        <v>51</v>
      </c>
      <c r="AE302" s="5" t="s">
        <v>51</v>
      </c>
      <c r="AF302" s="5" t="s">
        <v>361</v>
      </c>
    </row>
    <row r="303" spans="1:32" ht="15.65" customHeight="1" x14ac:dyDescent="0.35">
      <c r="A303" s="5" t="s">
        <v>45</v>
      </c>
      <c r="B303" s="5" t="s">
        <v>359</v>
      </c>
      <c r="C303" s="5" t="s">
        <v>47</v>
      </c>
      <c r="D303" s="5">
        <v>3000251</v>
      </c>
      <c r="E303" s="11">
        <v>3100098</v>
      </c>
      <c r="F303" s="11" t="s">
        <v>360</v>
      </c>
      <c r="G303" s="5" t="s">
        <v>360</v>
      </c>
      <c r="H303" s="5" t="s">
        <v>54</v>
      </c>
      <c r="I303" s="5">
        <v>6955350</v>
      </c>
      <c r="J303" s="6">
        <v>46093</v>
      </c>
      <c r="K303" s="6">
        <v>46093</v>
      </c>
      <c r="L303" s="6">
        <v>46093</v>
      </c>
      <c r="M303" s="7">
        <v>39</v>
      </c>
      <c r="N303" s="7">
        <v>-4350261</v>
      </c>
      <c r="O303" s="7">
        <v>-4350261</v>
      </c>
      <c r="P303" s="7">
        <v>0</v>
      </c>
      <c r="Q303" s="7">
        <v>0</v>
      </c>
      <c r="R303" s="7">
        <v>-4350261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5" t="s">
        <v>47</v>
      </c>
      <c r="Z303" s="6"/>
      <c r="AA303" s="5" t="s">
        <v>55</v>
      </c>
      <c r="AB303" s="5" t="s">
        <v>51</v>
      </c>
      <c r="AC303" s="5" t="s">
        <v>51</v>
      </c>
      <c r="AD303" s="5" t="s">
        <v>51</v>
      </c>
      <c r="AE303" s="5" t="s">
        <v>51</v>
      </c>
      <c r="AF303" s="5" t="s">
        <v>362</v>
      </c>
    </row>
    <row r="304" spans="1:32" ht="15.65" customHeight="1" x14ac:dyDescent="0.35">
      <c r="A304" s="5" t="s">
        <v>45</v>
      </c>
      <c r="B304" s="5" t="s">
        <v>359</v>
      </c>
      <c r="C304" s="5" t="s">
        <v>47</v>
      </c>
      <c r="D304" s="5">
        <v>3000251</v>
      </c>
      <c r="E304" s="11">
        <v>3100098</v>
      </c>
      <c r="F304" s="11" t="s">
        <v>360</v>
      </c>
      <c r="G304" s="5" t="s">
        <v>360</v>
      </c>
      <c r="H304" s="5" t="s">
        <v>54</v>
      </c>
      <c r="I304" s="5">
        <v>6955375</v>
      </c>
      <c r="J304" s="6">
        <v>46093</v>
      </c>
      <c r="K304" s="6">
        <v>46093</v>
      </c>
      <c r="L304" s="6">
        <v>46093</v>
      </c>
      <c r="M304" s="7">
        <v>39</v>
      </c>
      <c r="N304" s="7">
        <v>-4350261</v>
      </c>
      <c r="O304" s="7">
        <v>-4350261</v>
      </c>
      <c r="P304" s="7">
        <v>0</v>
      </c>
      <c r="Q304" s="7">
        <v>0</v>
      </c>
      <c r="R304" s="7">
        <v>-4350261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5" t="s">
        <v>47</v>
      </c>
      <c r="Z304" s="6"/>
      <c r="AA304" s="5" t="s">
        <v>55</v>
      </c>
      <c r="AB304" s="5" t="s">
        <v>51</v>
      </c>
      <c r="AC304" s="5" t="s">
        <v>51</v>
      </c>
      <c r="AD304" s="5" t="s">
        <v>51</v>
      </c>
      <c r="AE304" s="5" t="s">
        <v>51</v>
      </c>
      <c r="AF304" s="5" t="s">
        <v>363</v>
      </c>
    </row>
    <row r="305" spans="1:32" ht="15.65" customHeight="1" x14ac:dyDescent="0.35">
      <c r="A305" s="5" t="s">
        <v>45</v>
      </c>
      <c r="B305" s="5" t="s">
        <v>359</v>
      </c>
      <c r="C305" s="5" t="s">
        <v>47</v>
      </c>
      <c r="D305" s="5">
        <v>3000251</v>
      </c>
      <c r="E305" s="11">
        <v>3000251</v>
      </c>
      <c r="F305" s="11" t="s">
        <v>360</v>
      </c>
      <c r="G305" s="5" t="s">
        <v>360</v>
      </c>
      <c r="H305" s="5" t="s">
        <v>111</v>
      </c>
      <c r="I305" s="5">
        <v>6955496</v>
      </c>
      <c r="J305" s="6">
        <v>46094</v>
      </c>
      <c r="K305" s="6">
        <v>46094</v>
      </c>
      <c r="L305" s="6">
        <v>46094</v>
      </c>
      <c r="M305" s="7">
        <v>38</v>
      </c>
      <c r="N305" s="7">
        <v>-18157771</v>
      </c>
      <c r="O305" s="7">
        <v>-18157771</v>
      </c>
      <c r="P305" s="7">
        <v>0</v>
      </c>
      <c r="Q305" s="7">
        <v>0</v>
      </c>
      <c r="R305" s="7">
        <v>-18157771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5" t="s">
        <v>47</v>
      </c>
      <c r="Z305" s="6"/>
      <c r="AA305" s="5" t="s">
        <v>55</v>
      </c>
      <c r="AB305" s="5" t="s">
        <v>51</v>
      </c>
      <c r="AC305" s="5" t="s">
        <v>51</v>
      </c>
      <c r="AD305" s="5" t="s">
        <v>51</v>
      </c>
      <c r="AE305" s="5" t="s">
        <v>51</v>
      </c>
      <c r="AF305" s="5" t="s">
        <v>358</v>
      </c>
    </row>
    <row r="306" spans="1:32" ht="15.65" customHeight="1" x14ac:dyDescent="0.35">
      <c r="A306" s="5" t="s">
        <v>45</v>
      </c>
      <c r="B306" s="5" t="s">
        <v>359</v>
      </c>
      <c r="C306" s="5" t="s">
        <v>47</v>
      </c>
      <c r="D306" s="5">
        <v>3000251</v>
      </c>
      <c r="E306" s="11">
        <v>3001105</v>
      </c>
      <c r="F306" s="11" t="s">
        <v>360</v>
      </c>
      <c r="G306" s="5" t="s">
        <v>360</v>
      </c>
      <c r="H306" s="5" t="s">
        <v>54</v>
      </c>
      <c r="I306" s="5">
        <v>6956204</v>
      </c>
      <c r="J306" s="6">
        <v>46098</v>
      </c>
      <c r="K306" s="6">
        <v>46098</v>
      </c>
      <c r="L306" s="6">
        <v>46098</v>
      </c>
      <c r="M306" s="7">
        <v>34</v>
      </c>
      <c r="N306" s="7">
        <v>-33613200</v>
      </c>
      <c r="O306" s="7">
        <v>-33613200</v>
      </c>
      <c r="P306" s="7">
        <v>0</v>
      </c>
      <c r="Q306" s="7">
        <v>0</v>
      </c>
      <c r="R306" s="7">
        <v>-33613200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5" t="s">
        <v>47</v>
      </c>
      <c r="Z306" s="6"/>
      <c r="AA306" s="5" t="s">
        <v>55</v>
      </c>
      <c r="AB306" s="5" t="s">
        <v>51</v>
      </c>
      <c r="AC306" s="5" t="s">
        <v>51</v>
      </c>
      <c r="AD306" s="5" t="s">
        <v>51</v>
      </c>
      <c r="AE306" s="5" t="s">
        <v>51</v>
      </c>
      <c r="AF306" s="5" t="s">
        <v>364</v>
      </c>
    </row>
    <row r="307" spans="1:32" ht="15.65" customHeight="1" x14ac:dyDescent="0.35">
      <c r="A307" s="5" t="s">
        <v>45</v>
      </c>
      <c r="B307" s="5" t="s">
        <v>359</v>
      </c>
      <c r="C307" s="5" t="s">
        <v>47</v>
      </c>
      <c r="D307" s="5">
        <v>3000251</v>
      </c>
      <c r="E307" s="11">
        <v>3001105</v>
      </c>
      <c r="F307" s="11" t="s">
        <v>360</v>
      </c>
      <c r="G307" s="5" t="s">
        <v>360</v>
      </c>
      <c r="H307" s="5" t="s">
        <v>54</v>
      </c>
      <c r="I307" s="5">
        <v>6956212</v>
      </c>
      <c r="J307" s="6">
        <v>46098</v>
      </c>
      <c r="K307" s="6">
        <v>46098</v>
      </c>
      <c r="L307" s="6">
        <v>46098</v>
      </c>
      <c r="M307" s="7">
        <v>34</v>
      </c>
      <c r="N307" s="7">
        <v>-28421700</v>
      </c>
      <c r="O307" s="7">
        <v>-28421700</v>
      </c>
      <c r="P307" s="7">
        <v>0</v>
      </c>
      <c r="Q307" s="7">
        <v>0</v>
      </c>
      <c r="R307" s="7">
        <v>-28421700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5" t="s">
        <v>47</v>
      </c>
      <c r="Z307" s="6"/>
      <c r="AA307" s="5" t="s">
        <v>55</v>
      </c>
      <c r="AB307" s="5" t="s">
        <v>51</v>
      </c>
      <c r="AC307" s="5" t="s">
        <v>51</v>
      </c>
      <c r="AD307" s="5" t="s">
        <v>51</v>
      </c>
      <c r="AE307" s="5" t="s">
        <v>51</v>
      </c>
      <c r="AF307" s="5" t="s">
        <v>364</v>
      </c>
    </row>
    <row r="308" spans="1:32" ht="15.65" customHeight="1" x14ac:dyDescent="0.35">
      <c r="A308" s="5" t="s">
        <v>45</v>
      </c>
      <c r="B308" s="5" t="s">
        <v>359</v>
      </c>
      <c r="C308" s="5" t="s">
        <v>47</v>
      </c>
      <c r="D308" s="5">
        <v>3000251</v>
      </c>
      <c r="E308" s="11">
        <v>3001105</v>
      </c>
      <c r="F308" s="11" t="s">
        <v>360</v>
      </c>
      <c r="G308" s="5" t="s">
        <v>360</v>
      </c>
      <c r="H308" s="5" t="s">
        <v>54</v>
      </c>
      <c r="I308" s="5">
        <v>6956213</v>
      </c>
      <c r="J308" s="6">
        <v>46098</v>
      </c>
      <c r="K308" s="6">
        <v>46098</v>
      </c>
      <c r="L308" s="6">
        <v>46098</v>
      </c>
      <c r="M308" s="7">
        <v>34</v>
      </c>
      <c r="N308" s="7">
        <v>-32137700</v>
      </c>
      <c r="O308" s="7">
        <v>-32137700</v>
      </c>
      <c r="P308" s="7">
        <v>0</v>
      </c>
      <c r="Q308" s="7">
        <v>0</v>
      </c>
      <c r="R308" s="7">
        <v>-32137700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5" t="s">
        <v>47</v>
      </c>
      <c r="Z308" s="6"/>
      <c r="AA308" s="5" t="s">
        <v>55</v>
      </c>
      <c r="AB308" s="5" t="s">
        <v>51</v>
      </c>
      <c r="AC308" s="5" t="s">
        <v>51</v>
      </c>
      <c r="AD308" s="5" t="s">
        <v>51</v>
      </c>
      <c r="AE308" s="5" t="s">
        <v>51</v>
      </c>
      <c r="AF308" s="5" t="s">
        <v>364</v>
      </c>
    </row>
    <row r="309" spans="1:32" ht="15.65" customHeight="1" x14ac:dyDescent="0.35">
      <c r="A309" s="5" t="s">
        <v>45</v>
      </c>
      <c r="B309" s="5" t="s">
        <v>359</v>
      </c>
      <c r="C309" s="5" t="s">
        <v>47</v>
      </c>
      <c r="D309" s="5">
        <v>3000251</v>
      </c>
      <c r="E309" s="11">
        <v>3001105</v>
      </c>
      <c r="F309" s="11" t="s">
        <v>360</v>
      </c>
      <c r="G309" s="5" t="s">
        <v>360</v>
      </c>
      <c r="H309" s="5" t="s">
        <v>54</v>
      </c>
      <c r="I309" s="5">
        <v>6956214</v>
      </c>
      <c r="J309" s="6">
        <v>46098</v>
      </c>
      <c r="K309" s="6">
        <v>46098</v>
      </c>
      <c r="L309" s="6">
        <v>46098</v>
      </c>
      <c r="M309" s="7">
        <v>34</v>
      </c>
      <c r="N309" s="7">
        <v>-10218800</v>
      </c>
      <c r="O309" s="7">
        <v>-10218800</v>
      </c>
      <c r="P309" s="7">
        <v>0</v>
      </c>
      <c r="Q309" s="7">
        <v>0</v>
      </c>
      <c r="R309" s="7">
        <v>-10218800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5" t="s">
        <v>47</v>
      </c>
      <c r="Z309" s="6"/>
      <c r="AA309" s="5" t="s">
        <v>55</v>
      </c>
      <c r="AB309" s="5" t="s">
        <v>51</v>
      </c>
      <c r="AC309" s="5" t="s">
        <v>51</v>
      </c>
      <c r="AD309" s="5" t="s">
        <v>51</v>
      </c>
      <c r="AE309" s="5" t="s">
        <v>51</v>
      </c>
      <c r="AF309" s="5" t="s">
        <v>365</v>
      </c>
    </row>
    <row r="310" spans="1:32" ht="15.65" customHeight="1" x14ac:dyDescent="0.35">
      <c r="A310" s="5" t="s">
        <v>45</v>
      </c>
      <c r="B310" s="5" t="s">
        <v>359</v>
      </c>
      <c r="C310" s="5" t="s">
        <v>47</v>
      </c>
      <c r="D310" s="5">
        <v>3000251</v>
      </c>
      <c r="E310" s="11">
        <v>3001105</v>
      </c>
      <c r="F310" s="11" t="s">
        <v>360</v>
      </c>
      <c r="G310" s="5" t="s">
        <v>360</v>
      </c>
      <c r="H310" s="5" t="s">
        <v>111</v>
      </c>
      <c r="I310" s="5">
        <v>6956904</v>
      </c>
      <c r="J310" s="6">
        <v>46106</v>
      </c>
      <c r="K310" s="6">
        <v>46106</v>
      </c>
      <c r="L310" s="6">
        <v>46106</v>
      </c>
      <c r="M310" s="7">
        <v>26</v>
      </c>
      <c r="N310" s="7">
        <v>-688011</v>
      </c>
      <c r="O310" s="7">
        <v>-688011</v>
      </c>
      <c r="P310" s="7">
        <v>0</v>
      </c>
      <c r="Q310" s="7">
        <v>-688011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5" t="s">
        <v>47</v>
      </c>
      <c r="Z310" s="6"/>
      <c r="AA310" s="5" t="s">
        <v>55</v>
      </c>
      <c r="AB310" s="5" t="s">
        <v>51</v>
      </c>
      <c r="AC310" s="5" t="s">
        <v>51</v>
      </c>
      <c r="AD310" s="5" t="s">
        <v>51</v>
      </c>
      <c r="AE310" s="5" t="s">
        <v>51</v>
      </c>
      <c r="AF310" s="5" t="s">
        <v>366</v>
      </c>
    </row>
    <row r="311" spans="1:32" ht="15.65" customHeight="1" x14ac:dyDescent="0.35">
      <c r="A311" s="5" t="s">
        <v>45</v>
      </c>
      <c r="B311" s="5" t="s">
        <v>359</v>
      </c>
      <c r="C311" s="5" t="s">
        <v>47</v>
      </c>
      <c r="D311" s="5">
        <v>3000251</v>
      </c>
      <c r="E311" s="11">
        <v>3001105</v>
      </c>
      <c r="F311" s="11" t="s">
        <v>360</v>
      </c>
      <c r="G311" s="5" t="s">
        <v>360</v>
      </c>
      <c r="H311" s="5" t="s">
        <v>111</v>
      </c>
      <c r="I311" s="5">
        <v>6956905</v>
      </c>
      <c r="J311" s="6">
        <v>46106</v>
      </c>
      <c r="K311" s="6">
        <v>46106</v>
      </c>
      <c r="L311" s="6">
        <v>46106</v>
      </c>
      <c r="M311" s="7">
        <v>26</v>
      </c>
      <c r="N311" s="7">
        <v>-458727</v>
      </c>
      <c r="O311" s="7">
        <v>-458727</v>
      </c>
      <c r="P311" s="7">
        <v>0</v>
      </c>
      <c r="Q311" s="7">
        <v>-458727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5" t="s">
        <v>47</v>
      </c>
      <c r="Z311" s="6"/>
      <c r="AA311" s="5" t="s">
        <v>55</v>
      </c>
      <c r="AB311" s="5" t="s">
        <v>51</v>
      </c>
      <c r="AC311" s="5" t="s">
        <v>51</v>
      </c>
      <c r="AD311" s="5" t="s">
        <v>51</v>
      </c>
      <c r="AE311" s="5" t="s">
        <v>51</v>
      </c>
      <c r="AF311" s="5" t="s">
        <v>64</v>
      </c>
    </row>
    <row r="312" spans="1:32" ht="15.65" customHeight="1" x14ac:dyDescent="0.35">
      <c r="A312" s="5" t="s">
        <v>45</v>
      </c>
      <c r="B312" s="5" t="s">
        <v>359</v>
      </c>
      <c r="C312" s="5" t="s">
        <v>47</v>
      </c>
      <c r="D312" s="5">
        <v>3000251</v>
      </c>
      <c r="E312" s="11">
        <v>3001105</v>
      </c>
      <c r="F312" s="11" t="s">
        <v>360</v>
      </c>
      <c r="G312" s="5" t="s">
        <v>360</v>
      </c>
      <c r="H312" s="5" t="s">
        <v>111</v>
      </c>
      <c r="I312" s="5">
        <v>6956906</v>
      </c>
      <c r="J312" s="6">
        <v>46106</v>
      </c>
      <c r="K312" s="6">
        <v>46106</v>
      </c>
      <c r="L312" s="6">
        <v>46106</v>
      </c>
      <c r="M312" s="7">
        <v>26</v>
      </c>
      <c r="N312" s="7">
        <v>-972586</v>
      </c>
      <c r="O312" s="7">
        <v>-972586</v>
      </c>
      <c r="P312" s="7">
        <v>0</v>
      </c>
      <c r="Q312" s="7">
        <v>-972586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5" t="s">
        <v>47</v>
      </c>
      <c r="Z312" s="6"/>
      <c r="AA312" s="5" t="s">
        <v>55</v>
      </c>
      <c r="AB312" s="5" t="s">
        <v>51</v>
      </c>
      <c r="AC312" s="5" t="s">
        <v>51</v>
      </c>
      <c r="AD312" s="5" t="s">
        <v>51</v>
      </c>
      <c r="AE312" s="5" t="s">
        <v>51</v>
      </c>
      <c r="AF312" s="5" t="s">
        <v>367</v>
      </c>
    </row>
    <row r="313" spans="1:32" ht="15.65" customHeight="1" x14ac:dyDescent="0.35">
      <c r="A313" s="5" t="s">
        <v>45</v>
      </c>
      <c r="B313" s="5" t="s">
        <v>359</v>
      </c>
      <c r="C313" s="5" t="s">
        <v>47</v>
      </c>
      <c r="D313" s="5">
        <v>3000251</v>
      </c>
      <c r="E313" s="11">
        <v>3001105</v>
      </c>
      <c r="F313" s="11" t="s">
        <v>360</v>
      </c>
      <c r="G313" s="5" t="s">
        <v>360</v>
      </c>
      <c r="H313" s="5" t="s">
        <v>54</v>
      </c>
      <c r="I313" s="5">
        <v>6957016</v>
      </c>
      <c r="J313" s="6">
        <v>46106</v>
      </c>
      <c r="K313" s="6">
        <v>46106</v>
      </c>
      <c r="L313" s="6">
        <v>46106</v>
      </c>
      <c r="M313" s="7">
        <v>26</v>
      </c>
      <c r="N313" s="7">
        <v>-3825000</v>
      </c>
      <c r="O313" s="7">
        <v>-3825000</v>
      </c>
      <c r="P313" s="7">
        <v>0</v>
      </c>
      <c r="Q313" s="7">
        <v>-3825000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5" t="s">
        <v>47</v>
      </c>
      <c r="Z313" s="6"/>
      <c r="AA313" s="5" t="s">
        <v>55</v>
      </c>
      <c r="AB313" s="5" t="s">
        <v>51</v>
      </c>
      <c r="AC313" s="5" t="s">
        <v>51</v>
      </c>
      <c r="AD313" s="5" t="s">
        <v>51</v>
      </c>
      <c r="AE313" s="5" t="s">
        <v>51</v>
      </c>
      <c r="AF313" s="5" t="s">
        <v>368</v>
      </c>
    </row>
    <row r="314" spans="1:32" ht="15.65" customHeight="1" x14ac:dyDescent="0.35">
      <c r="A314" s="5" t="s">
        <v>45</v>
      </c>
      <c r="B314" s="5" t="s">
        <v>359</v>
      </c>
      <c r="C314" s="5" t="s">
        <v>47</v>
      </c>
      <c r="D314" s="5">
        <v>3000251</v>
      </c>
      <c r="E314" s="11">
        <v>3000826</v>
      </c>
      <c r="F314" s="11" t="s">
        <v>360</v>
      </c>
      <c r="G314" s="5" t="s">
        <v>360</v>
      </c>
      <c r="H314" s="5" t="s">
        <v>54</v>
      </c>
      <c r="I314" s="5">
        <v>6957036</v>
      </c>
      <c r="J314" s="6">
        <v>46106</v>
      </c>
      <c r="K314" s="6">
        <v>46106</v>
      </c>
      <c r="L314" s="6">
        <v>46106</v>
      </c>
      <c r="M314" s="7">
        <v>26</v>
      </c>
      <c r="N314" s="7">
        <v>-878857</v>
      </c>
      <c r="O314" s="7">
        <v>-878857</v>
      </c>
      <c r="P314" s="7">
        <v>0</v>
      </c>
      <c r="Q314" s="7">
        <v>-878857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5" t="s">
        <v>47</v>
      </c>
      <c r="Z314" s="6"/>
      <c r="AA314" s="5" t="s">
        <v>55</v>
      </c>
      <c r="AB314" s="5" t="s">
        <v>51</v>
      </c>
      <c r="AC314" s="5" t="s">
        <v>51</v>
      </c>
      <c r="AD314" s="5" t="s">
        <v>51</v>
      </c>
      <c r="AE314" s="5" t="s">
        <v>51</v>
      </c>
      <c r="AF314" s="5" t="s">
        <v>369</v>
      </c>
    </row>
    <row r="315" spans="1:32" ht="15.65" customHeight="1" x14ac:dyDescent="0.35">
      <c r="A315" s="5" t="s">
        <v>45</v>
      </c>
      <c r="B315" s="5" t="s">
        <v>359</v>
      </c>
      <c r="C315" s="5" t="s">
        <v>47</v>
      </c>
      <c r="D315" s="5">
        <v>3000251</v>
      </c>
      <c r="E315" s="11">
        <v>3001105</v>
      </c>
      <c r="F315" s="11" t="s">
        <v>360</v>
      </c>
      <c r="G315" s="5" t="s">
        <v>360</v>
      </c>
      <c r="H315" s="5" t="s">
        <v>54</v>
      </c>
      <c r="I315" s="5">
        <v>6957065</v>
      </c>
      <c r="J315" s="6">
        <v>46106</v>
      </c>
      <c r="K315" s="6">
        <v>46106</v>
      </c>
      <c r="L315" s="6">
        <v>46106</v>
      </c>
      <c r="M315" s="7">
        <v>26</v>
      </c>
      <c r="N315" s="7">
        <v>-2672872</v>
      </c>
      <c r="O315" s="7">
        <v>-2672872</v>
      </c>
      <c r="P315" s="7">
        <v>0</v>
      </c>
      <c r="Q315" s="7">
        <v>-2672872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5" t="s">
        <v>47</v>
      </c>
      <c r="Z315" s="6"/>
      <c r="AA315" s="5" t="s">
        <v>55</v>
      </c>
      <c r="AB315" s="5" t="s">
        <v>51</v>
      </c>
      <c r="AC315" s="5" t="s">
        <v>51</v>
      </c>
      <c r="AD315" s="5" t="s">
        <v>51</v>
      </c>
      <c r="AE315" s="5" t="s">
        <v>51</v>
      </c>
      <c r="AF315" s="5" t="s">
        <v>370</v>
      </c>
    </row>
    <row r="316" spans="1:32" ht="15.65" customHeight="1" x14ac:dyDescent="0.35">
      <c r="A316" s="5" t="s">
        <v>45</v>
      </c>
      <c r="B316" s="5" t="s">
        <v>371</v>
      </c>
      <c r="C316" s="5" t="s">
        <v>47</v>
      </c>
      <c r="D316" s="5">
        <v>3000251</v>
      </c>
      <c r="E316" s="11">
        <v>3100934</v>
      </c>
      <c r="F316" s="11" t="s">
        <v>360</v>
      </c>
      <c r="G316" s="5" t="s">
        <v>372</v>
      </c>
      <c r="H316" s="5" t="s">
        <v>54</v>
      </c>
      <c r="I316" s="5">
        <v>6957125</v>
      </c>
      <c r="J316" s="6">
        <v>46106</v>
      </c>
      <c r="K316" s="6">
        <v>46106</v>
      </c>
      <c r="L316" s="6">
        <v>46106</v>
      </c>
      <c r="M316" s="7">
        <v>26</v>
      </c>
      <c r="N316" s="7">
        <v>-696823</v>
      </c>
      <c r="O316" s="7">
        <v>-696823</v>
      </c>
      <c r="P316" s="7">
        <v>0</v>
      </c>
      <c r="Q316" s="7">
        <v>-696823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5" t="s">
        <v>47</v>
      </c>
      <c r="Z316" s="6"/>
      <c r="AA316" s="5" t="s">
        <v>55</v>
      </c>
      <c r="AB316" s="5" t="s">
        <v>51</v>
      </c>
      <c r="AC316" s="5" t="s">
        <v>51</v>
      </c>
      <c r="AD316" s="5" t="s">
        <v>51</v>
      </c>
      <c r="AE316" s="5" t="s">
        <v>51</v>
      </c>
      <c r="AF316" s="5" t="s">
        <v>373</v>
      </c>
    </row>
    <row r="317" spans="1:32" ht="15.65" customHeight="1" x14ac:dyDescent="0.35">
      <c r="A317" s="5" t="s">
        <v>45</v>
      </c>
      <c r="B317" s="5" t="s">
        <v>371</v>
      </c>
      <c r="C317" s="5" t="s">
        <v>47</v>
      </c>
      <c r="D317" s="5">
        <v>3000251</v>
      </c>
      <c r="E317" s="11">
        <v>3100934</v>
      </c>
      <c r="F317" s="11" t="s">
        <v>360</v>
      </c>
      <c r="G317" s="5" t="s">
        <v>372</v>
      </c>
      <c r="H317" s="5" t="s">
        <v>54</v>
      </c>
      <c r="I317" s="5">
        <v>6957126</v>
      </c>
      <c r="J317" s="6">
        <v>46106</v>
      </c>
      <c r="K317" s="6">
        <v>46106</v>
      </c>
      <c r="L317" s="6">
        <v>46106</v>
      </c>
      <c r="M317" s="7">
        <v>26</v>
      </c>
      <c r="N317" s="7">
        <v>-293549</v>
      </c>
      <c r="O317" s="7">
        <v>-293549</v>
      </c>
      <c r="P317" s="7">
        <v>0</v>
      </c>
      <c r="Q317" s="7">
        <v>-293549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5" t="s">
        <v>47</v>
      </c>
      <c r="Z317" s="6"/>
      <c r="AA317" s="5" t="s">
        <v>55</v>
      </c>
      <c r="AB317" s="5" t="s">
        <v>51</v>
      </c>
      <c r="AC317" s="5" t="s">
        <v>51</v>
      </c>
      <c r="AD317" s="5" t="s">
        <v>51</v>
      </c>
      <c r="AE317" s="5" t="s">
        <v>51</v>
      </c>
      <c r="AF317" s="5" t="s">
        <v>373</v>
      </c>
    </row>
    <row r="318" spans="1:32" ht="15.65" customHeight="1" x14ac:dyDescent="0.35">
      <c r="A318" s="5" t="s">
        <v>45</v>
      </c>
      <c r="B318" s="5" t="s">
        <v>359</v>
      </c>
      <c r="C318" s="5" t="s">
        <v>47</v>
      </c>
      <c r="D318" s="5">
        <v>3000251</v>
      </c>
      <c r="E318" s="11">
        <v>3000251</v>
      </c>
      <c r="F318" s="11" t="s">
        <v>360</v>
      </c>
      <c r="G318" s="5" t="s">
        <v>360</v>
      </c>
      <c r="H318" s="5" t="s">
        <v>54</v>
      </c>
      <c r="I318" s="5">
        <v>6957159</v>
      </c>
      <c r="J318" s="6">
        <v>46106</v>
      </c>
      <c r="K318" s="6">
        <v>46106</v>
      </c>
      <c r="L318" s="6">
        <v>46106</v>
      </c>
      <c r="M318" s="7">
        <v>26</v>
      </c>
      <c r="N318" s="7">
        <v>-41849284</v>
      </c>
      <c r="O318" s="7">
        <v>-41849284</v>
      </c>
      <c r="P318" s="7">
        <v>0</v>
      </c>
      <c r="Q318" s="7">
        <v>-41849284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5" t="s">
        <v>47</v>
      </c>
      <c r="Z318" s="6"/>
      <c r="AA318" s="5" t="s">
        <v>55</v>
      </c>
      <c r="AB318" s="5" t="s">
        <v>51</v>
      </c>
      <c r="AC318" s="5" t="s">
        <v>51</v>
      </c>
      <c r="AD318" s="5" t="s">
        <v>51</v>
      </c>
      <c r="AE318" s="5" t="s">
        <v>51</v>
      </c>
      <c r="AF318" s="5" t="s">
        <v>374</v>
      </c>
    </row>
    <row r="319" spans="1:32" ht="15.65" customHeight="1" x14ac:dyDescent="0.35">
      <c r="A319" s="5" t="s">
        <v>45</v>
      </c>
      <c r="B319" s="5" t="s">
        <v>359</v>
      </c>
      <c r="C319" s="5" t="s">
        <v>47</v>
      </c>
      <c r="D319" s="5">
        <v>3000251</v>
      </c>
      <c r="E319" s="11">
        <v>3000333</v>
      </c>
      <c r="F319" s="11" t="s">
        <v>360</v>
      </c>
      <c r="G319" s="5" t="s">
        <v>375</v>
      </c>
      <c r="H319" s="5" t="s">
        <v>54</v>
      </c>
      <c r="I319" s="5">
        <v>6957160</v>
      </c>
      <c r="J319" s="6">
        <v>46106</v>
      </c>
      <c r="K319" s="6">
        <v>46106</v>
      </c>
      <c r="L319" s="6">
        <v>46106</v>
      </c>
      <c r="M319" s="7">
        <v>26</v>
      </c>
      <c r="N319" s="7">
        <v>-341767</v>
      </c>
      <c r="O319" s="7">
        <v>-341767</v>
      </c>
      <c r="P319" s="7">
        <v>0</v>
      </c>
      <c r="Q319" s="7">
        <v>-341767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5" t="s">
        <v>47</v>
      </c>
      <c r="Z319" s="6"/>
      <c r="AA319" s="5" t="s">
        <v>55</v>
      </c>
      <c r="AB319" s="5" t="s">
        <v>51</v>
      </c>
      <c r="AC319" s="5" t="s">
        <v>51</v>
      </c>
      <c r="AD319" s="5" t="s">
        <v>51</v>
      </c>
      <c r="AE319" s="5" t="s">
        <v>51</v>
      </c>
      <c r="AF319" s="5" t="s">
        <v>376</v>
      </c>
    </row>
    <row r="320" spans="1:32" ht="15.65" customHeight="1" x14ac:dyDescent="0.35">
      <c r="A320" s="5" t="s">
        <v>45</v>
      </c>
      <c r="B320" s="5" t="s">
        <v>359</v>
      </c>
      <c r="C320" s="5" t="s">
        <v>47</v>
      </c>
      <c r="D320" s="5">
        <v>3000251</v>
      </c>
      <c r="E320" s="11">
        <v>3000251</v>
      </c>
      <c r="F320" s="11" t="s">
        <v>360</v>
      </c>
      <c r="G320" s="5" t="s">
        <v>360</v>
      </c>
      <c r="H320" s="5" t="s">
        <v>54</v>
      </c>
      <c r="I320" s="5">
        <v>6957251</v>
      </c>
      <c r="J320" s="6">
        <v>46106</v>
      </c>
      <c r="K320" s="6">
        <v>46106</v>
      </c>
      <c r="L320" s="6">
        <v>46106</v>
      </c>
      <c r="M320" s="7">
        <v>26</v>
      </c>
      <c r="N320" s="7">
        <v>-430157</v>
      </c>
      <c r="O320" s="7">
        <v>-430157</v>
      </c>
      <c r="P320" s="7">
        <v>0</v>
      </c>
      <c r="Q320" s="7">
        <v>-430157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5" t="s">
        <v>47</v>
      </c>
      <c r="Z320" s="6"/>
      <c r="AA320" s="5" t="s">
        <v>55</v>
      </c>
      <c r="AB320" s="5" t="s">
        <v>51</v>
      </c>
      <c r="AC320" s="5" t="s">
        <v>51</v>
      </c>
      <c r="AD320" s="5" t="s">
        <v>51</v>
      </c>
      <c r="AE320" s="5" t="s">
        <v>51</v>
      </c>
      <c r="AF320" s="5" t="s">
        <v>377</v>
      </c>
    </row>
    <row r="321" spans="1:32" ht="15.65" customHeight="1" x14ac:dyDescent="0.35">
      <c r="A321" s="5" t="s">
        <v>45</v>
      </c>
      <c r="B321" s="5" t="s">
        <v>359</v>
      </c>
      <c r="C321" s="5" t="s">
        <v>47</v>
      </c>
      <c r="D321" s="5">
        <v>3000251</v>
      </c>
      <c r="E321" s="11">
        <v>3000251</v>
      </c>
      <c r="F321" s="11" t="s">
        <v>360</v>
      </c>
      <c r="G321" s="5" t="s">
        <v>360</v>
      </c>
      <c r="H321" s="5" t="s">
        <v>54</v>
      </c>
      <c r="I321" s="5">
        <v>6957252</v>
      </c>
      <c r="J321" s="6">
        <v>46106</v>
      </c>
      <c r="K321" s="6">
        <v>46106</v>
      </c>
      <c r="L321" s="6">
        <v>46106</v>
      </c>
      <c r="M321" s="7">
        <v>26</v>
      </c>
      <c r="N321" s="7">
        <v>-15691100</v>
      </c>
      <c r="O321" s="7">
        <v>-15691100</v>
      </c>
      <c r="P321" s="7">
        <v>0</v>
      </c>
      <c r="Q321" s="7">
        <v>-15691100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5" t="s">
        <v>47</v>
      </c>
      <c r="Z321" s="6"/>
      <c r="AA321" s="5" t="s">
        <v>55</v>
      </c>
      <c r="AB321" s="5" t="s">
        <v>51</v>
      </c>
      <c r="AC321" s="5" t="s">
        <v>51</v>
      </c>
      <c r="AD321" s="5" t="s">
        <v>51</v>
      </c>
      <c r="AE321" s="5" t="s">
        <v>51</v>
      </c>
      <c r="AF321" s="5" t="s">
        <v>378</v>
      </c>
    </row>
    <row r="322" spans="1:32" ht="15.65" customHeight="1" x14ac:dyDescent="0.35">
      <c r="A322" s="5" t="s">
        <v>45</v>
      </c>
      <c r="B322" s="5" t="s">
        <v>359</v>
      </c>
      <c r="C322" s="5" t="s">
        <v>47</v>
      </c>
      <c r="D322" s="5">
        <v>3000251</v>
      </c>
      <c r="E322" s="11">
        <v>3000251</v>
      </c>
      <c r="F322" s="11" t="s">
        <v>360</v>
      </c>
      <c r="G322" s="5" t="s">
        <v>360</v>
      </c>
      <c r="H322" s="5" t="s">
        <v>54</v>
      </c>
      <c r="I322" s="5">
        <v>6957253</v>
      </c>
      <c r="J322" s="6">
        <v>46106</v>
      </c>
      <c r="K322" s="6">
        <v>46106</v>
      </c>
      <c r="L322" s="6">
        <v>46106</v>
      </c>
      <c r="M322" s="7">
        <v>26</v>
      </c>
      <c r="N322" s="7">
        <v>-8918800</v>
      </c>
      <c r="O322" s="7">
        <v>-8918800</v>
      </c>
      <c r="P322" s="7">
        <v>0</v>
      </c>
      <c r="Q322" s="7">
        <v>-8918800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5" t="s">
        <v>47</v>
      </c>
      <c r="Z322" s="6"/>
      <c r="AA322" s="5" t="s">
        <v>55</v>
      </c>
      <c r="AB322" s="5" t="s">
        <v>51</v>
      </c>
      <c r="AC322" s="5" t="s">
        <v>51</v>
      </c>
      <c r="AD322" s="5" t="s">
        <v>51</v>
      </c>
      <c r="AE322" s="5" t="s">
        <v>51</v>
      </c>
      <c r="AF322" s="5" t="s">
        <v>379</v>
      </c>
    </row>
    <row r="323" spans="1:32" ht="15.65" customHeight="1" x14ac:dyDescent="0.35">
      <c r="A323" s="5" t="s">
        <v>45</v>
      </c>
      <c r="B323" s="5" t="s">
        <v>359</v>
      </c>
      <c r="C323" s="5" t="s">
        <v>47</v>
      </c>
      <c r="D323" s="5">
        <v>3000251</v>
      </c>
      <c r="E323" s="11">
        <v>3000333</v>
      </c>
      <c r="F323" s="11" t="s">
        <v>360</v>
      </c>
      <c r="G323" s="5" t="s">
        <v>375</v>
      </c>
      <c r="H323" s="5" t="s">
        <v>54</v>
      </c>
      <c r="I323" s="5">
        <v>6957254</v>
      </c>
      <c r="J323" s="6">
        <v>46106</v>
      </c>
      <c r="K323" s="6">
        <v>46106</v>
      </c>
      <c r="L323" s="6">
        <v>46106</v>
      </c>
      <c r="M323" s="7">
        <v>26</v>
      </c>
      <c r="N323" s="7">
        <v>-6106557</v>
      </c>
      <c r="O323" s="7">
        <v>-6106557</v>
      </c>
      <c r="P323" s="7">
        <v>0</v>
      </c>
      <c r="Q323" s="7">
        <v>-6106557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5" t="s">
        <v>47</v>
      </c>
      <c r="Z323" s="6"/>
      <c r="AA323" s="5" t="s">
        <v>55</v>
      </c>
      <c r="AB323" s="5" t="s">
        <v>51</v>
      </c>
      <c r="AC323" s="5" t="s">
        <v>51</v>
      </c>
      <c r="AD323" s="5" t="s">
        <v>51</v>
      </c>
      <c r="AE323" s="5" t="s">
        <v>51</v>
      </c>
      <c r="AF323" s="5" t="s">
        <v>376</v>
      </c>
    </row>
    <row r="324" spans="1:32" ht="15.65" customHeight="1" x14ac:dyDescent="0.35">
      <c r="A324" s="5" t="s">
        <v>45</v>
      </c>
      <c r="B324" s="5" t="s">
        <v>359</v>
      </c>
      <c r="C324" s="5" t="s">
        <v>47</v>
      </c>
      <c r="D324" s="5">
        <v>3000251</v>
      </c>
      <c r="E324" s="11">
        <v>3000715</v>
      </c>
      <c r="F324" s="11" t="s">
        <v>360</v>
      </c>
      <c r="G324" s="5" t="s">
        <v>360</v>
      </c>
      <c r="H324" s="5" t="s">
        <v>54</v>
      </c>
      <c r="I324" s="5">
        <v>6957268</v>
      </c>
      <c r="J324" s="6">
        <v>46106</v>
      </c>
      <c r="K324" s="6">
        <v>46106</v>
      </c>
      <c r="L324" s="6">
        <v>46106</v>
      </c>
      <c r="M324" s="7">
        <v>26</v>
      </c>
      <c r="N324" s="7">
        <v>-1147858</v>
      </c>
      <c r="O324" s="7">
        <v>-1147858</v>
      </c>
      <c r="P324" s="7">
        <v>0</v>
      </c>
      <c r="Q324" s="7">
        <v>-1147858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5" t="s">
        <v>47</v>
      </c>
      <c r="Z324" s="6"/>
      <c r="AA324" s="5" t="s">
        <v>55</v>
      </c>
      <c r="AB324" s="5" t="s">
        <v>51</v>
      </c>
      <c r="AC324" s="5" t="s">
        <v>51</v>
      </c>
      <c r="AD324" s="5" t="s">
        <v>51</v>
      </c>
      <c r="AE324" s="5" t="s">
        <v>51</v>
      </c>
      <c r="AF324" s="5" t="s">
        <v>380</v>
      </c>
    </row>
    <row r="325" spans="1:32" ht="15.65" customHeight="1" x14ac:dyDescent="0.35">
      <c r="A325" s="5" t="s">
        <v>45</v>
      </c>
      <c r="B325" s="5" t="s">
        <v>359</v>
      </c>
      <c r="C325" s="5" t="s">
        <v>47</v>
      </c>
      <c r="D325" s="5">
        <v>3000251</v>
      </c>
      <c r="E325" s="11">
        <v>3000826</v>
      </c>
      <c r="F325" s="11" t="s">
        <v>360</v>
      </c>
      <c r="G325" s="5" t="s">
        <v>360</v>
      </c>
      <c r="H325" s="5" t="s">
        <v>54</v>
      </c>
      <c r="I325" s="5">
        <v>6957269</v>
      </c>
      <c r="J325" s="6">
        <v>46106</v>
      </c>
      <c r="K325" s="6">
        <v>46106</v>
      </c>
      <c r="L325" s="6">
        <v>46106</v>
      </c>
      <c r="M325" s="7">
        <v>26</v>
      </c>
      <c r="N325" s="7">
        <v>-861530</v>
      </c>
      <c r="O325" s="7">
        <v>-861530</v>
      </c>
      <c r="P325" s="7">
        <v>0</v>
      </c>
      <c r="Q325" s="7">
        <v>-861530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5" t="s">
        <v>47</v>
      </c>
      <c r="Z325" s="6"/>
      <c r="AA325" s="5" t="s">
        <v>55</v>
      </c>
      <c r="AB325" s="5" t="s">
        <v>51</v>
      </c>
      <c r="AC325" s="5" t="s">
        <v>51</v>
      </c>
      <c r="AD325" s="5" t="s">
        <v>51</v>
      </c>
      <c r="AE325" s="5" t="s">
        <v>51</v>
      </c>
      <c r="AF325" s="5" t="s">
        <v>381</v>
      </c>
    </row>
    <row r="326" spans="1:32" ht="15.65" customHeight="1" x14ac:dyDescent="0.35">
      <c r="A326" s="5" t="s">
        <v>45</v>
      </c>
      <c r="B326" s="5" t="s">
        <v>359</v>
      </c>
      <c r="C326" s="5" t="s">
        <v>47</v>
      </c>
      <c r="D326" s="5">
        <v>3000251</v>
      </c>
      <c r="E326" s="11">
        <v>3001105</v>
      </c>
      <c r="F326" s="11" t="s">
        <v>360</v>
      </c>
      <c r="G326" s="5" t="s">
        <v>360</v>
      </c>
      <c r="H326" s="5" t="s">
        <v>54</v>
      </c>
      <c r="I326" s="5">
        <v>6957271</v>
      </c>
      <c r="J326" s="6">
        <v>46106</v>
      </c>
      <c r="K326" s="6">
        <v>46106</v>
      </c>
      <c r="L326" s="6">
        <v>46106</v>
      </c>
      <c r="M326" s="7">
        <v>26</v>
      </c>
      <c r="N326" s="7">
        <v>-11386724</v>
      </c>
      <c r="O326" s="7">
        <v>-11386724</v>
      </c>
      <c r="P326" s="7">
        <v>0</v>
      </c>
      <c r="Q326" s="7">
        <v>-11386724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5" t="s">
        <v>47</v>
      </c>
      <c r="Z326" s="6"/>
      <c r="AA326" s="5" t="s">
        <v>55</v>
      </c>
      <c r="AB326" s="5" t="s">
        <v>51</v>
      </c>
      <c r="AC326" s="5" t="s">
        <v>51</v>
      </c>
      <c r="AD326" s="5" t="s">
        <v>51</v>
      </c>
      <c r="AE326" s="5" t="s">
        <v>51</v>
      </c>
      <c r="AF326" s="5" t="s">
        <v>370</v>
      </c>
    </row>
    <row r="327" spans="1:32" ht="15.65" customHeight="1" x14ac:dyDescent="0.35">
      <c r="A327" s="5" t="s">
        <v>45</v>
      </c>
      <c r="B327" s="5" t="s">
        <v>359</v>
      </c>
      <c r="C327" s="5" t="s">
        <v>47</v>
      </c>
      <c r="D327" s="5">
        <v>3000251</v>
      </c>
      <c r="E327" s="11">
        <v>3100098</v>
      </c>
      <c r="F327" s="11" t="s">
        <v>360</v>
      </c>
      <c r="G327" s="5" t="s">
        <v>360</v>
      </c>
      <c r="H327" s="5" t="s">
        <v>54</v>
      </c>
      <c r="I327" s="5">
        <v>6957273</v>
      </c>
      <c r="J327" s="6">
        <v>46106</v>
      </c>
      <c r="K327" s="6">
        <v>46106</v>
      </c>
      <c r="L327" s="6">
        <v>46106</v>
      </c>
      <c r="M327" s="7">
        <v>26</v>
      </c>
      <c r="N327" s="7">
        <v>-615440</v>
      </c>
      <c r="O327" s="7">
        <v>-615440</v>
      </c>
      <c r="P327" s="7">
        <v>0</v>
      </c>
      <c r="Q327" s="7">
        <v>-615440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5" t="s">
        <v>47</v>
      </c>
      <c r="Z327" s="6"/>
      <c r="AA327" s="5" t="s">
        <v>55</v>
      </c>
      <c r="AB327" s="5" t="s">
        <v>51</v>
      </c>
      <c r="AC327" s="5" t="s">
        <v>51</v>
      </c>
      <c r="AD327" s="5" t="s">
        <v>51</v>
      </c>
      <c r="AE327" s="5" t="s">
        <v>51</v>
      </c>
      <c r="AF327" s="5" t="s">
        <v>374</v>
      </c>
    </row>
    <row r="328" spans="1:32" ht="15.65" customHeight="1" x14ac:dyDescent="0.35">
      <c r="A328" s="5" t="s">
        <v>45</v>
      </c>
      <c r="B328" s="5" t="s">
        <v>359</v>
      </c>
      <c r="C328" s="5" t="s">
        <v>47</v>
      </c>
      <c r="D328" s="5">
        <v>3000251</v>
      </c>
      <c r="E328" s="11">
        <v>3100660</v>
      </c>
      <c r="F328" s="11" t="s">
        <v>360</v>
      </c>
      <c r="G328" s="5" t="s">
        <v>382</v>
      </c>
      <c r="H328" s="5" t="s">
        <v>54</v>
      </c>
      <c r="I328" s="5">
        <v>6957274</v>
      </c>
      <c r="J328" s="6">
        <v>46106</v>
      </c>
      <c r="K328" s="6">
        <v>46106</v>
      </c>
      <c r="L328" s="6">
        <v>46106</v>
      </c>
      <c r="M328" s="7">
        <v>26</v>
      </c>
      <c r="N328" s="7">
        <v>-1167856</v>
      </c>
      <c r="O328" s="7">
        <v>-1167856</v>
      </c>
      <c r="P328" s="7">
        <v>0</v>
      </c>
      <c r="Q328" s="7">
        <v>-1167856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5" t="s">
        <v>47</v>
      </c>
      <c r="Z328" s="6"/>
      <c r="AA328" s="5" t="s">
        <v>55</v>
      </c>
      <c r="AB328" s="5" t="s">
        <v>51</v>
      </c>
      <c r="AC328" s="5" t="s">
        <v>51</v>
      </c>
      <c r="AD328" s="5" t="s">
        <v>51</v>
      </c>
      <c r="AE328" s="5" t="s">
        <v>51</v>
      </c>
      <c r="AF328" s="5" t="s">
        <v>383</v>
      </c>
    </row>
    <row r="329" spans="1:32" ht="15.65" customHeight="1" x14ac:dyDescent="0.35">
      <c r="A329" s="5" t="s">
        <v>45</v>
      </c>
      <c r="B329" s="5" t="s">
        <v>371</v>
      </c>
      <c r="C329" s="5" t="s">
        <v>47</v>
      </c>
      <c r="D329" s="5">
        <v>3000251</v>
      </c>
      <c r="E329" s="11">
        <v>3100934</v>
      </c>
      <c r="F329" s="11" t="s">
        <v>360</v>
      </c>
      <c r="G329" s="5" t="s">
        <v>372</v>
      </c>
      <c r="H329" s="5" t="s">
        <v>54</v>
      </c>
      <c r="I329" s="5">
        <v>6957275</v>
      </c>
      <c r="J329" s="6">
        <v>46106</v>
      </c>
      <c r="K329" s="6">
        <v>46106</v>
      </c>
      <c r="L329" s="6">
        <v>46106</v>
      </c>
      <c r="M329" s="7">
        <v>26</v>
      </c>
      <c r="N329" s="7">
        <v>-3423838</v>
      </c>
      <c r="O329" s="7">
        <v>-3423838</v>
      </c>
      <c r="P329" s="7">
        <v>0</v>
      </c>
      <c r="Q329" s="7">
        <v>-3423838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5" t="s">
        <v>47</v>
      </c>
      <c r="Z329" s="6"/>
      <c r="AA329" s="5" t="s">
        <v>55</v>
      </c>
      <c r="AB329" s="5" t="s">
        <v>51</v>
      </c>
      <c r="AC329" s="5" t="s">
        <v>51</v>
      </c>
      <c r="AD329" s="5" t="s">
        <v>51</v>
      </c>
      <c r="AE329" s="5" t="s">
        <v>51</v>
      </c>
      <c r="AF329" s="5" t="s">
        <v>384</v>
      </c>
    </row>
    <row r="330" spans="1:32" ht="15.65" customHeight="1" x14ac:dyDescent="0.35">
      <c r="A330" s="5" t="s">
        <v>45</v>
      </c>
      <c r="B330" s="5" t="s">
        <v>359</v>
      </c>
      <c r="C330" s="5" t="s">
        <v>47</v>
      </c>
      <c r="D330" s="5">
        <v>3000251</v>
      </c>
      <c r="E330" s="11">
        <v>3100963</v>
      </c>
      <c r="F330" s="11" t="s">
        <v>360</v>
      </c>
      <c r="G330" s="5" t="s">
        <v>385</v>
      </c>
      <c r="H330" s="5" t="s">
        <v>54</v>
      </c>
      <c r="I330" s="5">
        <v>6957276</v>
      </c>
      <c r="J330" s="6">
        <v>46106</v>
      </c>
      <c r="K330" s="6">
        <v>46106</v>
      </c>
      <c r="L330" s="6">
        <v>46106</v>
      </c>
      <c r="M330" s="7">
        <v>26</v>
      </c>
      <c r="N330" s="7">
        <v>-380102</v>
      </c>
      <c r="O330" s="7">
        <v>-380102</v>
      </c>
      <c r="P330" s="7">
        <v>0</v>
      </c>
      <c r="Q330" s="7">
        <v>-380102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5" t="s">
        <v>47</v>
      </c>
      <c r="Z330" s="6"/>
      <c r="AA330" s="5" t="s">
        <v>55</v>
      </c>
      <c r="AB330" s="5" t="s">
        <v>51</v>
      </c>
      <c r="AC330" s="5" t="s">
        <v>51</v>
      </c>
      <c r="AD330" s="5" t="s">
        <v>51</v>
      </c>
      <c r="AE330" s="5" t="s">
        <v>51</v>
      </c>
      <c r="AF330" s="5" t="s">
        <v>386</v>
      </c>
    </row>
    <row r="331" spans="1:32" ht="15.65" customHeight="1" x14ac:dyDescent="0.35">
      <c r="A331" s="5" t="s">
        <v>45</v>
      </c>
      <c r="B331" s="5" t="s">
        <v>359</v>
      </c>
      <c r="C331" s="5" t="s">
        <v>47</v>
      </c>
      <c r="D331" s="5">
        <v>3000251</v>
      </c>
      <c r="E331" s="11">
        <v>3000251</v>
      </c>
      <c r="F331" s="11" t="s">
        <v>360</v>
      </c>
      <c r="G331" s="5" t="s">
        <v>360</v>
      </c>
      <c r="H331" s="5" t="s">
        <v>54</v>
      </c>
      <c r="I331" s="5">
        <v>6957277</v>
      </c>
      <c r="J331" s="6">
        <v>46106</v>
      </c>
      <c r="K331" s="6">
        <v>46106</v>
      </c>
      <c r="L331" s="6">
        <v>46106</v>
      </c>
      <c r="M331" s="7">
        <v>26</v>
      </c>
      <c r="N331" s="7">
        <v>-3586222</v>
      </c>
      <c r="O331" s="7">
        <v>-3586222</v>
      </c>
      <c r="P331" s="7">
        <v>0</v>
      </c>
      <c r="Q331" s="7">
        <v>-3586222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5" t="s">
        <v>47</v>
      </c>
      <c r="Z331" s="6"/>
      <c r="AA331" s="5" t="s">
        <v>55</v>
      </c>
      <c r="AB331" s="5" t="s">
        <v>51</v>
      </c>
      <c r="AC331" s="5" t="s">
        <v>51</v>
      </c>
      <c r="AD331" s="5" t="s">
        <v>51</v>
      </c>
      <c r="AE331" s="5" t="s">
        <v>51</v>
      </c>
      <c r="AF331" s="5" t="s">
        <v>377</v>
      </c>
    </row>
    <row r="332" spans="1:32" ht="15.65" customHeight="1" x14ac:dyDescent="0.35">
      <c r="A332" s="5" t="s">
        <v>45</v>
      </c>
      <c r="B332" s="5" t="s">
        <v>359</v>
      </c>
      <c r="C332" s="5" t="s">
        <v>47</v>
      </c>
      <c r="D332" s="5">
        <v>3000251</v>
      </c>
      <c r="E332" s="11">
        <v>3001105</v>
      </c>
      <c r="F332" s="11" t="s">
        <v>360</v>
      </c>
      <c r="G332" s="5" t="s">
        <v>360</v>
      </c>
      <c r="H332" s="5" t="s">
        <v>54</v>
      </c>
      <c r="I332" s="5">
        <v>6957401</v>
      </c>
      <c r="J332" s="6">
        <v>46106</v>
      </c>
      <c r="K332" s="6">
        <v>46106</v>
      </c>
      <c r="L332" s="6">
        <v>46106</v>
      </c>
      <c r="M332" s="7">
        <v>26</v>
      </c>
      <c r="N332" s="7">
        <v>-7194000</v>
      </c>
      <c r="O332" s="7">
        <v>-7194000</v>
      </c>
      <c r="P332" s="7">
        <v>0</v>
      </c>
      <c r="Q332" s="7">
        <v>-7194000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5" t="s">
        <v>47</v>
      </c>
      <c r="Z332" s="6"/>
      <c r="AA332" s="5" t="s">
        <v>55</v>
      </c>
      <c r="AB332" s="5" t="s">
        <v>51</v>
      </c>
      <c r="AC332" s="5" t="s">
        <v>51</v>
      </c>
      <c r="AD332" s="5" t="s">
        <v>51</v>
      </c>
      <c r="AE332" s="5" t="s">
        <v>51</v>
      </c>
      <c r="AF332" s="5" t="s">
        <v>387</v>
      </c>
    </row>
    <row r="333" spans="1:32" ht="15.65" customHeight="1" x14ac:dyDescent="0.35">
      <c r="A333" s="5" t="s">
        <v>45</v>
      </c>
      <c r="B333" s="5" t="s">
        <v>359</v>
      </c>
      <c r="C333" s="5" t="s">
        <v>47</v>
      </c>
      <c r="D333" s="5">
        <v>3000251</v>
      </c>
      <c r="E333" s="11">
        <v>3001105</v>
      </c>
      <c r="F333" s="11" t="s">
        <v>360</v>
      </c>
      <c r="G333" s="5" t="s">
        <v>360</v>
      </c>
      <c r="H333" s="5" t="s">
        <v>54</v>
      </c>
      <c r="I333" s="5">
        <v>6957402</v>
      </c>
      <c r="J333" s="6">
        <v>46106</v>
      </c>
      <c r="K333" s="6">
        <v>46106</v>
      </c>
      <c r="L333" s="6">
        <v>46106</v>
      </c>
      <c r="M333" s="7">
        <v>26</v>
      </c>
      <c r="N333" s="7">
        <v>-4905000</v>
      </c>
      <c r="O333" s="7">
        <v>-4905000</v>
      </c>
      <c r="P333" s="7">
        <v>0</v>
      </c>
      <c r="Q333" s="7">
        <v>-4905000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5" t="s">
        <v>47</v>
      </c>
      <c r="Z333" s="6"/>
      <c r="AA333" s="5" t="s">
        <v>55</v>
      </c>
      <c r="AB333" s="5" t="s">
        <v>51</v>
      </c>
      <c r="AC333" s="5" t="s">
        <v>51</v>
      </c>
      <c r="AD333" s="5" t="s">
        <v>51</v>
      </c>
      <c r="AE333" s="5" t="s">
        <v>51</v>
      </c>
      <c r="AF333" s="5" t="s">
        <v>387</v>
      </c>
    </row>
    <row r="334" spans="1:32" ht="15.65" customHeight="1" x14ac:dyDescent="0.35">
      <c r="A334" s="5" t="s">
        <v>45</v>
      </c>
      <c r="B334" s="5" t="s">
        <v>359</v>
      </c>
      <c r="C334" s="5" t="s">
        <v>47</v>
      </c>
      <c r="D334" s="5">
        <v>3000251</v>
      </c>
      <c r="E334" s="11">
        <v>3001105</v>
      </c>
      <c r="F334" s="11" t="s">
        <v>360</v>
      </c>
      <c r="G334" s="5" t="s">
        <v>360</v>
      </c>
      <c r="H334" s="5" t="s">
        <v>54</v>
      </c>
      <c r="I334" s="5">
        <v>6957403</v>
      </c>
      <c r="J334" s="6">
        <v>46106</v>
      </c>
      <c r="K334" s="6">
        <v>46106</v>
      </c>
      <c r="L334" s="6">
        <v>46106</v>
      </c>
      <c r="M334" s="7">
        <v>26</v>
      </c>
      <c r="N334" s="7">
        <v>-4905000</v>
      </c>
      <c r="O334" s="7">
        <v>-4905000</v>
      </c>
      <c r="P334" s="7">
        <v>0</v>
      </c>
      <c r="Q334" s="7">
        <v>-4905000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5" t="s">
        <v>47</v>
      </c>
      <c r="Z334" s="6"/>
      <c r="AA334" s="5" t="s">
        <v>55</v>
      </c>
      <c r="AB334" s="5" t="s">
        <v>51</v>
      </c>
      <c r="AC334" s="5" t="s">
        <v>51</v>
      </c>
      <c r="AD334" s="5" t="s">
        <v>51</v>
      </c>
      <c r="AE334" s="5" t="s">
        <v>51</v>
      </c>
      <c r="AF334" s="5" t="s">
        <v>387</v>
      </c>
    </row>
    <row r="335" spans="1:32" ht="15.65" customHeight="1" x14ac:dyDescent="0.35">
      <c r="A335" s="5" t="s">
        <v>45</v>
      </c>
      <c r="B335" s="5" t="s">
        <v>359</v>
      </c>
      <c r="C335" s="5" t="s">
        <v>47</v>
      </c>
      <c r="D335" s="5">
        <v>3000251</v>
      </c>
      <c r="E335" s="11">
        <v>3001105</v>
      </c>
      <c r="F335" s="11" t="s">
        <v>360</v>
      </c>
      <c r="G335" s="5" t="s">
        <v>360</v>
      </c>
      <c r="H335" s="5" t="s">
        <v>54</v>
      </c>
      <c r="I335" s="5">
        <v>6957404</v>
      </c>
      <c r="J335" s="6">
        <v>46106</v>
      </c>
      <c r="K335" s="6">
        <v>46106</v>
      </c>
      <c r="L335" s="6">
        <v>46106</v>
      </c>
      <c r="M335" s="7">
        <v>26</v>
      </c>
      <c r="N335" s="7">
        <v>-4905000</v>
      </c>
      <c r="O335" s="7">
        <v>-4905000</v>
      </c>
      <c r="P335" s="7">
        <v>0</v>
      </c>
      <c r="Q335" s="7">
        <v>-4905000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5" t="s">
        <v>47</v>
      </c>
      <c r="Z335" s="6"/>
      <c r="AA335" s="5" t="s">
        <v>55</v>
      </c>
      <c r="AB335" s="5" t="s">
        <v>51</v>
      </c>
      <c r="AC335" s="5" t="s">
        <v>51</v>
      </c>
      <c r="AD335" s="5" t="s">
        <v>51</v>
      </c>
      <c r="AE335" s="5" t="s">
        <v>51</v>
      </c>
      <c r="AF335" s="5" t="s">
        <v>387</v>
      </c>
    </row>
    <row r="336" spans="1:32" ht="15.65" customHeight="1" x14ac:dyDescent="0.35">
      <c r="A336" s="5" t="s">
        <v>45</v>
      </c>
      <c r="B336" s="5" t="s">
        <v>359</v>
      </c>
      <c r="C336" s="5" t="s">
        <v>47</v>
      </c>
      <c r="D336" s="5">
        <v>3000251</v>
      </c>
      <c r="E336" s="11">
        <v>3001105</v>
      </c>
      <c r="F336" s="11" t="s">
        <v>360</v>
      </c>
      <c r="G336" s="5" t="s">
        <v>360</v>
      </c>
      <c r="H336" s="5" t="s">
        <v>54</v>
      </c>
      <c r="I336" s="5">
        <v>6957405</v>
      </c>
      <c r="J336" s="6">
        <v>46106</v>
      </c>
      <c r="K336" s="6">
        <v>46106</v>
      </c>
      <c r="L336" s="6">
        <v>46106</v>
      </c>
      <c r="M336" s="7">
        <v>26</v>
      </c>
      <c r="N336" s="7">
        <v>-2289000</v>
      </c>
      <c r="O336" s="7">
        <v>-2289000</v>
      </c>
      <c r="P336" s="7">
        <v>0</v>
      </c>
      <c r="Q336" s="7">
        <v>-2289000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5" t="s">
        <v>47</v>
      </c>
      <c r="Z336" s="6"/>
      <c r="AA336" s="5" t="s">
        <v>55</v>
      </c>
      <c r="AB336" s="5" t="s">
        <v>51</v>
      </c>
      <c r="AC336" s="5" t="s">
        <v>51</v>
      </c>
      <c r="AD336" s="5" t="s">
        <v>51</v>
      </c>
      <c r="AE336" s="5" t="s">
        <v>51</v>
      </c>
      <c r="AF336" s="5" t="s">
        <v>387</v>
      </c>
    </row>
    <row r="337" spans="1:32" ht="15.65" customHeight="1" x14ac:dyDescent="0.35">
      <c r="A337" s="5" t="s">
        <v>45</v>
      </c>
      <c r="B337" s="5" t="s">
        <v>359</v>
      </c>
      <c r="C337" s="5" t="s">
        <v>47</v>
      </c>
      <c r="D337" s="5">
        <v>3000251</v>
      </c>
      <c r="E337" s="11">
        <v>3000251</v>
      </c>
      <c r="F337" s="11" t="s">
        <v>360</v>
      </c>
      <c r="G337" s="5" t="s">
        <v>360</v>
      </c>
      <c r="H337" s="5" t="s">
        <v>54</v>
      </c>
      <c r="I337" s="5">
        <v>6957453</v>
      </c>
      <c r="J337" s="6">
        <v>46106</v>
      </c>
      <c r="K337" s="6">
        <v>46106</v>
      </c>
      <c r="L337" s="6">
        <v>46106</v>
      </c>
      <c r="M337" s="7">
        <v>26</v>
      </c>
      <c r="N337" s="7">
        <v>-6540000</v>
      </c>
      <c r="O337" s="7">
        <v>-6540000</v>
      </c>
      <c r="P337" s="7">
        <v>0</v>
      </c>
      <c r="Q337" s="7">
        <v>-6540000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5" t="s">
        <v>47</v>
      </c>
      <c r="Z337" s="6"/>
      <c r="AA337" s="5" t="s">
        <v>55</v>
      </c>
      <c r="AB337" s="5" t="s">
        <v>51</v>
      </c>
      <c r="AC337" s="5" t="s">
        <v>51</v>
      </c>
      <c r="AD337" s="5" t="s">
        <v>51</v>
      </c>
      <c r="AE337" s="5" t="s">
        <v>51</v>
      </c>
      <c r="AF337" s="5" t="s">
        <v>388</v>
      </c>
    </row>
    <row r="338" spans="1:32" ht="15.65" customHeight="1" x14ac:dyDescent="0.35">
      <c r="A338" s="5" t="s">
        <v>45</v>
      </c>
      <c r="B338" s="5" t="s">
        <v>359</v>
      </c>
      <c r="C338" s="5" t="s">
        <v>47</v>
      </c>
      <c r="D338" s="5">
        <v>3000251</v>
      </c>
      <c r="E338" s="11">
        <v>3000251</v>
      </c>
      <c r="F338" s="11" t="s">
        <v>360</v>
      </c>
      <c r="G338" s="5" t="s">
        <v>360</v>
      </c>
      <c r="H338" s="5" t="s">
        <v>54</v>
      </c>
      <c r="I338" s="5">
        <v>6957454</v>
      </c>
      <c r="J338" s="6">
        <v>46106</v>
      </c>
      <c r="K338" s="6">
        <v>46106</v>
      </c>
      <c r="L338" s="6">
        <v>46106</v>
      </c>
      <c r="M338" s="7">
        <v>26</v>
      </c>
      <c r="N338" s="7">
        <v>-17004000</v>
      </c>
      <c r="O338" s="7">
        <v>-17004000</v>
      </c>
      <c r="P338" s="7">
        <v>0</v>
      </c>
      <c r="Q338" s="7">
        <v>-17004000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5" t="s">
        <v>47</v>
      </c>
      <c r="Z338" s="6"/>
      <c r="AA338" s="5" t="s">
        <v>55</v>
      </c>
      <c r="AB338" s="5" t="s">
        <v>51</v>
      </c>
      <c r="AC338" s="5" t="s">
        <v>51</v>
      </c>
      <c r="AD338" s="5" t="s">
        <v>51</v>
      </c>
      <c r="AE338" s="5" t="s">
        <v>51</v>
      </c>
      <c r="AF338" s="5" t="s">
        <v>389</v>
      </c>
    </row>
    <row r="339" spans="1:32" ht="15.65" customHeight="1" x14ac:dyDescent="0.35">
      <c r="A339" s="5" t="s">
        <v>45</v>
      </c>
      <c r="B339" s="5" t="s">
        <v>359</v>
      </c>
      <c r="C339" s="5" t="s">
        <v>47</v>
      </c>
      <c r="D339" s="5">
        <v>3000251</v>
      </c>
      <c r="E339" s="11">
        <v>3000251</v>
      </c>
      <c r="F339" s="11" t="s">
        <v>360</v>
      </c>
      <c r="G339" s="5" t="s">
        <v>360</v>
      </c>
      <c r="H339" s="5" t="s">
        <v>54</v>
      </c>
      <c r="I339" s="5">
        <v>6957455</v>
      </c>
      <c r="J339" s="6">
        <v>46106</v>
      </c>
      <c r="K339" s="6">
        <v>46106</v>
      </c>
      <c r="L339" s="6">
        <v>46106</v>
      </c>
      <c r="M339" s="7">
        <v>26</v>
      </c>
      <c r="N339" s="7">
        <v>-3433500</v>
      </c>
      <c r="O339" s="7">
        <v>-3433500</v>
      </c>
      <c r="P339" s="7">
        <v>0</v>
      </c>
      <c r="Q339" s="7">
        <v>-3433500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5" t="s">
        <v>47</v>
      </c>
      <c r="Z339" s="6"/>
      <c r="AA339" s="5" t="s">
        <v>55</v>
      </c>
      <c r="AB339" s="5" t="s">
        <v>51</v>
      </c>
      <c r="AC339" s="5" t="s">
        <v>51</v>
      </c>
      <c r="AD339" s="5" t="s">
        <v>51</v>
      </c>
      <c r="AE339" s="5" t="s">
        <v>51</v>
      </c>
      <c r="AF339" s="5" t="s">
        <v>389</v>
      </c>
    </row>
    <row r="340" spans="1:32" ht="15.65" customHeight="1" x14ac:dyDescent="0.35">
      <c r="A340" s="5" t="s">
        <v>45</v>
      </c>
      <c r="B340" s="5" t="s">
        <v>359</v>
      </c>
      <c r="C340" s="5" t="s">
        <v>47</v>
      </c>
      <c r="D340" s="5">
        <v>3000251</v>
      </c>
      <c r="E340" s="11">
        <v>3001105</v>
      </c>
      <c r="F340" s="11" t="s">
        <v>360</v>
      </c>
      <c r="G340" s="5" t="s">
        <v>360</v>
      </c>
      <c r="H340" s="5" t="s">
        <v>54</v>
      </c>
      <c r="I340" s="5">
        <v>6957458</v>
      </c>
      <c r="J340" s="6">
        <v>46106</v>
      </c>
      <c r="K340" s="6">
        <v>46106</v>
      </c>
      <c r="L340" s="6">
        <v>46106</v>
      </c>
      <c r="M340" s="7">
        <v>26</v>
      </c>
      <c r="N340" s="7">
        <v>-2289000</v>
      </c>
      <c r="O340" s="7">
        <v>-2289000</v>
      </c>
      <c r="P340" s="7">
        <v>0</v>
      </c>
      <c r="Q340" s="7">
        <v>-2289000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5" t="s">
        <v>47</v>
      </c>
      <c r="Z340" s="6"/>
      <c r="AA340" s="5" t="s">
        <v>55</v>
      </c>
      <c r="AB340" s="5" t="s">
        <v>51</v>
      </c>
      <c r="AC340" s="5" t="s">
        <v>51</v>
      </c>
      <c r="AD340" s="5" t="s">
        <v>51</v>
      </c>
      <c r="AE340" s="5" t="s">
        <v>51</v>
      </c>
      <c r="AF340" s="5" t="s">
        <v>387</v>
      </c>
    </row>
    <row r="341" spans="1:32" ht="15.65" customHeight="1" x14ac:dyDescent="0.35">
      <c r="A341" s="5" t="s">
        <v>45</v>
      </c>
      <c r="B341" s="5" t="s">
        <v>359</v>
      </c>
      <c r="C341" s="5" t="s">
        <v>47</v>
      </c>
      <c r="D341" s="5">
        <v>3000251</v>
      </c>
      <c r="E341" s="11">
        <v>3101038</v>
      </c>
      <c r="F341" s="11" t="s">
        <v>360</v>
      </c>
      <c r="G341" s="5" t="s">
        <v>390</v>
      </c>
      <c r="H341" s="5" t="s">
        <v>54</v>
      </c>
      <c r="I341" s="5">
        <v>6957471</v>
      </c>
      <c r="J341" s="6">
        <v>46106</v>
      </c>
      <c r="K341" s="6">
        <v>46106</v>
      </c>
      <c r="L341" s="6">
        <v>46106</v>
      </c>
      <c r="M341" s="7">
        <v>26</v>
      </c>
      <c r="N341" s="7">
        <v>-2289000</v>
      </c>
      <c r="O341" s="7">
        <v>-2289000</v>
      </c>
      <c r="P341" s="7">
        <v>0</v>
      </c>
      <c r="Q341" s="7">
        <v>-2289000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5" t="s">
        <v>47</v>
      </c>
      <c r="Z341" s="6"/>
      <c r="AA341" s="5" t="s">
        <v>55</v>
      </c>
      <c r="AB341" s="5" t="s">
        <v>51</v>
      </c>
      <c r="AC341" s="5" t="s">
        <v>51</v>
      </c>
      <c r="AD341" s="5" t="s">
        <v>51</v>
      </c>
      <c r="AE341" s="5" t="s">
        <v>51</v>
      </c>
      <c r="AF341" s="5" t="s">
        <v>391</v>
      </c>
    </row>
    <row r="342" spans="1:32" ht="15.65" customHeight="1" x14ac:dyDescent="0.35">
      <c r="A342" s="5" t="s">
        <v>45</v>
      </c>
      <c r="B342" s="5" t="s">
        <v>359</v>
      </c>
      <c r="C342" s="5" t="s">
        <v>47</v>
      </c>
      <c r="D342" s="5">
        <v>3000251</v>
      </c>
      <c r="E342" s="11">
        <v>3000333</v>
      </c>
      <c r="F342" s="11" t="s">
        <v>360</v>
      </c>
      <c r="G342" s="5" t="s">
        <v>375</v>
      </c>
      <c r="H342" s="5" t="s">
        <v>54</v>
      </c>
      <c r="I342" s="5">
        <v>6957535</v>
      </c>
      <c r="J342" s="6">
        <v>46108</v>
      </c>
      <c r="K342" s="6">
        <v>46108</v>
      </c>
      <c r="L342" s="6">
        <v>46108</v>
      </c>
      <c r="M342" s="7">
        <v>24</v>
      </c>
      <c r="N342" s="7">
        <v>-6299710</v>
      </c>
      <c r="O342" s="7">
        <v>-6299710</v>
      </c>
      <c r="P342" s="7">
        <v>0</v>
      </c>
      <c r="Q342" s="7">
        <v>-6299710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5" t="s">
        <v>47</v>
      </c>
      <c r="Z342" s="6"/>
      <c r="AA342" s="5" t="s">
        <v>55</v>
      </c>
      <c r="AB342" s="5" t="s">
        <v>51</v>
      </c>
      <c r="AC342" s="5" t="s">
        <v>51</v>
      </c>
      <c r="AD342" s="5" t="s">
        <v>51</v>
      </c>
      <c r="AE342" s="5" t="s">
        <v>51</v>
      </c>
      <c r="AF342" s="5" t="s">
        <v>392</v>
      </c>
    </row>
    <row r="343" spans="1:32" ht="15.65" customHeight="1" x14ac:dyDescent="0.35">
      <c r="A343" s="5" t="s">
        <v>45</v>
      </c>
      <c r="B343" s="5" t="s">
        <v>359</v>
      </c>
      <c r="C343" s="5" t="s">
        <v>47</v>
      </c>
      <c r="D343" s="5">
        <v>3000251</v>
      </c>
      <c r="E343" s="11">
        <v>3000591</v>
      </c>
      <c r="F343" s="11" t="s">
        <v>360</v>
      </c>
      <c r="G343" s="5" t="s">
        <v>360</v>
      </c>
      <c r="H343" s="5" t="s">
        <v>54</v>
      </c>
      <c r="I343" s="5">
        <v>6957591</v>
      </c>
      <c r="J343" s="6">
        <v>46109</v>
      </c>
      <c r="K343" s="6">
        <v>46109</v>
      </c>
      <c r="L343" s="6">
        <v>46109</v>
      </c>
      <c r="M343" s="7">
        <v>23</v>
      </c>
      <c r="N343" s="7">
        <v>-1588762</v>
      </c>
      <c r="O343" s="7">
        <v>-1588762</v>
      </c>
      <c r="P343" s="7">
        <v>0</v>
      </c>
      <c r="Q343" s="7">
        <v>-1588762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5" t="s">
        <v>47</v>
      </c>
      <c r="Z343" s="6"/>
      <c r="AA343" s="5" t="s">
        <v>55</v>
      </c>
      <c r="AB343" s="5" t="s">
        <v>51</v>
      </c>
      <c r="AC343" s="5" t="s">
        <v>51</v>
      </c>
      <c r="AD343" s="5" t="s">
        <v>51</v>
      </c>
      <c r="AE343" s="5" t="s">
        <v>51</v>
      </c>
      <c r="AF343" s="5" t="s">
        <v>370</v>
      </c>
    </row>
    <row r="344" spans="1:32" ht="15.65" customHeight="1" x14ac:dyDescent="0.35">
      <c r="A344" s="5" t="s">
        <v>45</v>
      </c>
      <c r="B344" s="5" t="s">
        <v>359</v>
      </c>
      <c r="C344" s="5" t="s">
        <v>47</v>
      </c>
      <c r="D344" s="5">
        <v>3000251</v>
      </c>
      <c r="E344" s="11">
        <v>3000333</v>
      </c>
      <c r="F344" s="11" t="s">
        <v>360</v>
      </c>
      <c r="G344" s="5" t="s">
        <v>375</v>
      </c>
      <c r="H344" s="5" t="s">
        <v>54</v>
      </c>
      <c r="I344" s="5">
        <v>6957641</v>
      </c>
      <c r="J344" s="6">
        <v>46111</v>
      </c>
      <c r="K344" s="6">
        <v>46111</v>
      </c>
      <c r="L344" s="6">
        <v>46111</v>
      </c>
      <c r="M344" s="7">
        <v>21</v>
      </c>
      <c r="N344" s="7">
        <v>-472614</v>
      </c>
      <c r="O344" s="7">
        <v>-472614</v>
      </c>
      <c r="P344" s="7">
        <v>0</v>
      </c>
      <c r="Q344" s="7">
        <v>-472614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5" t="s">
        <v>47</v>
      </c>
      <c r="Z344" s="6"/>
      <c r="AA344" s="5" t="s">
        <v>55</v>
      </c>
      <c r="AB344" s="5" t="s">
        <v>51</v>
      </c>
      <c r="AC344" s="5" t="s">
        <v>51</v>
      </c>
      <c r="AD344" s="5" t="s">
        <v>51</v>
      </c>
      <c r="AE344" s="5" t="s">
        <v>51</v>
      </c>
      <c r="AF344" s="5" t="s">
        <v>393</v>
      </c>
    </row>
    <row r="345" spans="1:32" ht="15.65" customHeight="1" x14ac:dyDescent="0.35">
      <c r="A345" s="5" t="s">
        <v>45</v>
      </c>
      <c r="B345" s="5" t="s">
        <v>359</v>
      </c>
      <c r="C345" s="5" t="s">
        <v>47</v>
      </c>
      <c r="D345" s="5">
        <v>3000251</v>
      </c>
      <c r="E345" s="11">
        <v>3001105</v>
      </c>
      <c r="F345" s="11" t="s">
        <v>360</v>
      </c>
      <c r="G345" s="5" t="s">
        <v>360</v>
      </c>
      <c r="H345" s="5" t="s">
        <v>54</v>
      </c>
      <c r="I345" s="5">
        <v>6957662</v>
      </c>
      <c r="J345" s="6">
        <v>46111</v>
      </c>
      <c r="K345" s="6">
        <v>46111</v>
      </c>
      <c r="L345" s="6">
        <v>46111</v>
      </c>
      <c r="M345" s="7">
        <v>21</v>
      </c>
      <c r="N345" s="7">
        <v>-14621079</v>
      </c>
      <c r="O345" s="7">
        <v>-14621079</v>
      </c>
      <c r="P345" s="7">
        <v>0</v>
      </c>
      <c r="Q345" s="7">
        <v>-14621079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5" t="s">
        <v>47</v>
      </c>
      <c r="Z345" s="6"/>
      <c r="AA345" s="5" t="s">
        <v>55</v>
      </c>
      <c r="AB345" s="5" t="s">
        <v>51</v>
      </c>
      <c r="AC345" s="5" t="s">
        <v>51</v>
      </c>
      <c r="AD345" s="5" t="s">
        <v>51</v>
      </c>
      <c r="AE345" s="5" t="s">
        <v>51</v>
      </c>
      <c r="AF345" s="5" t="s">
        <v>394</v>
      </c>
    </row>
    <row r="346" spans="1:32" ht="15.65" customHeight="1" x14ac:dyDescent="0.35">
      <c r="A346" s="5" t="s">
        <v>45</v>
      </c>
      <c r="B346" s="5" t="s">
        <v>359</v>
      </c>
      <c r="C346" s="5" t="s">
        <v>47</v>
      </c>
      <c r="D346" s="5">
        <v>3000251</v>
      </c>
      <c r="E346" s="5">
        <v>3100098</v>
      </c>
      <c r="F346" s="5" t="s">
        <v>360</v>
      </c>
      <c r="G346" s="5" t="s">
        <v>360</v>
      </c>
      <c r="H346" s="5" t="s">
        <v>54</v>
      </c>
      <c r="I346" s="5">
        <v>6957674</v>
      </c>
      <c r="J346" s="6">
        <v>46111</v>
      </c>
      <c r="K346" s="6">
        <v>46111</v>
      </c>
      <c r="L346" s="6">
        <v>46111</v>
      </c>
      <c r="M346" s="7">
        <v>21</v>
      </c>
      <c r="N346" s="7">
        <v>-725504</v>
      </c>
      <c r="O346" s="7">
        <v>-725504</v>
      </c>
      <c r="P346" s="7">
        <v>0</v>
      </c>
      <c r="Q346" s="7">
        <v>-725504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5" t="s">
        <v>47</v>
      </c>
      <c r="Z346" s="6"/>
      <c r="AA346" s="5" t="s">
        <v>55</v>
      </c>
      <c r="AB346" s="5" t="s">
        <v>51</v>
      </c>
      <c r="AC346" s="5" t="s">
        <v>51</v>
      </c>
      <c r="AD346" s="5" t="s">
        <v>51</v>
      </c>
      <c r="AE346" s="5" t="s">
        <v>51</v>
      </c>
      <c r="AF346" s="5" t="s">
        <v>395</v>
      </c>
    </row>
    <row r="347" spans="1:32" ht="15.65" customHeight="1" x14ac:dyDescent="0.35">
      <c r="A347" s="5" t="s">
        <v>45</v>
      </c>
      <c r="B347" s="5" t="s">
        <v>359</v>
      </c>
      <c r="C347" s="5" t="s">
        <v>47</v>
      </c>
      <c r="D347" s="5">
        <v>3000251</v>
      </c>
      <c r="E347" s="11">
        <v>3100660</v>
      </c>
      <c r="F347" s="11" t="s">
        <v>360</v>
      </c>
      <c r="G347" s="5" t="s">
        <v>382</v>
      </c>
      <c r="H347" s="5" t="s">
        <v>54</v>
      </c>
      <c r="I347" s="5">
        <v>6957678</v>
      </c>
      <c r="J347" s="6">
        <v>46111</v>
      </c>
      <c r="K347" s="6">
        <v>46111</v>
      </c>
      <c r="L347" s="6">
        <v>46111</v>
      </c>
      <c r="M347" s="7">
        <v>21</v>
      </c>
      <c r="N347" s="7">
        <v>-2468066</v>
      </c>
      <c r="O347" s="7">
        <v>-2468066</v>
      </c>
      <c r="P347" s="7">
        <v>0</v>
      </c>
      <c r="Q347" s="7">
        <v>-2468066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5" t="s">
        <v>47</v>
      </c>
      <c r="Z347" s="6"/>
      <c r="AA347" s="5" t="s">
        <v>55</v>
      </c>
      <c r="AB347" s="5" t="s">
        <v>51</v>
      </c>
      <c r="AC347" s="5" t="s">
        <v>51</v>
      </c>
      <c r="AD347" s="5" t="s">
        <v>51</v>
      </c>
      <c r="AE347" s="5" t="s">
        <v>51</v>
      </c>
      <c r="AF347" s="5" t="s">
        <v>396</v>
      </c>
    </row>
    <row r="348" spans="1:32" ht="15.65" customHeight="1" x14ac:dyDescent="0.35">
      <c r="A348" s="5" t="s">
        <v>45</v>
      </c>
      <c r="B348" s="5" t="s">
        <v>359</v>
      </c>
      <c r="C348" s="5" t="s">
        <v>47</v>
      </c>
      <c r="D348" s="5">
        <v>3000251</v>
      </c>
      <c r="E348" s="11">
        <v>3100099</v>
      </c>
      <c r="F348" s="11" t="s">
        <v>360</v>
      </c>
      <c r="G348" s="5" t="s">
        <v>360</v>
      </c>
      <c r="H348" s="5" t="s">
        <v>54</v>
      </c>
      <c r="I348" s="5">
        <v>6957698</v>
      </c>
      <c r="J348" s="6">
        <v>46112</v>
      </c>
      <c r="K348" s="6">
        <v>46112</v>
      </c>
      <c r="L348" s="6">
        <v>46112</v>
      </c>
      <c r="M348" s="7">
        <v>20</v>
      </c>
      <c r="N348" s="7">
        <v>-2093746</v>
      </c>
      <c r="O348" s="7">
        <v>-2093746</v>
      </c>
      <c r="P348" s="7">
        <v>0</v>
      </c>
      <c r="Q348" s="7">
        <v>-2093746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5" t="s">
        <v>47</v>
      </c>
      <c r="Z348" s="6"/>
      <c r="AA348" s="5" t="s">
        <v>55</v>
      </c>
      <c r="AB348" s="5" t="s">
        <v>51</v>
      </c>
      <c r="AC348" s="5" t="s">
        <v>51</v>
      </c>
      <c r="AD348" s="5" t="s">
        <v>51</v>
      </c>
      <c r="AE348" s="5" t="s">
        <v>51</v>
      </c>
      <c r="AF348" s="5" t="s">
        <v>397</v>
      </c>
    </row>
    <row r="349" spans="1:32" ht="15.65" customHeight="1" x14ac:dyDescent="0.35">
      <c r="A349" s="5" t="s">
        <v>45</v>
      </c>
      <c r="B349" s="5" t="s">
        <v>359</v>
      </c>
      <c r="C349" s="5" t="s">
        <v>47</v>
      </c>
      <c r="D349" s="5">
        <v>3000251</v>
      </c>
      <c r="E349" s="11">
        <v>3000251</v>
      </c>
      <c r="F349" s="11" t="s">
        <v>360</v>
      </c>
      <c r="G349" s="5" t="s">
        <v>360</v>
      </c>
      <c r="H349" s="5" t="s">
        <v>54</v>
      </c>
      <c r="I349" s="5">
        <v>6957994</v>
      </c>
      <c r="J349" s="6">
        <v>46118</v>
      </c>
      <c r="K349" s="6">
        <v>46118</v>
      </c>
      <c r="L349" s="6">
        <v>46118</v>
      </c>
      <c r="M349" s="7">
        <v>14</v>
      </c>
      <c r="N349" s="7">
        <v>-177370957</v>
      </c>
      <c r="O349" s="7">
        <v>-177370957</v>
      </c>
      <c r="P349" s="7">
        <v>0</v>
      </c>
      <c r="Q349" s="7">
        <v>-177370957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5" t="s">
        <v>47</v>
      </c>
      <c r="Z349" s="6"/>
      <c r="AA349" s="5" t="s">
        <v>55</v>
      </c>
      <c r="AB349" s="5" t="s">
        <v>51</v>
      </c>
      <c r="AC349" s="5" t="s">
        <v>51</v>
      </c>
      <c r="AD349" s="5" t="s">
        <v>51</v>
      </c>
      <c r="AE349" s="5" t="s">
        <v>51</v>
      </c>
      <c r="AF349" s="5" t="s">
        <v>64</v>
      </c>
    </row>
    <row r="350" spans="1:32" ht="15.65" customHeight="1" x14ac:dyDescent="0.35">
      <c r="A350" s="5" t="s">
        <v>45</v>
      </c>
      <c r="B350" s="5" t="s">
        <v>359</v>
      </c>
      <c r="C350" s="5" t="s">
        <v>47</v>
      </c>
      <c r="D350" s="5">
        <v>3000251</v>
      </c>
      <c r="E350" s="11">
        <v>3000251</v>
      </c>
      <c r="F350" s="11" t="s">
        <v>360</v>
      </c>
      <c r="G350" s="5" t="s">
        <v>360</v>
      </c>
      <c r="H350" s="5" t="s">
        <v>54</v>
      </c>
      <c r="I350" s="5">
        <v>6957995</v>
      </c>
      <c r="J350" s="6">
        <v>46118</v>
      </c>
      <c r="K350" s="6">
        <v>46118</v>
      </c>
      <c r="L350" s="6">
        <v>46118</v>
      </c>
      <c r="M350" s="7">
        <v>14</v>
      </c>
      <c r="N350" s="7">
        <v>-77483421</v>
      </c>
      <c r="O350" s="7">
        <v>-77483421</v>
      </c>
      <c r="P350" s="7">
        <v>0</v>
      </c>
      <c r="Q350" s="7">
        <v>-77483421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5" t="s">
        <v>47</v>
      </c>
      <c r="Z350" s="6"/>
      <c r="AA350" s="5" t="s">
        <v>55</v>
      </c>
      <c r="AB350" s="5" t="s">
        <v>51</v>
      </c>
      <c r="AC350" s="5" t="s">
        <v>51</v>
      </c>
      <c r="AD350" s="5" t="s">
        <v>51</v>
      </c>
      <c r="AE350" s="5" t="s">
        <v>51</v>
      </c>
      <c r="AF350" s="5" t="s">
        <v>56</v>
      </c>
    </row>
    <row r="351" spans="1:32" ht="15.65" customHeight="1" x14ac:dyDescent="0.35">
      <c r="A351" s="5" t="s">
        <v>45</v>
      </c>
      <c r="B351" s="5" t="s">
        <v>371</v>
      </c>
      <c r="C351" s="5" t="s">
        <v>47</v>
      </c>
      <c r="D351" s="5">
        <v>3000251</v>
      </c>
      <c r="E351" s="11">
        <v>3100934</v>
      </c>
      <c r="F351" s="11" t="s">
        <v>360</v>
      </c>
      <c r="G351" s="5" t="s">
        <v>372</v>
      </c>
      <c r="H351" s="5" t="s">
        <v>54</v>
      </c>
      <c r="I351" s="5">
        <v>6957998</v>
      </c>
      <c r="J351" s="6">
        <v>46118</v>
      </c>
      <c r="K351" s="6">
        <v>46118</v>
      </c>
      <c r="L351" s="6">
        <v>46118</v>
      </c>
      <c r="M351" s="7">
        <v>14</v>
      </c>
      <c r="N351" s="7">
        <v>-24695612</v>
      </c>
      <c r="O351" s="7">
        <v>-24695612</v>
      </c>
      <c r="P351" s="7">
        <v>0</v>
      </c>
      <c r="Q351" s="7">
        <v>-24695612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5" t="s">
        <v>47</v>
      </c>
      <c r="Z351" s="6"/>
      <c r="AA351" s="5" t="s">
        <v>55</v>
      </c>
      <c r="AB351" s="5" t="s">
        <v>51</v>
      </c>
      <c r="AC351" s="5" t="s">
        <v>51</v>
      </c>
      <c r="AD351" s="5" t="s">
        <v>51</v>
      </c>
      <c r="AE351" s="5" t="s">
        <v>51</v>
      </c>
      <c r="AF351" s="5" t="s">
        <v>398</v>
      </c>
    </row>
    <row r="352" spans="1:32" ht="15.65" customHeight="1" x14ac:dyDescent="0.35">
      <c r="A352" s="5" t="s">
        <v>45</v>
      </c>
      <c r="B352" s="5" t="s">
        <v>359</v>
      </c>
      <c r="C352" s="5" t="s">
        <v>60</v>
      </c>
      <c r="D352" s="5">
        <v>3000251</v>
      </c>
      <c r="E352" s="11">
        <v>3100639</v>
      </c>
      <c r="F352" s="11" t="s">
        <v>360</v>
      </c>
      <c r="G352" s="5" t="s">
        <v>360</v>
      </c>
      <c r="H352" s="5" t="s">
        <v>111</v>
      </c>
      <c r="I352" s="5">
        <v>6958238</v>
      </c>
      <c r="J352" s="6">
        <v>46120</v>
      </c>
      <c r="K352" s="6">
        <v>46120</v>
      </c>
      <c r="L352" s="6">
        <v>46120</v>
      </c>
      <c r="M352" s="7">
        <v>12</v>
      </c>
      <c r="N352" s="7">
        <v>-9746457</v>
      </c>
      <c r="O352" s="7">
        <v>-9746457</v>
      </c>
      <c r="P352" s="7">
        <v>0</v>
      </c>
      <c r="Q352" s="7">
        <v>-9746457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5" t="s">
        <v>60</v>
      </c>
      <c r="Z352" s="6"/>
      <c r="AA352" s="5" t="s">
        <v>55</v>
      </c>
      <c r="AB352" s="5" t="s">
        <v>51</v>
      </c>
      <c r="AC352" s="5" t="s">
        <v>51</v>
      </c>
      <c r="AD352" s="5" t="s">
        <v>51</v>
      </c>
      <c r="AE352" s="5" t="s">
        <v>51</v>
      </c>
      <c r="AF352" s="5" t="s">
        <v>69</v>
      </c>
    </row>
    <row r="353" spans="1:32" ht="15.65" customHeight="1" x14ac:dyDescent="0.35">
      <c r="A353" s="5" t="s">
        <v>45</v>
      </c>
      <c r="B353" s="5" t="s">
        <v>359</v>
      </c>
      <c r="C353" s="5" t="s">
        <v>47</v>
      </c>
      <c r="D353" s="5">
        <v>3000251</v>
      </c>
      <c r="E353" s="11">
        <v>3001105</v>
      </c>
      <c r="F353" s="11" t="s">
        <v>360</v>
      </c>
      <c r="G353" s="5" t="s">
        <v>360</v>
      </c>
      <c r="H353" s="5" t="s">
        <v>54</v>
      </c>
      <c r="I353" s="5">
        <v>6958247</v>
      </c>
      <c r="J353" s="6">
        <v>46120</v>
      </c>
      <c r="K353" s="6">
        <v>46120</v>
      </c>
      <c r="L353" s="6">
        <v>46120</v>
      </c>
      <c r="M353" s="7">
        <v>12</v>
      </c>
      <c r="N353" s="7">
        <v>-61682142</v>
      </c>
      <c r="O353" s="7">
        <v>-61682142</v>
      </c>
      <c r="P353" s="7">
        <v>0</v>
      </c>
      <c r="Q353" s="7">
        <v>-61682142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5" t="s">
        <v>47</v>
      </c>
      <c r="Z353" s="6"/>
      <c r="AA353" s="5" t="s">
        <v>55</v>
      </c>
      <c r="AB353" s="5" t="s">
        <v>51</v>
      </c>
      <c r="AC353" s="5" t="s">
        <v>51</v>
      </c>
      <c r="AD353" s="5" t="s">
        <v>51</v>
      </c>
      <c r="AE353" s="5" t="s">
        <v>51</v>
      </c>
      <c r="AF353" s="5" t="s">
        <v>64</v>
      </c>
    </row>
    <row r="354" spans="1:32" ht="15.65" customHeight="1" x14ac:dyDescent="0.35">
      <c r="A354" s="5" t="s">
        <v>45</v>
      </c>
      <c r="B354" s="5" t="s">
        <v>359</v>
      </c>
      <c r="C354" s="5" t="s">
        <v>47</v>
      </c>
      <c r="D354" s="5">
        <v>3000251</v>
      </c>
      <c r="E354" s="5">
        <v>3001105</v>
      </c>
      <c r="F354" s="5" t="s">
        <v>360</v>
      </c>
      <c r="G354" s="5" t="s">
        <v>360</v>
      </c>
      <c r="H354" s="5" t="s">
        <v>54</v>
      </c>
      <c r="I354" s="5">
        <v>6958248</v>
      </c>
      <c r="J354" s="6">
        <v>46120</v>
      </c>
      <c r="K354" s="6">
        <v>46120</v>
      </c>
      <c r="L354" s="6">
        <v>46120</v>
      </c>
      <c r="M354" s="7">
        <v>12</v>
      </c>
      <c r="N354" s="7">
        <v>-1900428</v>
      </c>
      <c r="O354" s="7">
        <v>-1900428</v>
      </c>
      <c r="P354" s="7">
        <v>0</v>
      </c>
      <c r="Q354" s="7">
        <v>-1900428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5" t="s">
        <v>47</v>
      </c>
      <c r="Z354" s="6"/>
      <c r="AA354" s="5" t="s">
        <v>55</v>
      </c>
      <c r="AB354" s="5" t="s">
        <v>51</v>
      </c>
      <c r="AC354" s="5" t="s">
        <v>51</v>
      </c>
      <c r="AD354" s="5" t="s">
        <v>51</v>
      </c>
      <c r="AE354" s="5" t="s">
        <v>51</v>
      </c>
      <c r="AF354" s="5" t="s">
        <v>366</v>
      </c>
    </row>
    <row r="355" spans="1:32" ht="15.65" customHeight="1" x14ac:dyDescent="0.35">
      <c r="A355" s="5" t="s">
        <v>45</v>
      </c>
      <c r="B355" s="5" t="s">
        <v>359</v>
      </c>
      <c r="C355" s="5" t="s">
        <v>47</v>
      </c>
      <c r="D355" s="5">
        <v>3000251</v>
      </c>
      <c r="E355" s="11">
        <v>3001105</v>
      </c>
      <c r="F355" s="11" t="s">
        <v>360</v>
      </c>
      <c r="G355" s="5" t="s">
        <v>360</v>
      </c>
      <c r="H355" s="5" t="s">
        <v>54</v>
      </c>
      <c r="I355" s="5">
        <v>6958249</v>
      </c>
      <c r="J355" s="6">
        <v>46120</v>
      </c>
      <c r="K355" s="6">
        <v>46120</v>
      </c>
      <c r="L355" s="6">
        <v>46120</v>
      </c>
      <c r="M355" s="7">
        <v>12</v>
      </c>
      <c r="N355" s="7">
        <v>-428797</v>
      </c>
      <c r="O355" s="7">
        <v>-428797</v>
      </c>
      <c r="P355" s="7">
        <v>0</v>
      </c>
      <c r="Q355" s="7">
        <v>-428797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5" t="s">
        <v>47</v>
      </c>
      <c r="Z355" s="6"/>
      <c r="AA355" s="5" t="s">
        <v>55</v>
      </c>
      <c r="AB355" s="5" t="s">
        <v>51</v>
      </c>
      <c r="AC355" s="5" t="s">
        <v>51</v>
      </c>
      <c r="AD355" s="5" t="s">
        <v>51</v>
      </c>
      <c r="AE355" s="5" t="s">
        <v>51</v>
      </c>
      <c r="AF355" s="5" t="s">
        <v>399</v>
      </c>
    </row>
    <row r="356" spans="1:32" ht="15.65" customHeight="1" x14ac:dyDescent="0.35">
      <c r="A356" s="5" t="s">
        <v>45</v>
      </c>
      <c r="B356" s="5" t="s">
        <v>359</v>
      </c>
      <c r="C356" s="5" t="s">
        <v>47</v>
      </c>
      <c r="D356" s="5">
        <v>3000251</v>
      </c>
      <c r="E356" s="11">
        <v>3001105</v>
      </c>
      <c r="F356" s="11" t="s">
        <v>360</v>
      </c>
      <c r="G356" s="5" t="s">
        <v>360</v>
      </c>
      <c r="H356" s="5" t="s">
        <v>54</v>
      </c>
      <c r="I356" s="5">
        <v>6958250</v>
      </c>
      <c r="J356" s="6">
        <v>46120</v>
      </c>
      <c r="K356" s="6">
        <v>46120</v>
      </c>
      <c r="L356" s="6">
        <v>46120</v>
      </c>
      <c r="M356" s="7">
        <v>12</v>
      </c>
      <c r="N356" s="7">
        <v>-1810837</v>
      </c>
      <c r="O356" s="7">
        <v>-1810837</v>
      </c>
      <c r="P356" s="7">
        <v>0</v>
      </c>
      <c r="Q356" s="7">
        <v>-1810837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5" t="s">
        <v>47</v>
      </c>
      <c r="Z356" s="6"/>
      <c r="AA356" s="5" t="s">
        <v>55</v>
      </c>
      <c r="AB356" s="5" t="s">
        <v>51</v>
      </c>
      <c r="AC356" s="5" t="s">
        <v>51</v>
      </c>
      <c r="AD356" s="5" t="s">
        <v>51</v>
      </c>
      <c r="AE356" s="5" t="s">
        <v>51</v>
      </c>
      <c r="AF356" s="5" t="s">
        <v>77</v>
      </c>
    </row>
    <row r="357" spans="1:32" ht="15.65" customHeight="1" x14ac:dyDescent="0.35">
      <c r="A357" s="5" t="s">
        <v>45</v>
      </c>
      <c r="B357" s="5" t="s">
        <v>359</v>
      </c>
      <c r="C357" s="5" t="s">
        <v>47</v>
      </c>
      <c r="D357" s="5">
        <v>3000251</v>
      </c>
      <c r="E357" s="11">
        <v>3001105</v>
      </c>
      <c r="F357" s="11" t="s">
        <v>360</v>
      </c>
      <c r="G357" s="5" t="s">
        <v>360</v>
      </c>
      <c r="H357" s="5" t="s">
        <v>54</v>
      </c>
      <c r="I357" s="5">
        <v>6958251</v>
      </c>
      <c r="J357" s="6">
        <v>46120</v>
      </c>
      <c r="K357" s="6">
        <v>46120</v>
      </c>
      <c r="L357" s="6">
        <v>46120</v>
      </c>
      <c r="M357" s="7">
        <v>12</v>
      </c>
      <c r="N357" s="7">
        <v>-50925817</v>
      </c>
      <c r="O357" s="7">
        <v>-50925817</v>
      </c>
      <c r="P357" s="7">
        <v>0</v>
      </c>
      <c r="Q357" s="7">
        <v>-50925817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5" t="s">
        <v>47</v>
      </c>
      <c r="Z357" s="6"/>
      <c r="AA357" s="5" t="s">
        <v>55</v>
      </c>
      <c r="AB357" s="5" t="s">
        <v>51</v>
      </c>
      <c r="AC357" s="5" t="s">
        <v>51</v>
      </c>
      <c r="AD357" s="5" t="s">
        <v>51</v>
      </c>
      <c r="AE357" s="5" t="s">
        <v>51</v>
      </c>
      <c r="AF357" s="5" t="s">
        <v>56</v>
      </c>
    </row>
    <row r="358" spans="1:32" ht="15.65" customHeight="1" x14ac:dyDescent="0.35">
      <c r="A358" s="5" t="s">
        <v>45</v>
      </c>
      <c r="B358" s="5" t="s">
        <v>359</v>
      </c>
      <c r="C358" s="5" t="s">
        <v>47</v>
      </c>
      <c r="D358" s="5">
        <v>3000251</v>
      </c>
      <c r="E358" s="11">
        <v>3100098</v>
      </c>
      <c r="F358" s="11" t="s">
        <v>360</v>
      </c>
      <c r="G358" s="5" t="s">
        <v>360</v>
      </c>
      <c r="H358" s="5" t="s">
        <v>54</v>
      </c>
      <c r="I358" s="5">
        <v>6958256</v>
      </c>
      <c r="J358" s="6">
        <v>46120</v>
      </c>
      <c r="K358" s="6">
        <v>46120</v>
      </c>
      <c r="L358" s="6">
        <v>46120</v>
      </c>
      <c r="M358" s="7">
        <v>12</v>
      </c>
      <c r="N358" s="7">
        <v>-9780257</v>
      </c>
      <c r="O358" s="7">
        <v>-9780257</v>
      </c>
      <c r="P358" s="7">
        <v>0</v>
      </c>
      <c r="Q358" s="7">
        <v>-9780257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5" t="s">
        <v>47</v>
      </c>
      <c r="Z358" s="6"/>
      <c r="AA358" s="5" t="s">
        <v>55</v>
      </c>
      <c r="AB358" s="5" t="s">
        <v>51</v>
      </c>
      <c r="AC358" s="5" t="s">
        <v>51</v>
      </c>
      <c r="AD358" s="5" t="s">
        <v>51</v>
      </c>
      <c r="AE358" s="5" t="s">
        <v>51</v>
      </c>
      <c r="AF358" s="5" t="s">
        <v>56</v>
      </c>
    </row>
    <row r="359" spans="1:32" ht="15.65" customHeight="1" x14ac:dyDescent="0.35">
      <c r="A359" s="5" t="s">
        <v>45</v>
      </c>
      <c r="B359" s="5" t="s">
        <v>359</v>
      </c>
      <c r="C359" s="5" t="s">
        <v>47</v>
      </c>
      <c r="D359" s="5">
        <v>3000251</v>
      </c>
      <c r="E359" s="11">
        <v>3000591</v>
      </c>
      <c r="F359" s="11" t="s">
        <v>360</v>
      </c>
      <c r="G359" s="5" t="s">
        <v>360</v>
      </c>
      <c r="H359" s="5" t="s">
        <v>54</v>
      </c>
      <c r="I359" s="5">
        <v>6958337</v>
      </c>
      <c r="J359" s="6">
        <v>46120</v>
      </c>
      <c r="K359" s="6">
        <v>46120</v>
      </c>
      <c r="L359" s="6">
        <v>46120</v>
      </c>
      <c r="M359" s="7">
        <v>12</v>
      </c>
      <c r="N359" s="7">
        <v>-218000</v>
      </c>
      <c r="O359" s="7">
        <v>-218000</v>
      </c>
      <c r="P359" s="7">
        <v>0</v>
      </c>
      <c r="Q359" s="7">
        <v>-218000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5" t="s">
        <v>47</v>
      </c>
      <c r="Z359" s="6"/>
      <c r="AA359" s="5" t="s">
        <v>55</v>
      </c>
      <c r="AB359" s="5" t="s">
        <v>51</v>
      </c>
      <c r="AC359" s="5" t="s">
        <v>51</v>
      </c>
      <c r="AD359" s="5" t="s">
        <v>51</v>
      </c>
      <c r="AE359" s="5" t="s">
        <v>51</v>
      </c>
      <c r="AF359" s="5" t="s">
        <v>400</v>
      </c>
    </row>
    <row r="360" spans="1:32" ht="15.65" customHeight="1" x14ac:dyDescent="0.35">
      <c r="A360" s="5" t="s">
        <v>45</v>
      </c>
      <c r="B360" s="5" t="s">
        <v>359</v>
      </c>
      <c r="C360" s="5" t="s">
        <v>47</v>
      </c>
      <c r="D360" s="5">
        <v>3000251</v>
      </c>
      <c r="E360" s="11">
        <v>3100099</v>
      </c>
      <c r="F360" s="11" t="s">
        <v>360</v>
      </c>
      <c r="G360" s="5" t="s">
        <v>360</v>
      </c>
      <c r="H360" s="5" t="s">
        <v>54</v>
      </c>
      <c r="I360" s="5">
        <v>6958346</v>
      </c>
      <c r="J360" s="6">
        <v>46120</v>
      </c>
      <c r="K360" s="6">
        <v>46120</v>
      </c>
      <c r="L360" s="6">
        <v>46120</v>
      </c>
      <c r="M360" s="7">
        <v>12</v>
      </c>
      <c r="N360" s="7">
        <v>-900000</v>
      </c>
      <c r="O360" s="7">
        <v>-900000</v>
      </c>
      <c r="P360" s="7">
        <v>0</v>
      </c>
      <c r="Q360" s="7">
        <v>-900000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5" t="s">
        <v>47</v>
      </c>
      <c r="Z360" s="6"/>
      <c r="AA360" s="5" t="s">
        <v>55</v>
      </c>
      <c r="AB360" s="5" t="s">
        <v>51</v>
      </c>
      <c r="AC360" s="5" t="s">
        <v>51</v>
      </c>
      <c r="AD360" s="5" t="s">
        <v>51</v>
      </c>
      <c r="AE360" s="5" t="s">
        <v>51</v>
      </c>
      <c r="AF360" s="5" t="s">
        <v>401</v>
      </c>
    </row>
    <row r="361" spans="1:32" ht="15.65" customHeight="1" x14ac:dyDescent="0.35">
      <c r="A361" s="5" t="s">
        <v>45</v>
      </c>
      <c r="B361" s="5" t="s">
        <v>359</v>
      </c>
      <c r="C361" s="5" t="s">
        <v>47</v>
      </c>
      <c r="D361" s="5">
        <v>3000251</v>
      </c>
      <c r="E361" s="11">
        <v>3000333</v>
      </c>
      <c r="F361" s="11" t="s">
        <v>360</v>
      </c>
      <c r="G361" s="5" t="s">
        <v>375</v>
      </c>
      <c r="H361" s="5" t="s">
        <v>54</v>
      </c>
      <c r="I361" s="5">
        <v>6958521</v>
      </c>
      <c r="J361" s="6">
        <v>46121</v>
      </c>
      <c r="K361" s="6">
        <v>46121</v>
      </c>
      <c r="L361" s="6">
        <v>46121</v>
      </c>
      <c r="M361" s="7">
        <v>11</v>
      </c>
      <c r="N361" s="7">
        <v>-6513125</v>
      </c>
      <c r="O361" s="7">
        <v>-6513125</v>
      </c>
      <c r="P361" s="7">
        <v>0</v>
      </c>
      <c r="Q361" s="7">
        <v>-6513125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5" t="s">
        <v>47</v>
      </c>
      <c r="Z361" s="6"/>
      <c r="AA361" s="5" t="s">
        <v>55</v>
      </c>
      <c r="AB361" s="5" t="s">
        <v>51</v>
      </c>
      <c r="AC361" s="5" t="s">
        <v>51</v>
      </c>
      <c r="AD361" s="5" t="s">
        <v>51</v>
      </c>
      <c r="AE361" s="5" t="s">
        <v>51</v>
      </c>
      <c r="AF361" s="5" t="s">
        <v>402</v>
      </c>
    </row>
    <row r="362" spans="1:32" ht="15.65" customHeight="1" x14ac:dyDescent="0.35">
      <c r="A362" s="5" t="s">
        <v>45</v>
      </c>
      <c r="B362" s="5" t="s">
        <v>359</v>
      </c>
      <c r="C362" s="5" t="s">
        <v>47</v>
      </c>
      <c r="D362" s="5">
        <v>3000251</v>
      </c>
      <c r="E362" s="11">
        <v>3100098</v>
      </c>
      <c r="F362" s="11" t="s">
        <v>360</v>
      </c>
      <c r="G362" s="5" t="s">
        <v>360</v>
      </c>
      <c r="H362" s="5" t="s">
        <v>54</v>
      </c>
      <c r="I362" s="5">
        <v>6958545</v>
      </c>
      <c r="J362" s="6">
        <v>46121</v>
      </c>
      <c r="K362" s="6">
        <v>46121</v>
      </c>
      <c r="L362" s="6">
        <v>46121</v>
      </c>
      <c r="M362" s="7">
        <v>11</v>
      </c>
      <c r="N362" s="7">
        <v>-2155357</v>
      </c>
      <c r="O362" s="7">
        <v>-2155357</v>
      </c>
      <c r="P362" s="7">
        <v>0</v>
      </c>
      <c r="Q362" s="7">
        <v>-2155357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5" t="s">
        <v>47</v>
      </c>
      <c r="Z362" s="6"/>
      <c r="AA362" s="5" t="s">
        <v>55</v>
      </c>
      <c r="AB362" s="5" t="s">
        <v>51</v>
      </c>
      <c r="AC362" s="5" t="s">
        <v>51</v>
      </c>
      <c r="AD362" s="5" t="s">
        <v>51</v>
      </c>
      <c r="AE362" s="5" t="s">
        <v>51</v>
      </c>
      <c r="AF362" s="5" t="s">
        <v>403</v>
      </c>
    </row>
    <row r="363" spans="1:32" ht="15.65" customHeight="1" x14ac:dyDescent="0.35">
      <c r="A363" s="5" t="s">
        <v>45</v>
      </c>
      <c r="B363" s="5" t="s">
        <v>359</v>
      </c>
      <c r="C363" s="5" t="s">
        <v>47</v>
      </c>
      <c r="D363" s="5">
        <v>3000251</v>
      </c>
      <c r="E363" s="11">
        <v>3000591</v>
      </c>
      <c r="F363" s="11" t="s">
        <v>360</v>
      </c>
      <c r="G363" s="5" t="s">
        <v>360</v>
      </c>
      <c r="H363" s="5" t="s">
        <v>54</v>
      </c>
      <c r="I363" s="5">
        <v>6958584</v>
      </c>
      <c r="J363" s="6">
        <v>46121</v>
      </c>
      <c r="K363" s="6">
        <v>46121</v>
      </c>
      <c r="L363" s="6">
        <v>46121</v>
      </c>
      <c r="M363" s="7">
        <v>11</v>
      </c>
      <c r="N363" s="7">
        <v>-5913875</v>
      </c>
      <c r="O363" s="7">
        <v>-5913875</v>
      </c>
      <c r="P363" s="7">
        <v>0</v>
      </c>
      <c r="Q363" s="7">
        <v>-5913875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5" t="s">
        <v>47</v>
      </c>
      <c r="Z363" s="6"/>
      <c r="AA363" s="5" t="s">
        <v>55</v>
      </c>
      <c r="AB363" s="5" t="s">
        <v>51</v>
      </c>
      <c r="AC363" s="5" t="s">
        <v>51</v>
      </c>
      <c r="AD363" s="5" t="s">
        <v>51</v>
      </c>
      <c r="AE363" s="5" t="s">
        <v>51</v>
      </c>
      <c r="AF363" s="5" t="s">
        <v>404</v>
      </c>
    </row>
    <row r="364" spans="1:32" ht="15.65" customHeight="1" x14ac:dyDescent="0.35">
      <c r="A364" s="5" t="s">
        <v>45</v>
      </c>
      <c r="B364" s="5" t="s">
        <v>359</v>
      </c>
      <c r="C364" s="5" t="s">
        <v>47</v>
      </c>
      <c r="D364" s="5">
        <v>3000251</v>
      </c>
      <c r="E364" s="11">
        <v>3000826</v>
      </c>
      <c r="F364" s="11" t="s">
        <v>360</v>
      </c>
      <c r="G364" s="5" t="s">
        <v>360</v>
      </c>
      <c r="H364" s="5" t="s">
        <v>54</v>
      </c>
      <c r="I364" s="5">
        <v>6958585</v>
      </c>
      <c r="J364" s="6">
        <v>46121</v>
      </c>
      <c r="K364" s="6">
        <v>46121</v>
      </c>
      <c r="L364" s="6">
        <v>46121</v>
      </c>
      <c r="M364" s="7">
        <v>11</v>
      </c>
      <c r="N364" s="7">
        <v>-4811152</v>
      </c>
      <c r="O364" s="7">
        <v>-4811152</v>
      </c>
      <c r="P364" s="7">
        <v>0</v>
      </c>
      <c r="Q364" s="7">
        <v>-4811152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5" t="s">
        <v>47</v>
      </c>
      <c r="Z364" s="6"/>
      <c r="AA364" s="5" t="s">
        <v>55</v>
      </c>
      <c r="AB364" s="5" t="s">
        <v>51</v>
      </c>
      <c r="AC364" s="5" t="s">
        <v>51</v>
      </c>
      <c r="AD364" s="5" t="s">
        <v>51</v>
      </c>
      <c r="AE364" s="5" t="s">
        <v>51</v>
      </c>
      <c r="AF364" s="5" t="s">
        <v>405</v>
      </c>
    </row>
    <row r="365" spans="1:32" ht="15.65" customHeight="1" x14ac:dyDescent="0.35">
      <c r="A365" s="5" t="s">
        <v>45</v>
      </c>
      <c r="B365" s="5" t="s">
        <v>371</v>
      </c>
      <c r="C365" s="5" t="s">
        <v>47</v>
      </c>
      <c r="D365" s="5">
        <v>3000251</v>
      </c>
      <c r="E365" s="11">
        <v>3100934</v>
      </c>
      <c r="F365" s="11" t="s">
        <v>360</v>
      </c>
      <c r="G365" s="5" t="s">
        <v>372</v>
      </c>
      <c r="H365" s="5" t="s">
        <v>54</v>
      </c>
      <c r="I365" s="5">
        <v>6958593</v>
      </c>
      <c r="J365" s="6">
        <v>46121</v>
      </c>
      <c r="K365" s="6">
        <v>46121</v>
      </c>
      <c r="L365" s="6">
        <v>46121</v>
      </c>
      <c r="M365" s="7">
        <v>11</v>
      </c>
      <c r="N365" s="7">
        <v>-859107</v>
      </c>
      <c r="O365" s="7">
        <v>-859107</v>
      </c>
      <c r="P365" s="7">
        <v>0</v>
      </c>
      <c r="Q365" s="7">
        <v>-859107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5" t="s">
        <v>47</v>
      </c>
      <c r="Z365" s="6"/>
      <c r="AA365" s="5" t="s">
        <v>55</v>
      </c>
      <c r="AB365" s="5" t="s">
        <v>51</v>
      </c>
      <c r="AC365" s="5" t="s">
        <v>51</v>
      </c>
      <c r="AD365" s="5" t="s">
        <v>51</v>
      </c>
      <c r="AE365" s="5" t="s">
        <v>51</v>
      </c>
      <c r="AF365" s="5" t="s">
        <v>406</v>
      </c>
    </row>
    <row r="366" spans="1:32" ht="15.65" customHeight="1" x14ac:dyDescent="0.35">
      <c r="A366" s="5" t="s">
        <v>45</v>
      </c>
      <c r="B366" s="5" t="s">
        <v>359</v>
      </c>
      <c r="C366" s="5" t="s">
        <v>47</v>
      </c>
      <c r="D366" s="5">
        <v>3000251</v>
      </c>
      <c r="E366" s="11">
        <v>3100099</v>
      </c>
      <c r="F366" s="11" t="s">
        <v>360</v>
      </c>
      <c r="G366" s="5" t="s">
        <v>360</v>
      </c>
      <c r="H366" s="5" t="s">
        <v>54</v>
      </c>
      <c r="I366" s="5">
        <v>6958625</v>
      </c>
      <c r="J366" s="6">
        <v>46121</v>
      </c>
      <c r="K366" s="6">
        <v>46121</v>
      </c>
      <c r="L366" s="6">
        <v>46121</v>
      </c>
      <c r="M366" s="7">
        <v>11</v>
      </c>
      <c r="N366" s="7">
        <v>-17097570</v>
      </c>
      <c r="O366" s="7">
        <v>-17097570</v>
      </c>
      <c r="P366" s="7">
        <v>0</v>
      </c>
      <c r="Q366" s="7">
        <v>-17097570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5" t="s">
        <v>47</v>
      </c>
      <c r="Z366" s="6"/>
      <c r="AA366" s="5" t="s">
        <v>55</v>
      </c>
      <c r="AB366" s="5" t="s">
        <v>51</v>
      </c>
      <c r="AC366" s="5" t="s">
        <v>51</v>
      </c>
      <c r="AD366" s="5" t="s">
        <v>51</v>
      </c>
      <c r="AE366" s="5" t="s">
        <v>51</v>
      </c>
      <c r="AF366" s="5" t="s">
        <v>144</v>
      </c>
    </row>
    <row r="367" spans="1:32" ht="15.65" customHeight="1" x14ac:dyDescent="0.35">
      <c r="A367" s="5" t="s">
        <v>45</v>
      </c>
      <c r="B367" s="5" t="s">
        <v>359</v>
      </c>
      <c r="C367" s="5" t="s">
        <v>47</v>
      </c>
      <c r="D367" s="5">
        <v>3000251</v>
      </c>
      <c r="E367" s="11">
        <v>3100660</v>
      </c>
      <c r="F367" s="11" t="s">
        <v>360</v>
      </c>
      <c r="G367" s="5" t="s">
        <v>382</v>
      </c>
      <c r="H367" s="5" t="s">
        <v>54</v>
      </c>
      <c r="I367" s="5">
        <v>6958722</v>
      </c>
      <c r="J367" s="6">
        <v>46122</v>
      </c>
      <c r="K367" s="6">
        <v>46122</v>
      </c>
      <c r="L367" s="6">
        <v>46122</v>
      </c>
      <c r="M367" s="7">
        <v>10</v>
      </c>
      <c r="N367" s="7">
        <v>-6198928</v>
      </c>
      <c r="O367" s="7">
        <v>-6198928</v>
      </c>
      <c r="P367" s="7">
        <v>0</v>
      </c>
      <c r="Q367" s="7">
        <v>-6198928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5" t="s">
        <v>47</v>
      </c>
      <c r="Z367" s="6"/>
      <c r="AA367" s="5" t="s">
        <v>55</v>
      </c>
      <c r="AB367" s="5" t="s">
        <v>51</v>
      </c>
      <c r="AC367" s="5" t="s">
        <v>51</v>
      </c>
      <c r="AD367" s="5" t="s">
        <v>51</v>
      </c>
      <c r="AE367" s="5" t="s">
        <v>51</v>
      </c>
      <c r="AF367" s="5" t="s">
        <v>407</v>
      </c>
    </row>
    <row r="368" spans="1:32" ht="15.65" customHeight="1" x14ac:dyDescent="0.35">
      <c r="A368" s="5" t="s">
        <v>45</v>
      </c>
      <c r="B368" s="5" t="s">
        <v>359</v>
      </c>
      <c r="C368" s="5" t="s">
        <v>47</v>
      </c>
      <c r="D368" s="5">
        <v>3000251</v>
      </c>
      <c r="E368" s="11">
        <v>3000715</v>
      </c>
      <c r="F368" s="11" t="s">
        <v>360</v>
      </c>
      <c r="G368" s="5" t="s">
        <v>360</v>
      </c>
      <c r="H368" s="5" t="s">
        <v>54</v>
      </c>
      <c r="I368" s="5">
        <v>6958772</v>
      </c>
      <c r="J368" s="6">
        <v>46122</v>
      </c>
      <c r="K368" s="6">
        <v>46122</v>
      </c>
      <c r="L368" s="6">
        <v>46122</v>
      </c>
      <c r="M368" s="7">
        <v>10</v>
      </c>
      <c r="N368" s="7">
        <v>-33998226</v>
      </c>
      <c r="O368" s="7">
        <v>-33998226</v>
      </c>
      <c r="P368" s="7">
        <v>0</v>
      </c>
      <c r="Q368" s="7">
        <v>-33998226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5" t="s">
        <v>47</v>
      </c>
      <c r="Z368" s="6"/>
      <c r="AA368" s="5" t="s">
        <v>55</v>
      </c>
      <c r="AB368" s="5" t="s">
        <v>51</v>
      </c>
      <c r="AC368" s="5" t="s">
        <v>51</v>
      </c>
      <c r="AD368" s="5" t="s">
        <v>51</v>
      </c>
      <c r="AE368" s="5" t="s">
        <v>51</v>
      </c>
      <c r="AF368" s="5" t="s">
        <v>312</v>
      </c>
    </row>
    <row r="369" spans="1:32" ht="15.65" customHeight="1" x14ac:dyDescent="0.35">
      <c r="A369" s="5" t="s">
        <v>45</v>
      </c>
      <c r="B369" s="5" t="s">
        <v>359</v>
      </c>
      <c r="C369" s="5" t="s">
        <v>47</v>
      </c>
      <c r="D369" s="5">
        <v>3000251</v>
      </c>
      <c r="E369" s="11">
        <v>3101038</v>
      </c>
      <c r="F369" s="11" t="s">
        <v>360</v>
      </c>
      <c r="G369" s="5" t="s">
        <v>390</v>
      </c>
      <c r="H369" s="5" t="s">
        <v>54</v>
      </c>
      <c r="I369" s="5">
        <v>6958993</v>
      </c>
      <c r="J369" s="6">
        <v>46125</v>
      </c>
      <c r="K369" s="6">
        <v>46125</v>
      </c>
      <c r="L369" s="6">
        <v>46125</v>
      </c>
      <c r="M369" s="7">
        <v>7</v>
      </c>
      <c r="N369" s="7">
        <v>-20979592</v>
      </c>
      <c r="O369" s="7">
        <v>-20979592</v>
      </c>
      <c r="P369" s="7">
        <v>0</v>
      </c>
      <c r="Q369" s="7">
        <v>-20979592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5" t="s">
        <v>47</v>
      </c>
      <c r="Z369" s="6"/>
      <c r="AA369" s="5" t="s">
        <v>55</v>
      </c>
      <c r="AB369" s="5" t="s">
        <v>51</v>
      </c>
      <c r="AC369" s="5" t="s">
        <v>51</v>
      </c>
      <c r="AD369" s="5" t="s">
        <v>51</v>
      </c>
      <c r="AE369" s="5" t="s">
        <v>51</v>
      </c>
      <c r="AF369" s="5" t="s">
        <v>309</v>
      </c>
    </row>
    <row r="370" spans="1:32" ht="15.65" customHeight="1" x14ac:dyDescent="0.35">
      <c r="A370" s="5" t="s">
        <v>45</v>
      </c>
      <c r="B370" s="5" t="s">
        <v>359</v>
      </c>
      <c r="C370" s="5" t="s">
        <v>47</v>
      </c>
      <c r="D370" s="5">
        <v>3000251</v>
      </c>
      <c r="E370" s="11">
        <v>3000591</v>
      </c>
      <c r="F370" s="11" t="s">
        <v>360</v>
      </c>
      <c r="G370" s="5" t="s">
        <v>360</v>
      </c>
      <c r="H370" s="5" t="s">
        <v>54</v>
      </c>
      <c r="I370" s="5">
        <v>6959033</v>
      </c>
      <c r="J370" s="6">
        <v>46125</v>
      </c>
      <c r="K370" s="6">
        <v>46125</v>
      </c>
      <c r="L370" s="6">
        <v>46125</v>
      </c>
      <c r="M370" s="7">
        <v>7</v>
      </c>
      <c r="N370" s="7">
        <v>-29440378</v>
      </c>
      <c r="O370" s="7">
        <v>-29440378</v>
      </c>
      <c r="P370" s="7">
        <v>0</v>
      </c>
      <c r="Q370" s="7">
        <v>-29440378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5" t="s">
        <v>47</v>
      </c>
      <c r="Z370" s="6"/>
      <c r="AA370" s="5" t="s">
        <v>55</v>
      </c>
      <c r="AB370" s="5" t="s">
        <v>51</v>
      </c>
      <c r="AC370" s="5" t="s">
        <v>51</v>
      </c>
      <c r="AD370" s="5" t="s">
        <v>51</v>
      </c>
      <c r="AE370" s="5" t="s">
        <v>51</v>
      </c>
      <c r="AF370" s="5" t="s">
        <v>56</v>
      </c>
    </row>
    <row r="371" spans="1:32" ht="15.65" customHeight="1" x14ac:dyDescent="0.35">
      <c r="A371" s="5" t="s">
        <v>45</v>
      </c>
      <c r="B371" s="5" t="s">
        <v>359</v>
      </c>
      <c r="C371" s="5" t="s">
        <v>47</v>
      </c>
      <c r="D371" s="5">
        <v>3000251</v>
      </c>
      <c r="E371" s="5">
        <v>3100098</v>
      </c>
      <c r="F371" s="5" t="s">
        <v>360</v>
      </c>
      <c r="G371" s="5" t="s">
        <v>360</v>
      </c>
      <c r="H371" s="5" t="s">
        <v>54</v>
      </c>
      <c r="I371" s="5">
        <v>6959038</v>
      </c>
      <c r="J371" s="6">
        <v>46125</v>
      </c>
      <c r="K371" s="6">
        <v>46125</v>
      </c>
      <c r="L371" s="6">
        <v>46125</v>
      </c>
      <c r="M371" s="7">
        <v>7</v>
      </c>
      <c r="N371" s="7">
        <v>-5975914</v>
      </c>
      <c r="O371" s="7">
        <v>-5975914</v>
      </c>
      <c r="P371" s="7">
        <v>0</v>
      </c>
      <c r="Q371" s="7">
        <v>-5975914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5" t="s">
        <v>47</v>
      </c>
      <c r="Z371" s="6"/>
      <c r="AA371" s="5" t="s">
        <v>55</v>
      </c>
      <c r="AB371" s="5" t="s">
        <v>51</v>
      </c>
      <c r="AC371" s="5" t="s">
        <v>51</v>
      </c>
      <c r="AD371" s="5" t="s">
        <v>51</v>
      </c>
      <c r="AE371" s="5" t="s">
        <v>51</v>
      </c>
      <c r="AF371" s="5" t="s">
        <v>56</v>
      </c>
    </row>
    <row r="372" spans="1:32" ht="15.65" customHeight="1" x14ac:dyDescent="0.35">
      <c r="A372" s="5" t="s">
        <v>45</v>
      </c>
      <c r="B372" s="5" t="s">
        <v>359</v>
      </c>
      <c r="C372" s="5" t="s">
        <v>47</v>
      </c>
      <c r="D372" s="5">
        <v>3000251</v>
      </c>
      <c r="E372" s="11">
        <v>3100660</v>
      </c>
      <c r="F372" s="11" t="s">
        <v>360</v>
      </c>
      <c r="G372" s="5" t="s">
        <v>382</v>
      </c>
      <c r="H372" s="5" t="s">
        <v>54</v>
      </c>
      <c r="I372" s="5">
        <v>6959072</v>
      </c>
      <c r="J372" s="6">
        <v>46125</v>
      </c>
      <c r="K372" s="6">
        <v>46125</v>
      </c>
      <c r="L372" s="6">
        <v>46125</v>
      </c>
      <c r="M372" s="7">
        <v>7</v>
      </c>
      <c r="N372" s="7">
        <v>-15054100</v>
      </c>
      <c r="O372" s="7">
        <v>-15054100</v>
      </c>
      <c r="P372" s="7">
        <v>0</v>
      </c>
      <c r="Q372" s="7">
        <v>-15054100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5" t="s">
        <v>47</v>
      </c>
      <c r="Z372" s="6"/>
      <c r="AA372" s="5" t="s">
        <v>55</v>
      </c>
      <c r="AB372" s="5" t="s">
        <v>51</v>
      </c>
      <c r="AC372" s="5" t="s">
        <v>51</v>
      </c>
      <c r="AD372" s="5" t="s">
        <v>51</v>
      </c>
      <c r="AE372" s="5" t="s">
        <v>51</v>
      </c>
      <c r="AF372" s="5" t="s">
        <v>183</v>
      </c>
    </row>
    <row r="373" spans="1:32" ht="15.65" customHeight="1" x14ac:dyDescent="0.35">
      <c r="A373" s="5" t="s">
        <v>45</v>
      </c>
      <c r="B373" s="5" t="s">
        <v>359</v>
      </c>
      <c r="C373" s="5" t="s">
        <v>47</v>
      </c>
      <c r="D373" s="5">
        <v>3000251</v>
      </c>
      <c r="E373" s="11">
        <v>3000251</v>
      </c>
      <c r="F373" s="11" t="s">
        <v>360</v>
      </c>
      <c r="G373" s="5" t="s">
        <v>360</v>
      </c>
      <c r="H373" s="5" t="s">
        <v>54</v>
      </c>
      <c r="I373" s="5">
        <v>6959091</v>
      </c>
      <c r="J373" s="6">
        <v>46125</v>
      </c>
      <c r="K373" s="6">
        <v>46125</v>
      </c>
      <c r="L373" s="6">
        <v>46125</v>
      </c>
      <c r="M373" s="7">
        <v>7</v>
      </c>
      <c r="N373" s="7">
        <v>-176541558</v>
      </c>
      <c r="O373" s="7">
        <v>-176541558</v>
      </c>
      <c r="P373" s="7">
        <v>0</v>
      </c>
      <c r="Q373" s="7">
        <v>-176541558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5" t="s">
        <v>47</v>
      </c>
      <c r="Z373" s="6"/>
      <c r="AA373" s="5" t="s">
        <v>55</v>
      </c>
      <c r="AB373" s="5" t="s">
        <v>51</v>
      </c>
      <c r="AC373" s="5" t="s">
        <v>51</v>
      </c>
      <c r="AD373" s="5" t="s">
        <v>51</v>
      </c>
      <c r="AE373" s="5" t="s">
        <v>51</v>
      </c>
      <c r="AF373" s="5" t="s">
        <v>408</v>
      </c>
    </row>
    <row r="374" spans="1:32" ht="15.65" customHeight="1" x14ac:dyDescent="0.35">
      <c r="A374" s="5" t="s">
        <v>45</v>
      </c>
      <c r="B374" s="5" t="s">
        <v>359</v>
      </c>
      <c r="C374" s="5" t="s">
        <v>47</v>
      </c>
      <c r="D374" s="5">
        <v>3000251</v>
      </c>
      <c r="E374" s="5">
        <v>3000251</v>
      </c>
      <c r="F374" s="5" t="s">
        <v>360</v>
      </c>
      <c r="G374" s="5" t="s">
        <v>360</v>
      </c>
      <c r="H374" s="5" t="s">
        <v>54</v>
      </c>
      <c r="I374" s="5">
        <v>6959092</v>
      </c>
      <c r="J374" s="6">
        <v>46125</v>
      </c>
      <c r="K374" s="6">
        <v>46125</v>
      </c>
      <c r="L374" s="6">
        <v>46125</v>
      </c>
      <c r="M374" s="7">
        <v>7</v>
      </c>
      <c r="N374" s="7">
        <v>-92490590</v>
      </c>
      <c r="O374" s="7">
        <v>-92490590</v>
      </c>
      <c r="P374" s="7">
        <v>0</v>
      </c>
      <c r="Q374" s="7">
        <v>-92490590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5" t="s">
        <v>47</v>
      </c>
      <c r="Z374" s="6"/>
      <c r="AA374" s="5" t="s">
        <v>55</v>
      </c>
      <c r="AB374" s="5" t="s">
        <v>51</v>
      </c>
      <c r="AC374" s="5" t="s">
        <v>51</v>
      </c>
      <c r="AD374" s="5" t="s">
        <v>51</v>
      </c>
      <c r="AE374" s="5" t="s">
        <v>51</v>
      </c>
      <c r="AF374" s="5" t="s">
        <v>285</v>
      </c>
    </row>
    <row r="375" spans="1:32" ht="15.65" customHeight="1" x14ac:dyDescent="0.35">
      <c r="A375" s="5" t="s">
        <v>45</v>
      </c>
      <c r="B375" s="5" t="s">
        <v>359</v>
      </c>
      <c r="C375" s="5" t="s">
        <v>47</v>
      </c>
      <c r="D375" s="5">
        <v>3000251</v>
      </c>
      <c r="E375" s="11">
        <v>3000826</v>
      </c>
      <c r="F375" s="11" t="s">
        <v>360</v>
      </c>
      <c r="G375" s="5" t="s">
        <v>360</v>
      </c>
      <c r="H375" s="5" t="s">
        <v>54</v>
      </c>
      <c r="I375" s="5">
        <v>6959185</v>
      </c>
      <c r="J375" s="6">
        <v>46126</v>
      </c>
      <c r="K375" s="6">
        <v>46126</v>
      </c>
      <c r="L375" s="6">
        <v>46126</v>
      </c>
      <c r="M375" s="7">
        <v>6</v>
      </c>
      <c r="N375" s="7">
        <v>-25505976</v>
      </c>
      <c r="O375" s="7">
        <v>-25505976</v>
      </c>
      <c r="P375" s="7">
        <v>0</v>
      </c>
      <c r="Q375" s="7">
        <v>-25505976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5" t="s">
        <v>47</v>
      </c>
      <c r="Z375" s="6"/>
      <c r="AA375" s="5" t="s">
        <v>55</v>
      </c>
      <c r="AB375" s="5" t="s">
        <v>51</v>
      </c>
      <c r="AC375" s="5" t="s">
        <v>51</v>
      </c>
      <c r="AD375" s="5" t="s">
        <v>51</v>
      </c>
      <c r="AE375" s="5" t="s">
        <v>51</v>
      </c>
      <c r="AF375" s="5" t="s">
        <v>325</v>
      </c>
    </row>
    <row r="376" spans="1:32" ht="15.65" customHeight="1" x14ac:dyDescent="0.35">
      <c r="A376" s="5" t="s">
        <v>45</v>
      </c>
      <c r="B376" s="5" t="s">
        <v>359</v>
      </c>
      <c r="C376" s="5" t="s">
        <v>47</v>
      </c>
      <c r="D376" s="5">
        <v>3000251</v>
      </c>
      <c r="E376" s="11">
        <v>3000333</v>
      </c>
      <c r="F376" s="11" t="s">
        <v>360</v>
      </c>
      <c r="G376" s="5" t="s">
        <v>375</v>
      </c>
      <c r="H376" s="5" t="s">
        <v>54</v>
      </c>
      <c r="I376" s="5">
        <v>6959198</v>
      </c>
      <c r="J376" s="6">
        <v>46126</v>
      </c>
      <c r="K376" s="6">
        <v>46126</v>
      </c>
      <c r="L376" s="6">
        <v>46126</v>
      </c>
      <c r="M376" s="7">
        <v>6</v>
      </c>
      <c r="N376" s="7">
        <v>-45883925</v>
      </c>
      <c r="O376" s="7">
        <v>-45883925</v>
      </c>
      <c r="P376" s="7">
        <v>0</v>
      </c>
      <c r="Q376" s="7">
        <v>-45883925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5" t="s">
        <v>47</v>
      </c>
      <c r="Z376" s="6"/>
      <c r="AA376" s="5" t="s">
        <v>55</v>
      </c>
      <c r="AB376" s="5" t="s">
        <v>51</v>
      </c>
      <c r="AC376" s="5" t="s">
        <v>51</v>
      </c>
      <c r="AD376" s="5" t="s">
        <v>51</v>
      </c>
      <c r="AE376" s="5" t="s">
        <v>51</v>
      </c>
      <c r="AF376" s="5" t="s">
        <v>312</v>
      </c>
    </row>
    <row r="377" spans="1:32" ht="15.65" customHeight="1" x14ac:dyDescent="0.35">
      <c r="A377" s="5" t="s">
        <v>45</v>
      </c>
      <c r="B377" s="5" t="s">
        <v>359</v>
      </c>
      <c r="C377" s="5" t="s">
        <v>47</v>
      </c>
      <c r="D377" s="5">
        <v>3000251</v>
      </c>
      <c r="E377" s="11">
        <v>3100963</v>
      </c>
      <c r="F377" s="11" t="s">
        <v>360</v>
      </c>
      <c r="G377" s="5" t="s">
        <v>385</v>
      </c>
      <c r="H377" s="5" t="s">
        <v>54</v>
      </c>
      <c r="I377" s="5">
        <v>6959243</v>
      </c>
      <c r="J377" s="6">
        <v>46126</v>
      </c>
      <c r="K377" s="6">
        <v>46126</v>
      </c>
      <c r="L377" s="6">
        <v>46126</v>
      </c>
      <c r="M377" s="7">
        <v>6</v>
      </c>
      <c r="N377" s="7">
        <v>-10366797</v>
      </c>
      <c r="O377" s="7">
        <v>-10366797</v>
      </c>
      <c r="P377" s="7">
        <v>0</v>
      </c>
      <c r="Q377" s="7">
        <v>-10366797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5" t="s">
        <v>47</v>
      </c>
      <c r="Z377" s="6"/>
      <c r="AA377" s="5" t="s">
        <v>55</v>
      </c>
      <c r="AB377" s="5" t="s">
        <v>51</v>
      </c>
      <c r="AC377" s="5" t="s">
        <v>51</v>
      </c>
      <c r="AD377" s="5" t="s">
        <v>51</v>
      </c>
      <c r="AE377" s="5" t="s">
        <v>51</v>
      </c>
      <c r="AF377" s="5" t="s">
        <v>56</v>
      </c>
    </row>
    <row r="378" spans="1:32" ht="15.65" customHeight="1" x14ac:dyDescent="0.35">
      <c r="A378" s="5" t="s">
        <v>45</v>
      </c>
      <c r="B378" s="5" t="s">
        <v>359</v>
      </c>
      <c r="C378" s="5" t="s">
        <v>47</v>
      </c>
      <c r="D378" s="5">
        <v>3000251</v>
      </c>
      <c r="E378" s="11">
        <v>3000251</v>
      </c>
      <c r="F378" s="11" t="s">
        <v>360</v>
      </c>
      <c r="G378" s="5" t="s">
        <v>360</v>
      </c>
      <c r="H378" s="5" t="s">
        <v>54</v>
      </c>
      <c r="I378" s="5">
        <v>6959256</v>
      </c>
      <c r="J378" s="6">
        <v>46126</v>
      </c>
      <c r="K378" s="6">
        <v>46126</v>
      </c>
      <c r="L378" s="6">
        <v>46126</v>
      </c>
      <c r="M378" s="7">
        <v>6</v>
      </c>
      <c r="N378" s="7">
        <v>-5338775</v>
      </c>
      <c r="O378" s="7">
        <v>-5338775</v>
      </c>
      <c r="P378" s="7">
        <v>0</v>
      </c>
      <c r="Q378" s="7">
        <v>-5338775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5" t="s">
        <v>47</v>
      </c>
      <c r="Z378" s="6"/>
      <c r="AA378" s="5" t="s">
        <v>55</v>
      </c>
      <c r="AB378" s="5" t="s">
        <v>51</v>
      </c>
      <c r="AC378" s="5" t="s">
        <v>51</v>
      </c>
      <c r="AD378" s="5" t="s">
        <v>51</v>
      </c>
      <c r="AE378" s="5" t="s">
        <v>51</v>
      </c>
      <c r="AF378" s="5" t="s">
        <v>409</v>
      </c>
    </row>
    <row r="379" spans="1:32" ht="15.65" customHeight="1" x14ac:dyDescent="0.35">
      <c r="A379" s="5" t="s">
        <v>45</v>
      </c>
      <c r="B379" s="5" t="s">
        <v>359</v>
      </c>
      <c r="C379" s="5" t="s">
        <v>47</v>
      </c>
      <c r="D379" s="5">
        <v>3000251</v>
      </c>
      <c r="E379" s="11">
        <v>3000251</v>
      </c>
      <c r="F379" s="11" t="s">
        <v>360</v>
      </c>
      <c r="G379" s="5" t="s">
        <v>360</v>
      </c>
      <c r="H379" s="5" t="s">
        <v>111</v>
      </c>
      <c r="I379" s="5">
        <v>6959680</v>
      </c>
      <c r="J379" s="6">
        <v>46128</v>
      </c>
      <c r="K379" s="6">
        <v>46128</v>
      </c>
      <c r="L379" s="6">
        <v>46128</v>
      </c>
      <c r="M379" s="7">
        <v>4</v>
      </c>
      <c r="N379" s="7">
        <v>-1734584</v>
      </c>
      <c r="O379" s="7">
        <v>-1734584</v>
      </c>
      <c r="P379" s="7">
        <v>0</v>
      </c>
      <c r="Q379" s="7">
        <v>-1734584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5" t="s">
        <v>47</v>
      </c>
      <c r="Z379" s="6"/>
      <c r="AA379" s="5" t="s">
        <v>55</v>
      </c>
      <c r="AB379" s="5" t="s">
        <v>51</v>
      </c>
      <c r="AC379" s="5" t="s">
        <v>51</v>
      </c>
      <c r="AD379" s="5" t="s">
        <v>51</v>
      </c>
      <c r="AE379" s="5" t="s">
        <v>51</v>
      </c>
      <c r="AF379" s="5" t="s">
        <v>410</v>
      </c>
    </row>
    <row r="380" spans="1:32" ht="15.65" customHeight="1" x14ac:dyDescent="0.35">
      <c r="A380" s="5" t="s">
        <v>45</v>
      </c>
      <c r="B380" s="5" t="s">
        <v>371</v>
      </c>
      <c r="C380" s="5" t="s">
        <v>47</v>
      </c>
      <c r="D380" s="5">
        <v>3000251</v>
      </c>
      <c r="E380" s="11">
        <v>3100934</v>
      </c>
      <c r="F380" s="11" t="s">
        <v>360</v>
      </c>
      <c r="G380" s="5" t="s">
        <v>372</v>
      </c>
      <c r="H380" s="5" t="s">
        <v>54</v>
      </c>
      <c r="I380" s="5">
        <v>6959978</v>
      </c>
      <c r="J380" s="6">
        <v>46130</v>
      </c>
      <c r="K380" s="6">
        <v>46130</v>
      </c>
      <c r="L380" s="6">
        <v>46130</v>
      </c>
      <c r="M380" s="7">
        <v>2</v>
      </c>
      <c r="N380" s="7">
        <v>-1527129</v>
      </c>
      <c r="O380" s="7">
        <v>-1527129</v>
      </c>
      <c r="P380" s="7">
        <v>0</v>
      </c>
      <c r="Q380" s="7">
        <v>-1527129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5" t="s">
        <v>47</v>
      </c>
      <c r="Z380" s="6"/>
      <c r="AA380" s="5" t="s">
        <v>55</v>
      </c>
      <c r="AB380" s="5" t="s">
        <v>51</v>
      </c>
      <c r="AC380" s="5" t="s">
        <v>51</v>
      </c>
      <c r="AD380" s="5" t="s">
        <v>51</v>
      </c>
      <c r="AE380" s="5" t="s">
        <v>51</v>
      </c>
      <c r="AF380" s="5" t="s">
        <v>373</v>
      </c>
    </row>
    <row r="381" spans="1:32" ht="15.65" customHeight="1" x14ac:dyDescent="0.35">
      <c r="A381" s="5" t="s">
        <v>45</v>
      </c>
      <c r="B381" s="5" t="s">
        <v>359</v>
      </c>
      <c r="C381" s="5" t="s">
        <v>47</v>
      </c>
      <c r="D381" s="5">
        <v>3000251</v>
      </c>
      <c r="E381" s="11">
        <v>3000251</v>
      </c>
      <c r="F381" s="11" t="s">
        <v>360</v>
      </c>
      <c r="G381" s="5" t="s">
        <v>360</v>
      </c>
      <c r="H381" s="5" t="s">
        <v>54</v>
      </c>
      <c r="I381" s="5">
        <v>6959979</v>
      </c>
      <c r="J381" s="6">
        <v>46130</v>
      </c>
      <c r="K381" s="6">
        <v>46130</v>
      </c>
      <c r="L381" s="6">
        <v>46130</v>
      </c>
      <c r="M381" s="7">
        <v>2</v>
      </c>
      <c r="N381" s="7">
        <v>-132107</v>
      </c>
      <c r="O381" s="7">
        <v>-132107</v>
      </c>
      <c r="P381" s="7">
        <v>0</v>
      </c>
      <c r="Q381" s="7">
        <v>-132107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5" t="s">
        <v>47</v>
      </c>
      <c r="Z381" s="6"/>
      <c r="AA381" s="5" t="s">
        <v>55</v>
      </c>
      <c r="AB381" s="5" t="s">
        <v>51</v>
      </c>
      <c r="AC381" s="5" t="s">
        <v>51</v>
      </c>
      <c r="AD381" s="5" t="s">
        <v>51</v>
      </c>
      <c r="AE381" s="5" t="s">
        <v>51</v>
      </c>
      <c r="AF381" s="5" t="s">
        <v>377</v>
      </c>
    </row>
    <row r="382" spans="1:32" ht="15.65" customHeight="1" x14ac:dyDescent="0.35">
      <c r="A382" s="5" t="s">
        <v>45</v>
      </c>
      <c r="B382" s="5" t="s">
        <v>359</v>
      </c>
      <c r="C382" s="5" t="s">
        <v>47</v>
      </c>
      <c r="D382" s="5">
        <v>3000251</v>
      </c>
      <c r="E382" s="11">
        <v>3000333</v>
      </c>
      <c r="F382" s="11" t="s">
        <v>360</v>
      </c>
      <c r="G382" s="5" t="s">
        <v>375</v>
      </c>
      <c r="H382" s="5" t="s">
        <v>54</v>
      </c>
      <c r="I382" s="5">
        <v>6960009</v>
      </c>
      <c r="J382" s="6">
        <v>46130</v>
      </c>
      <c r="K382" s="6">
        <v>46130</v>
      </c>
      <c r="L382" s="6">
        <v>46130</v>
      </c>
      <c r="M382" s="7">
        <v>2</v>
      </c>
      <c r="N382" s="7">
        <v>-186927</v>
      </c>
      <c r="O382" s="7">
        <v>-186927</v>
      </c>
      <c r="P382" s="7">
        <v>0</v>
      </c>
      <c r="Q382" s="7">
        <v>-186927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5" t="s">
        <v>47</v>
      </c>
      <c r="Z382" s="6"/>
      <c r="AA382" s="5" t="s">
        <v>55</v>
      </c>
      <c r="AB382" s="5" t="s">
        <v>51</v>
      </c>
      <c r="AC382" s="5" t="s">
        <v>51</v>
      </c>
      <c r="AD382" s="5" t="s">
        <v>51</v>
      </c>
      <c r="AE382" s="5" t="s">
        <v>51</v>
      </c>
      <c r="AF382" s="5" t="s">
        <v>376</v>
      </c>
    </row>
    <row r="383" spans="1:32" ht="15.65" customHeight="1" x14ac:dyDescent="0.35">
      <c r="A383" s="5" t="s">
        <v>45</v>
      </c>
      <c r="B383" s="5" t="s">
        <v>359</v>
      </c>
      <c r="C383" s="5" t="s">
        <v>47</v>
      </c>
      <c r="D383" s="5">
        <v>3000251</v>
      </c>
      <c r="E383" s="11">
        <v>3001105</v>
      </c>
      <c r="F383" s="11" t="s">
        <v>360</v>
      </c>
      <c r="G383" s="5" t="s">
        <v>360</v>
      </c>
      <c r="H383" s="5" t="s">
        <v>54</v>
      </c>
      <c r="I383" s="5">
        <v>6960019</v>
      </c>
      <c r="J383" s="6">
        <v>46130</v>
      </c>
      <c r="K383" s="6">
        <v>46130</v>
      </c>
      <c r="L383" s="6">
        <v>46130</v>
      </c>
      <c r="M383" s="7">
        <v>2</v>
      </c>
      <c r="N383" s="7">
        <v>-799059</v>
      </c>
      <c r="O383" s="7">
        <v>-799059</v>
      </c>
      <c r="P383" s="7">
        <v>0</v>
      </c>
      <c r="Q383" s="7">
        <v>-799059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5" t="s">
        <v>47</v>
      </c>
      <c r="Z383" s="6"/>
      <c r="AA383" s="5" t="s">
        <v>55</v>
      </c>
      <c r="AB383" s="5" t="s">
        <v>51</v>
      </c>
      <c r="AC383" s="5" t="s">
        <v>51</v>
      </c>
      <c r="AD383" s="5" t="s">
        <v>51</v>
      </c>
      <c r="AE383" s="5" t="s">
        <v>51</v>
      </c>
      <c r="AF383" s="5" t="s">
        <v>411</v>
      </c>
    </row>
    <row r="384" spans="1:32" ht="15.65" customHeight="1" x14ac:dyDescent="0.35">
      <c r="A384" s="5" t="s">
        <v>45</v>
      </c>
      <c r="B384" s="5" t="s">
        <v>359</v>
      </c>
      <c r="C384" s="5" t="s">
        <v>47</v>
      </c>
      <c r="D384" s="5">
        <v>3000251</v>
      </c>
      <c r="E384" s="11">
        <v>3001105</v>
      </c>
      <c r="F384" s="11" t="s">
        <v>360</v>
      </c>
      <c r="G384" s="5" t="s">
        <v>360</v>
      </c>
      <c r="H384" s="5" t="s">
        <v>54</v>
      </c>
      <c r="I384" s="5">
        <v>6960020</v>
      </c>
      <c r="J384" s="6">
        <v>46130</v>
      </c>
      <c r="K384" s="6">
        <v>46130</v>
      </c>
      <c r="L384" s="6">
        <v>46130</v>
      </c>
      <c r="M384" s="7">
        <v>2</v>
      </c>
      <c r="N384" s="7">
        <v>-1112863</v>
      </c>
      <c r="O384" s="7">
        <v>-1112863</v>
      </c>
      <c r="P384" s="7">
        <v>0</v>
      </c>
      <c r="Q384" s="7">
        <v>-1112863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5" t="s">
        <v>47</v>
      </c>
      <c r="Z384" s="6"/>
      <c r="AA384" s="5" t="s">
        <v>55</v>
      </c>
      <c r="AB384" s="5" t="s">
        <v>51</v>
      </c>
      <c r="AC384" s="5" t="s">
        <v>51</v>
      </c>
      <c r="AD384" s="5" t="s">
        <v>51</v>
      </c>
      <c r="AE384" s="5" t="s">
        <v>51</v>
      </c>
      <c r="AF384" s="5" t="s">
        <v>411</v>
      </c>
    </row>
    <row r="385" spans="1:32" ht="15.65" customHeight="1" x14ac:dyDescent="0.35">
      <c r="A385" s="5" t="s">
        <v>45</v>
      </c>
      <c r="B385" s="5" t="s">
        <v>359</v>
      </c>
      <c r="C385" s="5" t="s">
        <v>47</v>
      </c>
      <c r="D385" s="5">
        <v>3000251</v>
      </c>
      <c r="E385" s="11">
        <v>3001105</v>
      </c>
      <c r="F385" s="11" t="s">
        <v>360</v>
      </c>
      <c r="G385" s="5" t="s">
        <v>360</v>
      </c>
      <c r="H385" s="5" t="s">
        <v>54</v>
      </c>
      <c r="I385" s="5">
        <v>6960021</v>
      </c>
      <c r="J385" s="6">
        <v>46130</v>
      </c>
      <c r="K385" s="6">
        <v>46130</v>
      </c>
      <c r="L385" s="6">
        <v>46130</v>
      </c>
      <c r="M385" s="7">
        <v>2</v>
      </c>
      <c r="N385" s="7">
        <v>-8511084</v>
      </c>
      <c r="O385" s="7">
        <v>-8511084</v>
      </c>
      <c r="P385" s="7">
        <v>0</v>
      </c>
      <c r="Q385" s="7">
        <v>-8511084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5" t="s">
        <v>47</v>
      </c>
      <c r="Z385" s="6"/>
      <c r="AA385" s="5" t="s">
        <v>55</v>
      </c>
      <c r="AB385" s="5" t="s">
        <v>51</v>
      </c>
      <c r="AC385" s="5" t="s">
        <v>51</v>
      </c>
      <c r="AD385" s="5" t="s">
        <v>51</v>
      </c>
      <c r="AE385" s="5" t="s">
        <v>51</v>
      </c>
      <c r="AF385" s="5" t="s">
        <v>411</v>
      </c>
    </row>
    <row r="386" spans="1:32" ht="15.65" customHeight="1" x14ac:dyDescent="0.35">
      <c r="A386" s="5" t="s">
        <v>45</v>
      </c>
      <c r="B386" s="5" t="s">
        <v>359</v>
      </c>
      <c r="C386" s="5" t="s">
        <v>47</v>
      </c>
      <c r="D386" s="5">
        <v>3000251</v>
      </c>
      <c r="E386" s="11">
        <v>3000591</v>
      </c>
      <c r="F386" s="11" t="s">
        <v>360</v>
      </c>
      <c r="G386" s="5" t="s">
        <v>360</v>
      </c>
      <c r="H386" s="5" t="s">
        <v>54</v>
      </c>
      <c r="I386" s="5">
        <v>6960037</v>
      </c>
      <c r="J386" s="6">
        <v>46130</v>
      </c>
      <c r="K386" s="6">
        <v>46130</v>
      </c>
      <c r="L386" s="6">
        <v>46130</v>
      </c>
      <c r="M386" s="7">
        <v>2</v>
      </c>
      <c r="N386" s="7">
        <v>-1020547</v>
      </c>
      <c r="O386" s="7">
        <v>-1020547</v>
      </c>
      <c r="P386" s="7">
        <v>0</v>
      </c>
      <c r="Q386" s="7">
        <v>-1020547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5" t="s">
        <v>47</v>
      </c>
      <c r="Z386" s="6"/>
      <c r="AA386" s="5" t="s">
        <v>55</v>
      </c>
      <c r="AB386" s="5" t="s">
        <v>51</v>
      </c>
      <c r="AC386" s="5" t="s">
        <v>51</v>
      </c>
      <c r="AD386" s="5" t="s">
        <v>51</v>
      </c>
      <c r="AE386" s="5" t="s">
        <v>51</v>
      </c>
      <c r="AF386" s="5" t="s">
        <v>412</v>
      </c>
    </row>
    <row r="387" spans="1:32" ht="15.65" customHeight="1" x14ac:dyDescent="0.35">
      <c r="A387" s="5" t="s">
        <v>45</v>
      </c>
      <c r="B387" s="5" t="s">
        <v>359</v>
      </c>
      <c r="C387" s="5" t="s">
        <v>47</v>
      </c>
      <c r="D387" s="5">
        <v>3000251</v>
      </c>
      <c r="E387" s="11">
        <v>3000591</v>
      </c>
      <c r="F387" s="11" t="s">
        <v>360</v>
      </c>
      <c r="G387" s="5" t="s">
        <v>360</v>
      </c>
      <c r="H387" s="5" t="s">
        <v>54</v>
      </c>
      <c r="I387" s="5">
        <v>6960038</v>
      </c>
      <c r="J387" s="6">
        <v>46130</v>
      </c>
      <c r="K387" s="6">
        <v>46130</v>
      </c>
      <c r="L387" s="6">
        <v>46130</v>
      </c>
      <c r="M387" s="7">
        <v>2</v>
      </c>
      <c r="N387" s="7">
        <v>-435682</v>
      </c>
      <c r="O387" s="7">
        <v>-435682</v>
      </c>
      <c r="P387" s="7">
        <v>0</v>
      </c>
      <c r="Q387" s="7">
        <v>-435682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5" t="s">
        <v>47</v>
      </c>
      <c r="Z387" s="6"/>
      <c r="AA387" s="5" t="s">
        <v>55</v>
      </c>
      <c r="AB387" s="5" t="s">
        <v>51</v>
      </c>
      <c r="AC387" s="5" t="s">
        <v>51</v>
      </c>
      <c r="AD387" s="5" t="s">
        <v>51</v>
      </c>
      <c r="AE387" s="5" t="s">
        <v>51</v>
      </c>
      <c r="AF387" s="5" t="s">
        <v>412</v>
      </c>
    </row>
    <row r="388" spans="1:32" ht="15.65" customHeight="1" x14ac:dyDescent="0.35">
      <c r="A388" s="5" t="s">
        <v>45</v>
      </c>
      <c r="B388" s="5" t="s">
        <v>359</v>
      </c>
      <c r="C388" s="5" t="s">
        <v>47</v>
      </c>
      <c r="D388" s="5">
        <v>3000251</v>
      </c>
      <c r="E388" s="11">
        <v>3000251</v>
      </c>
      <c r="F388" s="11" t="s">
        <v>360</v>
      </c>
      <c r="G388" s="5" t="s">
        <v>360</v>
      </c>
      <c r="H388" s="5" t="s">
        <v>54</v>
      </c>
      <c r="I388" s="5">
        <v>6960069</v>
      </c>
      <c r="J388" s="6">
        <v>46130</v>
      </c>
      <c r="K388" s="6">
        <v>46130</v>
      </c>
      <c r="L388" s="6">
        <v>46130</v>
      </c>
      <c r="M388" s="7">
        <v>2</v>
      </c>
      <c r="N388" s="7">
        <v>-1325157</v>
      </c>
      <c r="O388" s="7">
        <v>-1325157</v>
      </c>
      <c r="P388" s="7">
        <v>0</v>
      </c>
      <c r="Q388" s="7">
        <v>-1325157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5" t="s">
        <v>47</v>
      </c>
      <c r="Z388" s="6"/>
      <c r="AA388" s="5" t="s">
        <v>55</v>
      </c>
      <c r="AB388" s="5" t="s">
        <v>51</v>
      </c>
      <c r="AC388" s="5" t="s">
        <v>51</v>
      </c>
      <c r="AD388" s="5" t="s">
        <v>51</v>
      </c>
      <c r="AE388" s="5" t="s">
        <v>51</v>
      </c>
      <c r="AF388" s="5" t="s">
        <v>377</v>
      </c>
    </row>
    <row r="389" spans="1:32" ht="15.65" customHeight="1" x14ac:dyDescent="0.35">
      <c r="A389" s="5" t="s">
        <v>45</v>
      </c>
      <c r="B389" s="5" t="s">
        <v>359</v>
      </c>
      <c r="C389" s="5" t="s">
        <v>47</v>
      </c>
      <c r="D389" s="5">
        <v>3000251</v>
      </c>
      <c r="E389" s="11">
        <v>3000251</v>
      </c>
      <c r="F389" s="11" t="s">
        <v>360</v>
      </c>
      <c r="G389" s="5" t="s">
        <v>360</v>
      </c>
      <c r="H389" s="5" t="s">
        <v>54</v>
      </c>
      <c r="I389" s="5">
        <v>6960070</v>
      </c>
      <c r="J389" s="6">
        <v>46130</v>
      </c>
      <c r="K389" s="6">
        <v>46130</v>
      </c>
      <c r="L389" s="6">
        <v>46130</v>
      </c>
      <c r="M389" s="7">
        <v>2</v>
      </c>
      <c r="N389" s="7">
        <v>-185552</v>
      </c>
      <c r="O389" s="7">
        <v>-185552</v>
      </c>
      <c r="P389" s="7">
        <v>0</v>
      </c>
      <c r="Q389" s="7">
        <v>-185552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5" t="s">
        <v>47</v>
      </c>
      <c r="Z389" s="6"/>
      <c r="AA389" s="5" t="s">
        <v>55</v>
      </c>
      <c r="AB389" s="5" t="s">
        <v>51</v>
      </c>
      <c r="AC389" s="5" t="s">
        <v>51</v>
      </c>
      <c r="AD389" s="5" t="s">
        <v>51</v>
      </c>
      <c r="AE389" s="5" t="s">
        <v>51</v>
      </c>
      <c r="AF389" s="5" t="s">
        <v>377</v>
      </c>
    </row>
    <row r="390" spans="1:32" ht="15.65" customHeight="1" x14ac:dyDescent="0.35">
      <c r="A390" s="5" t="s">
        <v>45</v>
      </c>
      <c r="B390" s="5" t="s">
        <v>359</v>
      </c>
      <c r="C390" s="5" t="s">
        <v>47</v>
      </c>
      <c r="D390" s="5">
        <v>3000251</v>
      </c>
      <c r="E390" s="11">
        <v>3000251</v>
      </c>
      <c r="F390" s="11" t="s">
        <v>360</v>
      </c>
      <c r="G390" s="5" t="s">
        <v>360</v>
      </c>
      <c r="H390" s="5" t="s">
        <v>54</v>
      </c>
      <c r="I390" s="5">
        <v>6960071</v>
      </c>
      <c r="J390" s="6">
        <v>46130</v>
      </c>
      <c r="K390" s="6">
        <v>46130</v>
      </c>
      <c r="L390" s="6">
        <v>46130</v>
      </c>
      <c r="M390" s="7">
        <v>2</v>
      </c>
      <c r="N390" s="7">
        <v>-10368881</v>
      </c>
      <c r="O390" s="7">
        <v>-10368881</v>
      </c>
      <c r="P390" s="7">
        <v>0</v>
      </c>
      <c r="Q390" s="7">
        <v>-10368881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5" t="s">
        <v>47</v>
      </c>
      <c r="Z390" s="6"/>
      <c r="AA390" s="5" t="s">
        <v>55</v>
      </c>
      <c r="AB390" s="5" t="s">
        <v>51</v>
      </c>
      <c r="AC390" s="5" t="s">
        <v>51</v>
      </c>
      <c r="AD390" s="5" t="s">
        <v>51</v>
      </c>
      <c r="AE390" s="5" t="s">
        <v>51</v>
      </c>
      <c r="AF390" s="5" t="s">
        <v>377</v>
      </c>
    </row>
    <row r="391" spans="1:32" ht="15.65" customHeight="1" x14ac:dyDescent="0.35">
      <c r="A391" s="5" t="s">
        <v>45</v>
      </c>
      <c r="B391" s="5" t="s">
        <v>359</v>
      </c>
      <c r="C391" s="5" t="s">
        <v>47</v>
      </c>
      <c r="D391" s="5">
        <v>3000251</v>
      </c>
      <c r="E391" s="11">
        <v>3000251</v>
      </c>
      <c r="F391" s="11" t="s">
        <v>360</v>
      </c>
      <c r="G391" s="5" t="s">
        <v>360</v>
      </c>
      <c r="H391" s="5" t="s">
        <v>54</v>
      </c>
      <c r="I391" s="5">
        <v>6960072</v>
      </c>
      <c r="J391" s="6">
        <v>46130</v>
      </c>
      <c r="K391" s="6">
        <v>46130</v>
      </c>
      <c r="L391" s="6">
        <v>46130</v>
      </c>
      <c r="M391" s="7">
        <v>2</v>
      </c>
      <c r="N391" s="7">
        <v>-2210586</v>
      </c>
      <c r="O391" s="7">
        <v>-2210586</v>
      </c>
      <c r="P391" s="7">
        <v>0</v>
      </c>
      <c r="Q391" s="7">
        <v>-2210586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5" t="s">
        <v>47</v>
      </c>
      <c r="Z391" s="6"/>
      <c r="AA391" s="5" t="s">
        <v>55</v>
      </c>
      <c r="AB391" s="5" t="s">
        <v>51</v>
      </c>
      <c r="AC391" s="5" t="s">
        <v>51</v>
      </c>
      <c r="AD391" s="5" t="s">
        <v>51</v>
      </c>
      <c r="AE391" s="5" t="s">
        <v>51</v>
      </c>
      <c r="AF391" s="5" t="s">
        <v>377</v>
      </c>
    </row>
    <row r="392" spans="1:32" ht="15.65" customHeight="1" x14ac:dyDescent="0.35">
      <c r="A392" s="5" t="s">
        <v>45</v>
      </c>
      <c r="B392" s="5" t="s">
        <v>359</v>
      </c>
      <c r="C392" s="5" t="s">
        <v>47</v>
      </c>
      <c r="D392" s="5">
        <v>3000251</v>
      </c>
      <c r="E392" s="11">
        <v>3000591</v>
      </c>
      <c r="F392" s="11" t="s">
        <v>360</v>
      </c>
      <c r="G392" s="5" t="s">
        <v>360</v>
      </c>
      <c r="H392" s="5" t="s">
        <v>54</v>
      </c>
      <c r="I392" s="5">
        <v>6960073</v>
      </c>
      <c r="J392" s="6">
        <v>46130</v>
      </c>
      <c r="K392" s="6">
        <v>46130</v>
      </c>
      <c r="L392" s="6">
        <v>46130</v>
      </c>
      <c r="M392" s="7">
        <v>2</v>
      </c>
      <c r="N392" s="7">
        <v>-2752558</v>
      </c>
      <c r="O392" s="7">
        <v>-2752558</v>
      </c>
      <c r="P392" s="7">
        <v>0</v>
      </c>
      <c r="Q392" s="7">
        <v>-2752558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5" t="s">
        <v>47</v>
      </c>
      <c r="Z392" s="6"/>
      <c r="AA392" s="5" t="s">
        <v>55</v>
      </c>
      <c r="AB392" s="5" t="s">
        <v>51</v>
      </c>
      <c r="AC392" s="5" t="s">
        <v>51</v>
      </c>
      <c r="AD392" s="5" t="s">
        <v>51</v>
      </c>
      <c r="AE392" s="5" t="s">
        <v>51</v>
      </c>
      <c r="AF392" s="5" t="s">
        <v>412</v>
      </c>
    </row>
    <row r="393" spans="1:32" ht="15.65" customHeight="1" x14ac:dyDescent="0.35">
      <c r="A393" s="5" t="s">
        <v>45</v>
      </c>
      <c r="B393" s="5" t="s">
        <v>359</v>
      </c>
      <c r="C393" s="5" t="s">
        <v>47</v>
      </c>
      <c r="D393" s="5">
        <v>3000251</v>
      </c>
      <c r="E393" s="11">
        <v>3001105</v>
      </c>
      <c r="F393" s="11" t="s">
        <v>360</v>
      </c>
      <c r="G393" s="5" t="s">
        <v>360</v>
      </c>
      <c r="H393" s="5" t="s">
        <v>54</v>
      </c>
      <c r="I393" s="5">
        <v>6960075</v>
      </c>
      <c r="J393" s="6">
        <v>46130</v>
      </c>
      <c r="K393" s="6">
        <v>46130</v>
      </c>
      <c r="L393" s="6">
        <v>46130</v>
      </c>
      <c r="M393" s="7">
        <v>2</v>
      </c>
      <c r="N393" s="7">
        <v>-257499</v>
      </c>
      <c r="O393" s="7">
        <v>-257499</v>
      </c>
      <c r="P393" s="7">
        <v>0</v>
      </c>
      <c r="Q393" s="7">
        <v>-257499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5" t="s">
        <v>47</v>
      </c>
      <c r="Z393" s="6"/>
      <c r="AA393" s="5" t="s">
        <v>55</v>
      </c>
      <c r="AB393" s="5" t="s">
        <v>51</v>
      </c>
      <c r="AC393" s="5" t="s">
        <v>51</v>
      </c>
      <c r="AD393" s="5" t="s">
        <v>51</v>
      </c>
      <c r="AE393" s="5" t="s">
        <v>51</v>
      </c>
      <c r="AF393" s="5" t="s">
        <v>411</v>
      </c>
    </row>
    <row r="394" spans="1:32" ht="15.65" customHeight="1" x14ac:dyDescent="0.35">
      <c r="A394" s="5" t="s">
        <v>45</v>
      </c>
      <c r="B394" s="5" t="s">
        <v>359</v>
      </c>
      <c r="C394" s="5" t="s">
        <v>47</v>
      </c>
      <c r="D394" s="5">
        <v>3000251</v>
      </c>
      <c r="E394" s="11">
        <v>3001105</v>
      </c>
      <c r="F394" s="11" t="s">
        <v>360</v>
      </c>
      <c r="G394" s="5" t="s">
        <v>360</v>
      </c>
      <c r="H394" s="5" t="s">
        <v>54</v>
      </c>
      <c r="I394" s="5">
        <v>6960076</v>
      </c>
      <c r="J394" s="6">
        <v>46130</v>
      </c>
      <c r="K394" s="6">
        <v>46130</v>
      </c>
      <c r="L394" s="6">
        <v>46130</v>
      </c>
      <c r="M394" s="7">
        <v>2</v>
      </c>
      <c r="N394" s="7">
        <v>-1973915</v>
      </c>
      <c r="O394" s="7">
        <v>-1973915</v>
      </c>
      <c r="P394" s="7">
        <v>0</v>
      </c>
      <c r="Q394" s="7">
        <v>-1973915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5" t="s">
        <v>47</v>
      </c>
      <c r="Z394" s="6"/>
      <c r="AA394" s="5" t="s">
        <v>55</v>
      </c>
      <c r="AB394" s="5" t="s">
        <v>51</v>
      </c>
      <c r="AC394" s="5" t="s">
        <v>51</v>
      </c>
      <c r="AD394" s="5" t="s">
        <v>51</v>
      </c>
      <c r="AE394" s="5" t="s">
        <v>51</v>
      </c>
      <c r="AF394" s="5" t="s">
        <v>411</v>
      </c>
    </row>
    <row r="395" spans="1:32" ht="15.65" customHeight="1" x14ac:dyDescent="0.35">
      <c r="A395" s="5" t="s">
        <v>45</v>
      </c>
      <c r="B395" s="5" t="s">
        <v>359</v>
      </c>
      <c r="C395" s="5" t="s">
        <v>47</v>
      </c>
      <c r="D395" s="5">
        <v>3000251</v>
      </c>
      <c r="E395" s="11">
        <v>3001105</v>
      </c>
      <c r="F395" s="11" t="s">
        <v>360</v>
      </c>
      <c r="G395" s="5" t="s">
        <v>360</v>
      </c>
      <c r="H395" s="5" t="s">
        <v>54</v>
      </c>
      <c r="I395" s="5">
        <v>6960077</v>
      </c>
      <c r="J395" s="6">
        <v>46130</v>
      </c>
      <c r="K395" s="6">
        <v>46130</v>
      </c>
      <c r="L395" s="6">
        <v>46130</v>
      </c>
      <c r="M395" s="7">
        <v>2</v>
      </c>
      <c r="N395" s="7">
        <v>-3553337</v>
      </c>
      <c r="O395" s="7">
        <v>-3553337</v>
      </c>
      <c r="P395" s="7">
        <v>0</v>
      </c>
      <c r="Q395" s="7">
        <v>-3553337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5" t="s">
        <v>47</v>
      </c>
      <c r="Z395" s="6"/>
      <c r="AA395" s="5" t="s">
        <v>55</v>
      </c>
      <c r="AB395" s="5" t="s">
        <v>51</v>
      </c>
      <c r="AC395" s="5" t="s">
        <v>51</v>
      </c>
      <c r="AD395" s="5" t="s">
        <v>51</v>
      </c>
      <c r="AE395" s="5" t="s">
        <v>51</v>
      </c>
      <c r="AF395" s="5" t="s">
        <v>411</v>
      </c>
    </row>
    <row r="396" spans="1:32" ht="15.65" customHeight="1" x14ac:dyDescent="0.35">
      <c r="A396" s="5" t="s">
        <v>45</v>
      </c>
      <c r="B396" s="5" t="s">
        <v>359</v>
      </c>
      <c r="C396" s="5" t="s">
        <v>47</v>
      </c>
      <c r="D396" s="5">
        <v>3000251</v>
      </c>
      <c r="E396" s="11">
        <v>3000715</v>
      </c>
      <c r="F396" s="11" t="s">
        <v>360</v>
      </c>
      <c r="G396" s="5" t="s">
        <v>360</v>
      </c>
      <c r="H396" s="5" t="s">
        <v>54</v>
      </c>
      <c r="I396" s="5">
        <v>6960150</v>
      </c>
      <c r="J396" s="6">
        <v>46130</v>
      </c>
      <c r="K396" s="6">
        <v>46130</v>
      </c>
      <c r="L396" s="6">
        <v>46130</v>
      </c>
      <c r="M396" s="7">
        <v>2</v>
      </c>
      <c r="N396" s="7">
        <v>-20199734</v>
      </c>
      <c r="O396" s="7">
        <v>-20199734</v>
      </c>
      <c r="P396" s="7">
        <v>0</v>
      </c>
      <c r="Q396" s="7">
        <v>-20199734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5" t="s">
        <v>47</v>
      </c>
      <c r="Z396" s="6"/>
      <c r="AA396" s="5" t="s">
        <v>55</v>
      </c>
      <c r="AB396" s="5" t="s">
        <v>51</v>
      </c>
      <c r="AC396" s="5" t="s">
        <v>51</v>
      </c>
      <c r="AD396" s="5" t="s">
        <v>51</v>
      </c>
      <c r="AE396" s="5" t="s">
        <v>51</v>
      </c>
      <c r="AF396" s="5" t="s">
        <v>312</v>
      </c>
    </row>
    <row r="397" spans="1:32" ht="15.65" customHeight="1" x14ac:dyDescent="0.35">
      <c r="A397" s="5" t="s">
        <v>45</v>
      </c>
      <c r="B397" s="5" t="s">
        <v>359</v>
      </c>
      <c r="C397" s="5" t="s">
        <v>47</v>
      </c>
      <c r="D397" s="5">
        <v>3000251</v>
      </c>
      <c r="E397" s="11">
        <v>3000251</v>
      </c>
      <c r="F397" s="11" t="s">
        <v>360</v>
      </c>
      <c r="G397" s="5" t="s">
        <v>360</v>
      </c>
      <c r="H397" s="5" t="s">
        <v>54</v>
      </c>
      <c r="I397" s="5">
        <v>9909245</v>
      </c>
      <c r="J397" s="6">
        <v>46080</v>
      </c>
      <c r="K397" s="6">
        <v>46080</v>
      </c>
      <c r="L397" s="6">
        <v>46131</v>
      </c>
      <c r="M397" s="7">
        <v>1</v>
      </c>
      <c r="N397" s="7">
        <v>767162577</v>
      </c>
      <c r="O397" s="7">
        <v>0</v>
      </c>
      <c r="P397" s="7">
        <v>0</v>
      </c>
      <c r="Q397" s="7">
        <v>767162577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5" t="s">
        <v>47</v>
      </c>
      <c r="Z397" s="6"/>
      <c r="AA397" s="5" t="s">
        <v>55</v>
      </c>
      <c r="AB397" s="5" t="s">
        <v>51</v>
      </c>
      <c r="AC397" s="5" t="s">
        <v>51</v>
      </c>
      <c r="AD397" s="5" t="s">
        <v>51</v>
      </c>
      <c r="AE397" s="5" t="s">
        <v>51</v>
      </c>
      <c r="AF397" s="5" t="s">
        <v>413</v>
      </c>
    </row>
    <row r="398" spans="1:32" ht="15.65" customHeight="1" x14ac:dyDescent="0.35">
      <c r="A398" s="5" t="s">
        <v>45</v>
      </c>
      <c r="B398" s="5" t="s">
        <v>359</v>
      </c>
      <c r="C398" s="5" t="s">
        <v>47</v>
      </c>
      <c r="D398" s="5">
        <v>3000251</v>
      </c>
      <c r="E398" s="11">
        <v>3001105</v>
      </c>
      <c r="F398" s="11" t="s">
        <v>360</v>
      </c>
      <c r="G398" s="5" t="s">
        <v>360</v>
      </c>
      <c r="H398" s="5" t="s">
        <v>54</v>
      </c>
      <c r="I398" s="5">
        <v>9910514</v>
      </c>
      <c r="J398" s="6">
        <v>46081</v>
      </c>
      <c r="K398" s="6">
        <v>46081</v>
      </c>
      <c r="L398" s="6">
        <v>46132</v>
      </c>
      <c r="M398" s="7">
        <v>0</v>
      </c>
      <c r="N398" s="7">
        <v>474712286</v>
      </c>
      <c r="O398" s="7">
        <v>0</v>
      </c>
      <c r="P398" s="7">
        <v>474712286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5" t="s">
        <v>47</v>
      </c>
      <c r="Z398" s="6"/>
      <c r="AA398" s="5" t="s">
        <v>55</v>
      </c>
      <c r="AB398" s="5" t="s">
        <v>414</v>
      </c>
      <c r="AC398" s="5" t="s">
        <v>51</v>
      </c>
      <c r="AD398" s="5" t="s">
        <v>51</v>
      </c>
      <c r="AE398" s="5" t="s">
        <v>51</v>
      </c>
      <c r="AF398" s="5" t="s">
        <v>155</v>
      </c>
    </row>
    <row r="399" spans="1:32" ht="15.65" customHeight="1" x14ac:dyDescent="0.35">
      <c r="A399" s="5" t="s">
        <v>45</v>
      </c>
      <c r="B399" s="5" t="s">
        <v>359</v>
      </c>
      <c r="C399" s="5" t="s">
        <v>60</v>
      </c>
      <c r="D399" s="5">
        <v>3000251</v>
      </c>
      <c r="E399" s="11">
        <v>3100964</v>
      </c>
      <c r="F399" s="11" t="s">
        <v>360</v>
      </c>
      <c r="G399" s="5" t="s">
        <v>385</v>
      </c>
      <c r="H399" s="5" t="s">
        <v>54</v>
      </c>
      <c r="I399" s="5">
        <v>9910595</v>
      </c>
      <c r="J399" s="6">
        <v>46081</v>
      </c>
      <c r="K399" s="6">
        <v>46081</v>
      </c>
      <c r="L399" s="6">
        <v>46132</v>
      </c>
      <c r="M399" s="7">
        <v>0</v>
      </c>
      <c r="N399" s="7">
        <v>161461472</v>
      </c>
      <c r="O399" s="7">
        <v>0</v>
      </c>
      <c r="P399" s="7">
        <v>161461472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5" t="s">
        <v>60</v>
      </c>
      <c r="Z399" s="6"/>
      <c r="AA399" s="5" t="s">
        <v>55</v>
      </c>
      <c r="AB399" s="5" t="s">
        <v>415</v>
      </c>
      <c r="AC399" s="5" t="s">
        <v>51</v>
      </c>
      <c r="AD399" s="5" t="s">
        <v>51</v>
      </c>
      <c r="AE399" s="5" t="s">
        <v>51</v>
      </c>
      <c r="AF399" s="5" t="s">
        <v>77</v>
      </c>
    </row>
    <row r="400" spans="1:32" ht="15.65" customHeight="1" x14ac:dyDescent="0.35">
      <c r="A400" s="5" t="s">
        <v>45</v>
      </c>
      <c r="B400" s="5" t="s">
        <v>359</v>
      </c>
      <c r="C400" s="5" t="s">
        <v>60</v>
      </c>
      <c r="D400" s="5">
        <v>3000251</v>
      </c>
      <c r="E400" s="11">
        <v>3100964</v>
      </c>
      <c r="F400" s="11" t="s">
        <v>360</v>
      </c>
      <c r="G400" s="5" t="s">
        <v>385</v>
      </c>
      <c r="H400" s="5" t="s">
        <v>54</v>
      </c>
      <c r="I400" s="5">
        <v>9910596</v>
      </c>
      <c r="J400" s="6">
        <v>46081</v>
      </c>
      <c r="K400" s="6">
        <v>46081</v>
      </c>
      <c r="L400" s="6">
        <v>46132</v>
      </c>
      <c r="M400" s="7">
        <v>0</v>
      </c>
      <c r="N400" s="7">
        <v>1588170</v>
      </c>
      <c r="O400" s="7">
        <v>0</v>
      </c>
      <c r="P400" s="7">
        <v>1588170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5" t="s">
        <v>60</v>
      </c>
      <c r="Z400" s="6"/>
      <c r="AA400" s="5" t="s">
        <v>55</v>
      </c>
      <c r="AB400" s="5" t="s">
        <v>416</v>
      </c>
      <c r="AC400" s="5" t="s">
        <v>51</v>
      </c>
      <c r="AD400" s="5" t="s">
        <v>51</v>
      </c>
      <c r="AE400" s="5" t="s">
        <v>51</v>
      </c>
      <c r="AF400" s="5" t="s">
        <v>320</v>
      </c>
    </row>
    <row r="401" spans="1:32" ht="15.65" customHeight="1" x14ac:dyDescent="0.35">
      <c r="A401" s="5" t="s">
        <v>45</v>
      </c>
      <c r="B401" s="5" t="s">
        <v>359</v>
      </c>
      <c r="C401" s="5" t="s">
        <v>47</v>
      </c>
      <c r="D401" s="5">
        <v>3000251</v>
      </c>
      <c r="E401" s="11">
        <v>3100099</v>
      </c>
      <c r="F401" s="11" t="s">
        <v>360</v>
      </c>
      <c r="G401" s="5" t="s">
        <v>360</v>
      </c>
      <c r="H401" s="5" t="s">
        <v>140</v>
      </c>
      <c r="I401" s="5">
        <v>9911846</v>
      </c>
      <c r="J401" s="6">
        <v>46087</v>
      </c>
      <c r="K401" s="6">
        <v>46087</v>
      </c>
      <c r="L401" s="6">
        <v>46132</v>
      </c>
      <c r="M401" s="7">
        <v>0</v>
      </c>
      <c r="N401" s="7">
        <v>6950</v>
      </c>
      <c r="O401" s="7">
        <v>0</v>
      </c>
      <c r="P401" s="7">
        <v>6950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5" t="s">
        <v>47</v>
      </c>
      <c r="Z401" s="6"/>
      <c r="AA401" s="5" t="s">
        <v>55</v>
      </c>
      <c r="AB401" s="5" t="s">
        <v>417</v>
      </c>
      <c r="AC401" s="5" t="s">
        <v>51</v>
      </c>
      <c r="AD401" s="5" t="s">
        <v>51</v>
      </c>
      <c r="AE401" s="5" t="s">
        <v>51</v>
      </c>
      <c r="AF401" s="5" t="s">
        <v>418</v>
      </c>
    </row>
    <row r="402" spans="1:32" ht="15.65" customHeight="1" x14ac:dyDescent="0.35">
      <c r="A402" s="5" t="s">
        <v>45</v>
      </c>
      <c r="B402" s="5" t="s">
        <v>359</v>
      </c>
      <c r="C402" s="5" t="s">
        <v>47</v>
      </c>
      <c r="D402" s="5">
        <v>3000251</v>
      </c>
      <c r="E402" s="11">
        <v>3100099</v>
      </c>
      <c r="F402" s="11" t="s">
        <v>360</v>
      </c>
      <c r="G402" s="5" t="s">
        <v>360</v>
      </c>
      <c r="H402" s="5" t="s">
        <v>140</v>
      </c>
      <c r="I402" s="5">
        <v>9911847</v>
      </c>
      <c r="J402" s="6">
        <v>46087</v>
      </c>
      <c r="K402" s="6">
        <v>46087</v>
      </c>
      <c r="L402" s="6">
        <v>46132</v>
      </c>
      <c r="M402" s="7">
        <v>0</v>
      </c>
      <c r="N402" s="7">
        <v>15683</v>
      </c>
      <c r="O402" s="7">
        <v>0</v>
      </c>
      <c r="P402" s="7">
        <v>15683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5" t="s">
        <v>47</v>
      </c>
      <c r="Z402" s="6"/>
      <c r="AA402" s="5" t="s">
        <v>55</v>
      </c>
      <c r="AB402" s="5" t="s">
        <v>419</v>
      </c>
      <c r="AC402" s="5" t="s">
        <v>51</v>
      </c>
      <c r="AD402" s="5" t="s">
        <v>51</v>
      </c>
      <c r="AE402" s="5" t="s">
        <v>51</v>
      </c>
      <c r="AF402" s="5" t="s">
        <v>420</v>
      </c>
    </row>
    <row r="403" spans="1:32" ht="15.65" customHeight="1" x14ac:dyDescent="0.35">
      <c r="A403" s="5" t="s">
        <v>45</v>
      </c>
      <c r="B403" s="5" t="s">
        <v>371</v>
      </c>
      <c r="C403" s="5" t="s">
        <v>47</v>
      </c>
      <c r="D403" s="5">
        <v>3000251</v>
      </c>
      <c r="E403" s="11">
        <v>3100934</v>
      </c>
      <c r="F403" s="11" t="s">
        <v>360</v>
      </c>
      <c r="G403" s="5" t="s">
        <v>372</v>
      </c>
      <c r="H403" s="5" t="s">
        <v>140</v>
      </c>
      <c r="I403" s="5">
        <v>9911927</v>
      </c>
      <c r="J403" s="6">
        <v>46087</v>
      </c>
      <c r="K403" s="6">
        <v>46087</v>
      </c>
      <c r="L403" s="6">
        <v>46132</v>
      </c>
      <c r="M403" s="7">
        <v>0</v>
      </c>
      <c r="N403" s="7">
        <v>11814</v>
      </c>
      <c r="O403" s="7">
        <v>0</v>
      </c>
      <c r="P403" s="7">
        <v>11814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5" t="s">
        <v>47</v>
      </c>
      <c r="Z403" s="6"/>
      <c r="AA403" s="5" t="s">
        <v>55</v>
      </c>
      <c r="AB403" s="5" t="s">
        <v>421</v>
      </c>
      <c r="AC403" s="5" t="s">
        <v>51</v>
      </c>
      <c r="AD403" s="5" t="s">
        <v>51</v>
      </c>
      <c r="AE403" s="5" t="s">
        <v>51</v>
      </c>
      <c r="AF403" s="5" t="s">
        <v>399</v>
      </c>
    </row>
    <row r="404" spans="1:32" ht="15.65" customHeight="1" x14ac:dyDescent="0.35">
      <c r="A404" s="5" t="s">
        <v>45</v>
      </c>
      <c r="B404" s="5" t="s">
        <v>359</v>
      </c>
      <c r="C404" s="5" t="s">
        <v>47</v>
      </c>
      <c r="D404" s="5">
        <v>3000251</v>
      </c>
      <c r="E404" s="11">
        <v>3000333</v>
      </c>
      <c r="F404" s="11" t="s">
        <v>360</v>
      </c>
      <c r="G404" s="5" t="s">
        <v>375</v>
      </c>
      <c r="H404" s="5" t="s">
        <v>140</v>
      </c>
      <c r="I404" s="5">
        <v>9913385</v>
      </c>
      <c r="J404" s="6">
        <v>46092</v>
      </c>
      <c r="K404" s="6">
        <v>46092</v>
      </c>
      <c r="L404" s="6">
        <v>46137</v>
      </c>
      <c r="M404" s="7">
        <v>-5</v>
      </c>
      <c r="N404" s="7">
        <v>45053</v>
      </c>
      <c r="O404" s="7">
        <v>0</v>
      </c>
      <c r="P404" s="7">
        <v>45053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5" t="s">
        <v>47</v>
      </c>
      <c r="Z404" s="6"/>
      <c r="AA404" s="5" t="s">
        <v>55</v>
      </c>
      <c r="AB404" s="5" t="s">
        <v>51</v>
      </c>
      <c r="AC404" s="5" t="s">
        <v>422</v>
      </c>
      <c r="AD404" s="5" t="s">
        <v>51</v>
      </c>
      <c r="AE404" s="5" t="s">
        <v>51</v>
      </c>
      <c r="AF404" s="5" t="s">
        <v>423</v>
      </c>
    </row>
    <row r="405" spans="1:32" ht="15.65" customHeight="1" x14ac:dyDescent="0.35">
      <c r="A405" s="5" t="s">
        <v>45</v>
      </c>
      <c r="B405" s="5" t="s">
        <v>359</v>
      </c>
      <c r="C405" s="5" t="s">
        <v>47</v>
      </c>
      <c r="D405" s="5">
        <v>3000251</v>
      </c>
      <c r="E405" s="11">
        <v>3100963</v>
      </c>
      <c r="F405" s="11" t="s">
        <v>360</v>
      </c>
      <c r="G405" s="5" t="s">
        <v>385</v>
      </c>
      <c r="H405" s="5" t="s">
        <v>140</v>
      </c>
      <c r="I405" s="5">
        <v>9913387</v>
      </c>
      <c r="J405" s="6">
        <v>46092</v>
      </c>
      <c r="K405" s="6">
        <v>46092</v>
      </c>
      <c r="L405" s="6">
        <v>46137</v>
      </c>
      <c r="M405" s="7">
        <v>-5</v>
      </c>
      <c r="N405" s="7">
        <v>11342</v>
      </c>
      <c r="O405" s="7">
        <v>0</v>
      </c>
      <c r="P405" s="7">
        <v>11342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5" t="s">
        <v>47</v>
      </c>
      <c r="Z405" s="6"/>
      <c r="AA405" s="5" t="s">
        <v>55</v>
      </c>
      <c r="AB405" s="5" t="s">
        <v>51</v>
      </c>
      <c r="AC405" s="5" t="s">
        <v>424</v>
      </c>
      <c r="AD405" s="5" t="s">
        <v>51</v>
      </c>
      <c r="AE405" s="5" t="s">
        <v>51</v>
      </c>
      <c r="AF405" s="5" t="s">
        <v>341</v>
      </c>
    </row>
    <row r="406" spans="1:32" ht="15.65" customHeight="1" x14ac:dyDescent="0.35">
      <c r="A406" s="5" t="s">
        <v>45</v>
      </c>
      <c r="B406" s="5" t="s">
        <v>359</v>
      </c>
      <c r="C406" s="5" t="s">
        <v>47</v>
      </c>
      <c r="D406" s="5">
        <v>3000251</v>
      </c>
      <c r="E406" s="11">
        <v>3000826</v>
      </c>
      <c r="F406" s="11" t="s">
        <v>360</v>
      </c>
      <c r="G406" s="5" t="s">
        <v>360</v>
      </c>
      <c r="H406" s="5" t="s">
        <v>140</v>
      </c>
      <c r="I406" s="5">
        <v>9913399</v>
      </c>
      <c r="J406" s="6">
        <v>46092</v>
      </c>
      <c r="K406" s="6">
        <v>46092</v>
      </c>
      <c r="L406" s="6">
        <v>46137</v>
      </c>
      <c r="M406" s="7">
        <v>-5</v>
      </c>
      <c r="N406" s="7">
        <v>6380</v>
      </c>
      <c r="O406" s="7">
        <v>0</v>
      </c>
      <c r="P406" s="7">
        <v>6380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5" t="s">
        <v>47</v>
      </c>
      <c r="Z406" s="6"/>
      <c r="AA406" s="5" t="s">
        <v>55</v>
      </c>
      <c r="AB406" s="5" t="s">
        <v>51</v>
      </c>
      <c r="AC406" s="5" t="s">
        <v>425</v>
      </c>
      <c r="AD406" s="5" t="s">
        <v>51</v>
      </c>
      <c r="AE406" s="5" t="s">
        <v>51</v>
      </c>
      <c r="AF406" s="5" t="s">
        <v>426</v>
      </c>
    </row>
    <row r="407" spans="1:32" ht="15.65" customHeight="1" x14ac:dyDescent="0.35">
      <c r="A407" s="5" t="s">
        <v>45</v>
      </c>
      <c r="B407" s="5" t="s">
        <v>359</v>
      </c>
      <c r="C407" s="5" t="s">
        <v>60</v>
      </c>
      <c r="D407" s="5">
        <v>3000251</v>
      </c>
      <c r="E407" s="11">
        <v>3100639</v>
      </c>
      <c r="F407" s="11" t="s">
        <v>360</v>
      </c>
      <c r="G407" s="5" t="s">
        <v>360</v>
      </c>
      <c r="H407" s="5" t="s">
        <v>54</v>
      </c>
      <c r="I407" s="5">
        <v>9914268</v>
      </c>
      <c r="J407" s="6">
        <v>46093</v>
      </c>
      <c r="K407" s="6">
        <v>46093</v>
      </c>
      <c r="L407" s="6">
        <v>46139</v>
      </c>
      <c r="M407" s="7">
        <v>-7</v>
      </c>
      <c r="N407" s="7">
        <v>406745583</v>
      </c>
      <c r="O407" s="7">
        <v>0</v>
      </c>
      <c r="P407" s="7">
        <v>406745583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5" t="s">
        <v>60</v>
      </c>
      <c r="Z407" s="6"/>
      <c r="AA407" s="5" t="s">
        <v>55</v>
      </c>
      <c r="AB407" s="5" t="s">
        <v>51</v>
      </c>
      <c r="AC407" s="5" t="s">
        <v>427</v>
      </c>
      <c r="AD407" s="5" t="s">
        <v>51</v>
      </c>
      <c r="AE407" s="5" t="s">
        <v>51</v>
      </c>
      <c r="AF407" s="5" t="s">
        <v>183</v>
      </c>
    </row>
    <row r="408" spans="1:32" ht="15.65" customHeight="1" x14ac:dyDescent="0.35">
      <c r="A408" s="5" t="s">
        <v>45</v>
      </c>
      <c r="B408" s="5" t="s">
        <v>359</v>
      </c>
      <c r="C408" s="5" t="s">
        <v>47</v>
      </c>
      <c r="D408" s="5">
        <v>3000251</v>
      </c>
      <c r="E408" s="11">
        <v>3001105</v>
      </c>
      <c r="F408" s="11" t="s">
        <v>360</v>
      </c>
      <c r="G408" s="5" t="s">
        <v>360</v>
      </c>
      <c r="H408" s="5" t="s">
        <v>54</v>
      </c>
      <c r="I408" s="5">
        <v>9914911</v>
      </c>
      <c r="J408" s="6">
        <v>46094</v>
      </c>
      <c r="K408" s="6">
        <v>46094</v>
      </c>
      <c r="L408" s="6">
        <v>46145</v>
      </c>
      <c r="M408" s="7">
        <v>-13</v>
      </c>
      <c r="N408" s="7">
        <v>934221112</v>
      </c>
      <c r="O408" s="7">
        <v>0</v>
      </c>
      <c r="P408" s="7">
        <v>934221112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5" t="s">
        <v>47</v>
      </c>
      <c r="Z408" s="6"/>
      <c r="AA408" s="5" t="s">
        <v>55</v>
      </c>
      <c r="AB408" s="5" t="s">
        <v>51</v>
      </c>
      <c r="AC408" s="5" t="s">
        <v>51</v>
      </c>
      <c r="AD408" s="5" t="s">
        <v>428</v>
      </c>
      <c r="AE408" s="5" t="s">
        <v>51</v>
      </c>
      <c r="AF408" s="5" t="s">
        <v>429</v>
      </c>
    </row>
    <row r="409" spans="1:32" ht="15.65" customHeight="1" x14ac:dyDescent="0.35">
      <c r="A409" s="5" t="s">
        <v>45</v>
      </c>
      <c r="B409" s="5" t="s">
        <v>359</v>
      </c>
      <c r="C409" s="5" t="s">
        <v>430</v>
      </c>
      <c r="D409" s="5">
        <v>3000251</v>
      </c>
      <c r="E409" s="11">
        <v>3100785</v>
      </c>
      <c r="F409" s="11" t="s">
        <v>360</v>
      </c>
      <c r="G409" s="5" t="s">
        <v>360</v>
      </c>
      <c r="H409" s="5" t="s">
        <v>54</v>
      </c>
      <c r="I409" s="5">
        <v>9919603</v>
      </c>
      <c r="J409" s="6">
        <v>46109</v>
      </c>
      <c r="K409" s="6">
        <v>46109</v>
      </c>
      <c r="L409" s="6">
        <v>46155</v>
      </c>
      <c r="M409" s="7">
        <v>-23</v>
      </c>
      <c r="N409" s="7">
        <v>210953162</v>
      </c>
      <c r="O409" s="7">
        <v>0</v>
      </c>
      <c r="P409" s="7">
        <v>210953162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5" t="s">
        <v>430</v>
      </c>
      <c r="Z409" s="6"/>
      <c r="AA409" s="5" t="s">
        <v>55</v>
      </c>
      <c r="AB409" s="5" t="s">
        <v>51</v>
      </c>
      <c r="AC409" s="5" t="s">
        <v>51</v>
      </c>
      <c r="AD409" s="5" t="s">
        <v>51</v>
      </c>
      <c r="AE409" s="5" t="s">
        <v>431</v>
      </c>
      <c r="AF409" s="5" t="s">
        <v>285</v>
      </c>
    </row>
    <row r="410" spans="1:32" ht="15.65" customHeight="1" x14ac:dyDescent="0.35">
      <c r="A410" s="5" t="s">
        <v>45</v>
      </c>
      <c r="B410" s="5" t="s">
        <v>359</v>
      </c>
      <c r="C410" s="5" t="s">
        <v>430</v>
      </c>
      <c r="D410" s="5">
        <v>3000251</v>
      </c>
      <c r="E410" s="11">
        <v>3100965</v>
      </c>
      <c r="F410" s="11" t="s">
        <v>360</v>
      </c>
      <c r="G410" s="5" t="s">
        <v>385</v>
      </c>
      <c r="H410" s="5" t="s">
        <v>54</v>
      </c>
      <c r="I410" s="5">
        <v>9920127</v>
      </c>
      <c r="J410" s="6">
        <v>46111</v>
      </c>
      <c r="K410" s="6">
        <v>46111</v>
      </c>
      <c r="L410" s="6">
        <v>46157</v>
      </c>
      <c r="M410" s="7">
        <v>-25</v>
      </c>
      <c r="N410" s="7">
        <v>61696945</v>
      </c>
      <c r="O410" s="7">
        <v>0</v>
      </c>
      <c r="P410" s="7">
        <v>61696945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5" t="s">
        <v>430</v>
      </c>
      <c r="Z410" s="6"/>
      <c r="AA410" s="5" t="s">
        <v>55</v>
      </c>
      <c r="AB410" s="5" t="s">
        <v>51</v>
      </c>
      <c r="AC410" s="5" t="s">
        <v>51</v>
      </c>
      <c r="AD410" s="5" t="s">
        <v>51</v>
      </c>
      <c r="AE410" s="5" t="s">
        <v>432</v>
      </c>
      <c r="AF410" s="5" t="s">
        <v>303</v>
      </c>
    </row>
    <row r="411" spans="1:32" ht="15.65" customHeight="1" x14ac:dyDescent="0.35">
      <c r="A411" s="5" t="s">
        <v>45</v>
      </c>
      <c r="B411" s="5" t="s">
        <v>359</v>
      </c>
      <c r="C411" s="5" t="s">
        <v>60</v>
      </c>
      <c r="D411" s="5">
        <v>3000251</v>
      </c>
      <c r="E411" s="11">
        <v>3100759</v>
      </c>
      <c r="F411" s="11" t="s">
        <v>360</v>
      </c>
      <c r="G411" s="5" t="s">
        <v>360</v>
      </c>
      <c r="H411" s="5" t="s">
        <v>54</v>
      </c>
      <c r="I411" s="5">
        <v>9920844</v>
      </c>
      <c r="J411" s="6">
        <v>46112</v>
      </c>
      <c r="K411" s="6">
        <v>46112</v>
      </c>
      <c r="L411" s="6">
        <v>46158</v>
      </c>
      <c r="M411" s="7">
        <v>-26</v>
      </c>
      <c r="N411" s="7">
        <v>189877008</v>
      </c>
      <c r="O411" s="7">
        <v>0</v>
      </c>
      <c r="P411" s="7">
        <v>189877008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5" t="s">
        <v>60</v>
      </c>
      <c r="Z411" s="6"/>
      <c r="AA411" s="5" t="s">
        <v>55</v>
      </c>
      <c r="AB411" s="5" t="s">
        <v>51</v>
      </c>
      <c r="AC411" s="5" t="s">
        <v>51</v>
      </c>
      <c r="AD411" s="5" t="s">
        <v>51</v>
      </c>
      <c r="AE411" s="5" t="s">
        <v>433</v>
      </c>
      <c r="AF411" s="5" t="s">
        <v>434</v>
      </c>
    </row>
    <row r="412" spans="1:32" ht="15.65" customHeight="1" x14ac:dyDescent="0.35">
      <c r="A412" s="5" t="s">
        <v>45</v>
      </c>
      <c r="B412" s="5" t="s">
        <v>371</v>
      </c>
      <c r="C412" s="5" t="s">
        <v>60</v>
      </c>
      <c r="D412" s="5">
        <v>3000251</v>
      </c>
      <c r="E412" s="11">
        <v>3100935</v>
      </c>
      <c r="F412" s="11" t="s">
        <v>360</v>
      </c>
      <c r="G412" s="5" t="s">
        <v>372</v>
      </c>
      <c r="H412" s="5" t="s">
        <v>54</v>
      </c>
      <c r="I412" s="5">
        <v>9920847</v>
      </c>
      <c r="J412" s="6">
        <v>46112</v>
      </c>
      <c r="K412" s="6">
        <v>46112</v>
      </c>
      <c r="L412" s="6">
        <v>46158</v>
      </c>
      <c r="M412" s="7">
        <v>-26</v>
      </c>
      <c r="N412" s="7">
        <v>174545355</v>
      </c>
      <c r="O412" s="7">
        <v>0</v>
      </c>
      <c r="P412" s="7">
        <v>174545355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5" t="s">
        <v>60</v>
      </c>
      <c r="Z412" s="6"/>
      <c r="AA412" s="5" t="s">
        <v>55</v>
      </c>
      <c r="AB412" s="5" t="s">
        <v>51</v>
      </c>
      <c r="AC412" s="5" t="s">
        <v>51</v>
      </c>
      <c r="AD412" s="5" t="s">
        <v>51</v>
      </c>
      <c r="AE412" s="5" t="s">
        <v>435</v>
      </c>
      <c r="AF412" s="5" t="s">
        <v>436</v>
      </c>
    </row>
    <row r="413" spans="1:32" ht="15.65" customHeight="1" x14ac:dyDescent="0.35">
      <c r="A413" s="5" t="s">
        <v>45</v>
      </c>
      <c r="B413" s="5" t="s">
        <v>359</v>
      </c>
      <c r="C413" s="5" t="s">
        <v>430</v>
      </c>
      <c r="D413" s="5">
        <v>3000251</v>
      </c>
      <c r="E413" s="11">
        <v>3100782</v>
      </c>
      <c r="F413" s="11" t="s">
        <v>360</v>
      </c>
      <c r="G413" s="5" t="s">
        <v>360</v>
      </c>
      <c r="H413" s="5" t="s">
        <v>54</v>
      </c>
      <c r="I413" s="5">
        <v>9920851</v>
      </c>
      <c r="J413" s="6">
        <v>46112</v>
      </c>
      <c r="K413" s="6">
        <v>46112</v>
      </c>
      <c r="L413" s="6">
        <v>46158</v>
      </c>
      <c r="M413" s="7">
        <v>-26</v>
      </c>
      <c r="N413" s="7">
        <v>211474963</v>
      </c>
      <c r="O413" s="7">
        <v>0</v>
      </c>
      <c r="P413" s="7">
        <v>211474963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5" t="s">
        <v>430</v>
      </c>
      <c r="Z413" s="6"/>
      <c r="AA413" s="5" t="s">
        <v>55</v>
      </c>
      <c r="AB413" s="5" t="s">
        <v>51</v>
      </c>
      <c r="AC413" s="5" t="s">
        <v>51</v>
      </c>
      <c r="AD413" s="5" t="s">
        <v>51</v>
      </c>
      <c r="AE413" s="5" t="s">
        <v>437</v>
      </c>
      <c r="AF413" s="5" t="s">
        <v>153</v>
      </c>
    </row>
    <row r="414" spans="1:32" ht="15.65" customHeight="1" x14ac:dyDescent="0.35">
      <c r="A414" s="5" t="s">
        <v>45</v>
      </c>
      <c r="B414" s="5" t="s">
        <v>359</v>
      </c>
      <c r="C414" s="5" t="s">
        <v>430</v>
      </c>
      <c r="D414" s="5">
        <v>3000251</v>
      </c>
      <c r="E414" s="11">
        <v>3100782</v>
      </c>
      <c r="F414" s="11" t="s">
        <v>360</v>
      </c>
      <c r="G414" s="5" t="s">
        <v>360</v>
      </c>
      <c r="H414" s="5" t="s">
        <v>54</v>
      </c>
      <c r="I414" s="5">
        <v>9920853</v>
      </c>
      <c r="J414" s="6">
        <v>46112</v>
      </c>
      <c r="K414" s="6">
        <v>46112</v>
      </c>
      <c r="L414" s="6">
        <v>46158</v>
      </c>
      <c r="M414" s="7">
        <v>-26</v>
      </c>
      <c r="N414" s="7">
        <v>7248198</v>
      </c>
      <c r="O414" s="7">
        <v>0</v>
      </c>
      <c r="P414" s="7">
        <v>7248198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5" t="s">
        <v>430</v>
      </c>
      <c r="Z414" s="6"/>
      <c r="AA414" s="5" t="s">
        <v>55</v>
      </c>
      <c r="AB414" s="5" t="s">
        <v>51</v>
      </c>
      <c r="AC414" s="5" t="s">
        <v>51</v>
      </c>
      <c r="AD414" s="5" t="s">
        <v>51</v>
      </c>
      <c r="AE414" s="5" t="s">
        <v>438</v>
      </c>
      <c r="AF414" s="5" t="s">
        <v>281</v>
      </c>
    </row>
    <row r="415" spans="1:32" ht="15.65" customHeight="1" x14ac:dyDescent="0.35">
      <c r="A415" s="5" t="s">
        <v>45</v>
      </c>
      <c r="B415" s="5" t="s">
        <v>359</v>
      </c>
      <c r="C415" s="5" t="s">
        <v>430</v>
      </c>
      <c r="D415" s="5">
        <v>3000251</v>
      </c>
      <c r="E415" s="11">
        <v>3100784</v>
      </c>
      <c r="F415" s="11" t="s">
        <v>360</v>
      </c>
      <c r="G415" s="5" t="s">
        <v>382</v>
      </c>
      <c r="H415" s="5" t="s">
        <v>54</v>
      </c>
      <c r="I415" s="5">
        <v>9920859</v>
      </c>
      <c r="J415" s="6">
        <v>46112</v>
      </c>
      <c r="K415" s="6">
        <v>46112</v>
      </c>
      <c r="L415" s="6">
        <v>46158</v>
      </c>
      <c r="M415" s="7">
        <v>-26</v>
      </c>
      <c r="N415" s="7">
        <v>135646272</v>
      </c>
      <c r="O415" s="7">
        <v>0</v>
      </c>
      <c r="P415" s="7">
        <v>135646272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5" t="s">
        <v>430</v>
      </c>
      <c r="Z415" s="6"/>
      <c r="AA415" s="5" t="s">
        <v>55</v>
      </c>
      <c r="AB415" s="5" t="s">
        <v>51</v>
      </c>
      <c r="AC415" s="5" t="s">
        <v>51</v>
      </c>
      <c r="AD415" s="5" t="s">
        <v>51</v>
      </c>
      <c r="AE415" s="5" t="s">
        <v>439</v>
      </c>
      <c r="AF415" s="5" t="s">
        <v>440</v>
      </c>
    </row>
    <row r="416" spans="1:32" ht="15.65" customHeight="1" x14ac:dyDescent="0.35">
      <c r="A416" s="5" t="s">
        <v>45</v>
      </c>
      <c r="B416" s="5" t="s">
        <v>359</v>
      </c>
      <c r="C416" s="5" t="s">
        <v>47</v>
      </c>
      <c r="D416" s="5">
        <v>3000251</v>
      </c>
      <c r="E416" s="11">
        <v>3000251</v>
      </c>
      <c r="F416" s="11" t="s">
        <v>360</v>
      </c>
      <c r="G416" s="5" t="s">
        <v>360</v>
      </c>
      <c r="H416" s="5" t="s">
        <v>54</v>
      </c>
      <c r="I416" s="5">
        <v>9920888</v>
      </c>
      <c r="J416" s="6">
        <v>46112</v>
      </c>
      <c r="K416" s="6">
        <v>46112</v>
      </c>
      <c r="L416" s="6">
        <v>46163</v>
      </c>
      <c r="M416" s="7">
        <v>-31</v>
      </c>
      <c r="N416" s="7">
        <v>147474172</v>
      </c>
      <c r="O416" s="7">
        <v>0</v>
      </c>
      <c r="P416" s="7">
        <v>147474172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5" t="s">
        <v>47</v>
      </c>
      <c r="Z416" s="6"/>
      <c r="AA416" s="5" t="s">
        <v>55</v>
      </c>
      <c r="AB416" s="5" t="s">
        <v>51</v>
      </c>
      <c r="AC416" s="5" t="s">
        <v>51</v>
      </c>
      <c r="AD416" s="5" t="s">
        <v>51</v>
      </c>
      <c r="AE416" s="5" t="s">
        <v>441</v>
      </c>
      <c r="AF416" s="5" t="s">
        <v>442</v>
      </c>
    </row>
    <row r="417" spans="1:32" ht="15.65" customHeight="1" x14ac:dyDescent="0.35">
      <c r="A417" s="5" t="s">
        <v>45</v>
      </c>
      <c r="B417" s="5" t="s">
        <v>359</v>
      </c>
      <c r="C417" s="5" t="s">
        <v>47</v>
      </c>
      <c r="D417" s="5">
        <v>3000251</v>
      </c>
      <c r="E417" s="11">
        <v>3000251</v>
      </c>
      <c r="F417" s="11" t="s">
        <v>360</v>
      </c>
      <c r="G417" s="5" t="s">
        <v>360</v>
      </c>
      <c r="H417" s="5" t="s">
        <v>54</v>
      </c>
      <c r="I417" s="5">
        <v>9920892</v>
      </c>
      <c r="J417" s="6">
        <v>46112</v>
      </c>
      <c r="K417" s="6">
        <v>46112</v>
      </c>
      <c r="L417" s="6">
        <v>46163</v>
      </c>
      <c r="M417" s="7">
        <v>-31</v>
      </c>
      <c r="N417" s="7">
        <v>558450966</v>
      </c>
      <c r="O417" s="7">
        <v>0</v>
      </c>
      <c r="P417" s="7">
        <v>558450966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5" t="s">
        <v>47</v>
      </c>
      <c r="Z417" s="6"/>
      <c r="AA417" s="5" t="s">
        <v>55</v>
      </c>
      <c r="AB417" s="5" t="s">
        <v>51</v>
      </c>
      <c r="AC417" s="5" t="s">
        <v>51</v>
      </c>
      <c r="AD417" s="5" t="s">
        <v>51</v>
      </c>
      <c r="AE417" s="5" t="s">
        <v>443</v>
      </c>
      <c r="AF417" s="5" t="s">
        <v>396</v>
      </c>
    </row>
    <row r="418" spans="1:32" ht="15.65" customHeight="1" x14ac:dyDescent="0.35">
      <c r="A418" s="5" t="s">
        <v>45</v>
      </c>
      <c r="B418" s="5" t="s">
        <v>359</v>
      </c>
      <c r="C418" s="5" t="s">
        <v>430</v>
      </c>
      <c r="D418" s="5">
        <v>3000251</v>
      </c>
      <c r="E418" s="11">
        <v>3100786</v>
      </c>
      <c r="F418" s="11" t="s">
        <v>360</v>
      </c>
      <c r="G418" s="5" t="s">
        <v>444</v>
      </c>
      <c r="H418" s="5" t="s">
        <v>54</v>
      </c>
      <c r="I418" s="5">
        <v>9920900</v>
      </c>
      <c r="J418" s="6">
        <v>46112</v>
      </c>
      <c r="K418" s="6">
        <v>46112</v>
      </c>
      <c r="L418" s="6">
        <v>46157</v>
      </c>
      <c r="M418" s="7">
        <v>-25</v>
      </c>
      <c r="N418" s="7">
        <v>355284690</v>
      </c>
      <c r="O418" s="7">
        <v>0</v>
      </c>
      <c r="P418" s="7">
        <v>355284690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5" t="s">
        <v>430</v>
      </c>
      <c r="Z418" s="6"/>
      <c r="AA418" s="5" t="s">
        <v>55</v>
      </c>
      <c r="AB418" s="5" t="s">
        <v>51</v>
      </c>
      <c r="AC418" s="5" t="s">
        <v>51</v>
      </c>
      <c r="AD418" s="5" t="s">
        <v>51</v>
      </c>
      <c r="AE418" s="5" t="s">
        <v>445</v>
      </c>
      <c r="AF418" s="5" t="s">
        <v>352</v>
      </c>
    </row>
    <row r="419" spans="1:32" ht="15.65" customHeight="1" x14ac:dyDescent="0.35">
      <c r="A419" s="5" t="s">
        <v>45</v>
      </c>
      <c r="B419" s="5" t="s">
        <v>359</v>
      </c>
      <c r="C419" s="5" t="s">
        <v>47</v>
      </c>
      <c r="D419" s="5">
        <v>3000251</v>
      </c>
      <c r="E419" s="11">
        <v>3000251</v>
      </c>
      <c r="F419" s="11" t="s">
        <v>360</v>
      </c>
      <c r="G419" s="5" t="s">
        <v>360</v>
      </c>
      <c r="H419" s="5" t="s">
        <v>54</v>
      </c>
      <c r="I419" s="5">
        <v>9920903</v>
      </c>
      <c r="J419" s="6">
        <v>46112</v>
      </c>
      <c r="K419" s="6">
        <v>46112</v>
      </c>
      <c r="L419" s="6">
        <v>46163</v>
      </c>
      <c r="M419" s="7">
        <v>-31</v>
      </c>
      <c r="N419" s="7">
        <v>322078</v>
      </c>
      <c r="O419" s="7">
        <v>0</v>
      </c>
      <c r="P419" s="7">
        <v>322078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5" t="s">
        <v>47</v>
      </c>
      <c r="Z419" s="6"/>
      <c r="AA419" s="5" t="s">
        <v>55</v>
      </c>
      <c r="AB419" s="5" t="s">
        <v>51</v>
      </c>
      <c r="AC419" s="5" t="s">
        <v>51</v>
      </c>
      <c r="AD419" s="5" t="s">
        <v>51</v>
      </c>
      <c r="AE419" s="5" t="s">
        <v>446</v>
      </c>
      <c r="AF419" s="5" t="s">
        <v>163</v>
      </c>
    </row>
    <row r="420" spans="1:32" ht="15.65" customHeight="1" x14ac:dyDescent="0.35">
      <c r="A420" s="5" t="s">
        <v>45</v>
      </c>
      <c r="B420" s="5" t="s">
        <v>359</v>
      </c>
      <c r="C420" s="5" t="s">
        <v>430</v>
      </c>
      <c r="D420" s="5">
        <v>3000251</v>
      </c>
      <c r="E420" s="11">
        <v>3100787</v>
      </c>
      <c r="F420" s="11" t="s">
        <v>360</v>
      </c>
      <c r="G420" s="5" t="s">
        <v>360</v>
      </c>
      <c r="H420" s="5" t="s">
        <v>54</v>
      </c>
      <c r="I420" s="5">
        <v>9920905</v>
      </c>
      <c r="J420" s="6">
        <v>46112</v>
      </c>
      <c r="K420" s="6">
        <v>46112</v>
      </c>
      <c r="L420" s="6">
        <v>46158</v>
      </c>
      <c r="M420" s="7">
        <v>-26</v>
      </c>
      <c r="N420" s="7">
        <v>276515612</v>
      </c>
      <c r="O420" s="7">
        <v>0</v>
      </c>
      <c r="P420" s="7">
        <v>276515612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5" t="s">
        <v>430</v>
      </c>
      <c r="Z420" s="6"/>
      <c r="AA420" s="5" t="s">
        <v>55</v>
      </c>
      <c r="AB420" s="5" t="s">
        <v>51</v>
      </c>
      <c r="AC420" s="5" t="s">
        <v>51</v>
      </c>
      <c r="AD420" s="5" t="s">
        <v>51</v>
      </c>
      <c r="AE420" s="5" t="s">
        <v>447</v>
      </c>
      <c r="AF420" s="5" t="s">
        <v>161</v>
      </c>
    </row>
    <row r="421" spans="1:32" ht="15.65" customHeight="1" x14ac:dyDescent="0.35">
      <c r="A421" s="5" t="s">
        <v>45</v>
      </c>
      <c r="B421" s="5" t="s">
        <v>359</v>
      </c>
      <c r="C421" s="5" t="s">
        <v>430</v>
      </c>
      <c r="D421" s="5">
        <v>3000251</v>
      </c>
      <c r="E421" s="11">
        <v>3100787</v>
      </c>
      <c r="F421" s="11" t="s">
        <v>360</v>
      </c>
      <c r="G421" s="5" t="s">
        <v>360</v>
      </c>
      <c r="H421" s="5" t="s">
        <v>54</v>
      </c>
      <c r="I421" s="5">
        <v>9920907</v>
      </c>
      <c r="J421" s="6">
        <v>46112</v>
      </c>
      <c r="K421" s="6">
        <v>46112</v>
      </c>
      <c r="L421" s="6">
        <v>46158</v>
      </c>
      <c r="M421" s="7">
        <v>-26</v>
      </c>
      <c r="N421" s="7">
        <v>1588170</v>
      </c>
      <c r="O421" s="7">
        <v>0</v>
      </c>
      <c r="P421" s="7">
        <v>1588170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5" t="s">
        <v>430</v>
      </c>
      <c r="Z421" s="6"/>
      <c r="AA421" s="5" t="s">
        <v>55</v>
      </c>
      <c r="AB421" s="5" t="s">
        <v>51</v>
      </c>
      <c r="AC421" s="5" t="s">
        <v>51</v>
      </c>
      <c r="AD421" s="5" t="s">
        <v>51</v>
      </c>
      <c r="AE421" s="5" t="s">
        <v>416</v>
      </c>
      <c r="AF421" s="5" t="s">
        <v>320</v>
      </c>
    </row>
    <row r="422" spans="1:32" ht="15.65" customHeight="1" x14ac:dyDescent="0.35">
      <c r="A422" s="5" t="s">
        <v>45</v>
      </c>
      <c r="B422" s="5" t="s">
        <v>359</v>
      </c>
      <c r="C422" s="5" t="s">
        <v>60</v>
      </c>
      <c r="D422" s="5">
        <v>3000251</v>
      </c>
      <c r="E422" s="11">
        <v>3100757</v>
      </c>
      <c r="F422" s="11" t="s">
        <v>360</v>
      </c>
      <c r="G422" s="5" t="s">
        <v>360</v>
      </c>
      <c r="H422" s="5" t="s">
        <v>54</v>
      </c>
      <c r="I422" s="5">
        <v>9920909</v>
      </c>
      <c r="J422" s="6">
        <v>46112</v>
      </c>
      <c r="K422" s="6">
        <v>46112</v>
      </c>
      <c r="L422" s="6">
        <v>46157</v>
      </c>
      <c r="M422" s="7">
        <v>-25</v>
      </c>
      <c r="N422" s="7">
        <v>278820671</v>
      </c>
      <c r="O422" s="7">
        <v>0</v>
      </c>
      <c r="P422" s="7">
        <v>278820671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5" t="s">
        <v>60</v>
      </c>
      <c r="Z422" s="6"/>
      <c r="AA422" s="5" t="s">
        <v>55</v>
      </c>
      <c r="AB422" s="5" t="s">
        <v>51</v>
      </c>
      <c r="AC422" s="5" t="s">
        <v>51</v>
      </c>
      <c r="AD422" s="5" t="s">
        <v>51</v>
      </c>
      <c r="AE422" s="5" t="s">
        <v>448</v>
      </c>
      <c r="AF422" s="5" t="s">
        <v>69</v>
      </c>
    </row>
    <row r="423" spans="1:32" ht="15.65" customHeight="1" x14ac:dyDescent="0.35">
      <c r="A423" s="5" t="s">
        <v>45</v>
      </c>
      <c r="B423" s="5" t="s">
        <v>359</v>
      </c>
      <c r="C423" s="5" t="s">
        <v>47</v>
      </c>
      <c r="D423" s="5">
        <v>3000251</v>
      </c>
      <c r="E423" s="11">
        <v>3000251</v>
      </c>
      <c r="F423" s="11" t="s">
        <v>360</v>
      </c>
      <c r="G423" s="5" t="s">
        <v>360</v>
      </c>
      <c r="H423" s="5" t="s">
        <v>54</v>
      </c>
      <c r="I423" s="5">
        <v>9921528</v>
      </c>
      <c r="J423" s="6">
        <v>46112</v>
      </c>
      <c r="K423" s="6">
        <v>46112</v>
      </c>
      <c r="L423" s="6">
        <v>46163</v>
      </c>
      <c r="M423" s="7">
        <v>-31</v>
      </c>
      <c r="N423" s="7">
        <v>369262915</v>
      </c>
      <c r="O423" s="7">
        <v>0</v>
      </c>
      <c r="P423" s="7">
        <v>369262915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5" t="s">
        <v>47</v>
      </c>
      <c r="Z423" s="6"/>
      <c r="AA423" s="5" t="s">
        <v>55</v>
      </c>
      <c r="AB423" s="5" t="s">
        <v>51</v>
      </c>
      <c r="AC423" s="5" t="s">
        <v>51</v>
      </c>
      <c r="AD423" s="5" t="s">
        <v>51</v>
      </c>
      <c r="AE423" s="5" t="s">
        <v>449</v>
      </c>
      <c r="AF423" s="5" t="s">
        <v>450</v>
      </c>
    </row>
    <row r="424" spans="1:32" ht="15.65" customHeight="1" x14ac:dyDescent="0.35">
      <c r="A424" s="5" t="s">
        <v>45</v>
      </c>
      <c r="B424" s="5" t="s">
        <v>359</v>
      </c>
      <c r="C424" s="5" t="s">
        <v>47</v>
      </c>
      <c r="D424" s="5">
        <v>3000251</v>
      </c>
      <c r="E424" s="5">
        <v>3001105</v>
      </c>
      <c r="F424" s="5" t="s">
        <v>360</v>
      </c>
      <c r="G424" s="5" t="s">
        <v>360</v>
      </c>
      <c r="H424" s="5" t="s">
        <v>54</v>
      </c>
      <c r="I424" s="5">
        <v>9922239</v>
      </c>
      <c r="J424" s="6">
        <v>46118</v>
      </c>
      <c r="K424" s="6">
        <v>46118</v>
      </c>
      <c r="L424" s="6">
        <v>46169</v>
      </c>
      <c r="M424" s="7">
        <v>-37</v>
      </c>
      <c r="N424" s="7">
        <v>531441928</v>
      </c>
      <c r="O424" s="7">
        <v>0</v>
      </c>
      <c r="P424" s="7">
        <v>531441928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5" t="s">
        <v>47</v>
      </c>
      <c r="Z424" s="6"/>
      <c r="AA424" s="5" t="s">
        <v>55</v>
      </c>
      <c r="AB424" s="5" t="s">
        <v>51</v>
      </c>
      <c r="AC424" s="5" t="s">
        <v>51</v>
      </c>
      <c r="AD424" s="5" t="s">
        <v>51</v>
      </c>
      <c r="AE424" s="5" t="s">
        <v>451</v>
      </c>
      <c r="AF424" s="5" t="s">
        <v>452</v>
      </c>
    </row>
    <row r="425" spans="1:32" ht="15.65" customHeight="1" x14ac:dyDescent="0.35">
      <c r="A425" s="5" t="s">
        <v>45</v>
      </c>
      <c r="B425" s="5" t="s">
        <v>359</v>
      </c>
      <c r="C425" s="5" t="s">
        <v>47</v>
      </c>
      <c r="D425" s="5">
        <v>3000251</v>
      </c>
      <c r="E425" s="11">
        <v>3100098</v>
      </c>
      <c r="F425" s="11" t="s">
        <v>360</v>
      </c>
      <c r="G425" s="5" t="s">
        <v>360</v>
      </c>
      <c r="H425" s="5" t="s">
        <v>54</v>
      </c>
      <c r="I425" s="5">
        <v>9922240</v>
      </c>
      <c r="J425" s="6">
        <v>46118</v>
      </c>
      <c r="K425" s="6">
        <v>46118</v>
      </c>
      <c r="L425" s="6">
        <v>46169</v>
      </c>
      <c r="M425" s="7">
        <v>-37</v>
      </c>
      <c r="N425" s="7">
        <v>211880087</v>
      </c>
      <c r="O425" s="7">
        <v>0</v>
      </c>
      <c r="P425" s="7">
        <v>211880087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5" t="s">
        <v>47</v>
      </c>
      <c r="Z425" s="6"/>
      <c r="AA425" s="5" t="s">
        <v>55</v>
      </c>
      <c r="AB425" s="5" t="s">
        <v>51</v>
      </c>
      <c r="AC425" s="5" t="s">
        <v>51</v>
      </c>
      <c r="AD425" s="5" t="s">
        <v>51</v>
      </c>
      <c r="AE425" s="5" t="s">
        <v>453</v>
      </c>
      <c r="AF425" s="5" t="s">
        <v>69</v>
      </c>
    </row>
    <row r="426" spans="1:32" ht="15.65" customHeight="1" x14ac:dyDescent="0.35">
      <c r="A426" s="5" t="s">
        <v>45</v>
      </c>
      <c r="B426" s="5" t="s">
        <v>359</v>
      </c>
      <c r="C426" s="5" t="s">
        <v>47</v>
      </c>
      <c r="D426" s="5">
        <v>3000251</v>
      </c>
      <c r="E426" s="11">
        <v>3001105</v>
      </c>
      <c r="F426" s="11" t="s">
        <v>360</v>
      </c>
      <c r="G426" s="5" t="s">
        <v>360</v>
      </c>
      <c r="H426" s="5" t="s">
        <v>54</v>
      </c>
      <c r="I426" s="5">
        <v>9922242</v>
      </c>
      <c r="J426" s="6">
        <v>46118</v>
      </c>
      <c r="K426" s="6">
        <v>46118</v>
      </c>
      <c r="L426" s="6">
        <v>46169</v>
      </c>
      <c r="M426" s="7">
        <v>-37</v>
      </c>
      <c r="N426" s="7">
        <v>862896</v>
      </c>
      <c r="O426" s="7">
        <v>0</v>
      </c>
      <c r="P426" s="7">
        <v>862896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5" t="s">
        <v>47</v>
      </c>
      <c r="Z426" s="6"/>
      <c r="AA426" s="5" t="s">
        <v>55</v>
      </c>
      <c r="AB426" s="5" t="s">
        <v>51</v>
      </c>
      <c r="AC426" s="5" t="s">
        <v>51</v>
      </c>
      <c r="AD426" s="5" t="s">
        <v>51</v>
      </c>
      <c r="AE426" s="5" t="s">
        <v>454</v>
      </c>
      <c r="AF426" s="5" t="s">
        <v>455</v>
      </c>
    </row>
    <row r="427" spans="1:32" ht="15.65" customHeight="1" x14ac:dyDescent="0.35">
      <c r="A427" s="5" t="s">
        <v>45</v>
      </c>
      <c r="B427" s="5" t="s">
        <v>359</v>
      </c>
      <c r="C427" s="5" t="s">
        <v>47</v>
      </c>
      <c r="D427" s="5">
        <v>3000251</v>
      </c>
      <c r="E427" s="5">
        <v>3100098</v>
      </c>
      <c r="F427" s="5" t="s">
        <v>360</v>
      </c>
      <c r="G427" s="5" t="s">
        <v>360</v>
      </c>
      <c r="H427" s="5" t="s">
        <v>54</v>
      </c>
      <c r="I427" s="5">
        <v>9922243</v>
      </c>
      <c r="J427" s="6">
        <v>46118</v>
      </c>
      <c r="K427" s="6">
        <v>46118</v>
      </c>
      <c r="L427" s="6">
        <v>46169</v>
      </c>
      <c r="M427" s="7">
        <v>-37</v>
      </c>
      <c r="N427" s="7">
        <v>1588170</v>
      </c>
      <c r="O427" s="7">
        <v>0</v>
      </c>
      <c r="P427" s="7">
        <v>1588170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5" t="s">
        <v>47</v>
      </c>
      <c r="Z427" s="6"/>
      <c r="AA427" s="5" t="s">
        <v>55</v>
      </c>
      <c r="AB427" s="5" t="s">
        <v>51</v>
      </c>
      <c r="AC427" s="5" t="s">
        <v>51</v>
      </c>
      <c r="AD427" s="5" t="s">
        <v>51</v>
      </c>
      <c r="AE427" s="5" t="s">
        <v>416</v>
      </c>
      <c r="AF427" s="5" t="s">
        <v>320</v>
      </c>
    </row>
    <row r="428" spans="1:32" ht="15.65" customHeight="1" x14ac:dyDescent="0.35">
      <c r="A428" s="5" t="s">
        <v>45</v>
      </c>
      <c r="B428" s="5" t="s">
        <v>359</v>
      </c>
      <c r="C428" s="5" t="s">
        <v>47</v>
      </c>
      <c r="D428" s="5">
        <v>3000251</v>
      </c>
      <c r="E428" s="11">
        <v>3000251</v>
      </c>
      <c r="F428" s="11" t="s">
        <v>360</v>
      </c>
      <c r="G428" s="5" t="s">
        <v>360</v>
      </c>
      <c r="H428" s="5" t="s">
        <v>140</v>
      </c>
      <c r="I428" s="5">
        <v>9922383</v>
      </c>
      <c r="J428" s="6">
        <v>46118</v>
      </c>
      <c r="K428" s="6">
        <v>46118</v>
      </c>
      <c r="L428" s="6">
        <v>46163</v>
      </c>
      <c r="M428" s="7">
        <v>-31</v>
      </c>
      <c r="N428" s="7">
        <v>12463</v>
      </c>
      <c r="O428" s="7">
        <v>0</v>
      </c>
      <c r="P428" s="7">
        <v>12463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5" t="s">
        <v>47</v>
      </c>
      <c r="Z428" s="6"/>
      <c r="AA428" s="5" t="s">
        <v>55</v>
      </c>
      <c r="AB428" s="5" t="s">
        <v>51</v>
      </c>
      <c r="AC428" s="5" t="s">
        <v>51</v>
      </c>
      <c r="AD428" s="5" t="s">
        <v>51</v>
      </c>
      <c r="AE428" s="5" t="s">
        <v>456</v>
      </c>
      <c r="AF428" s="5" t="s">
        <v>457</v>
      </c>
    </row>
    <row r="429" spans="1:32" ht="15.65" customHeight="1" x14ac:dyDescent="0.35">
      <c r="A429" s="5" t="s">
        <v>45</v>
      </c>
      <c r="B429" s="5" t="s">
        <v>371</v>
      </c>
      <c r="C429" s="5" t="s">
        <v>47</v>
      </c>
      <c r="D429" s="5">
        <v>3000251</v>
      </c>
      <c r="E429" s="11">
        <v>3100934</v>
      </c>
      <c r="F429" s="11" t="s">
        <v>360</v>
      </c>
      <c r="G429" s="5" t="s">
        <v>372</v>
      </c>
      <c r="H429" s="5" t="s">
        <v>140</v>
      </c>
      <c r="I429" s="5">
        <v>9922384</v>
      </c>
      <c r="J429" s="6">
        <v>46118</v>
      </c>
      <c r="K429" s="6">
        <v>46118</v>
      </c>
      <c r="L429" s="6">
        <v>46163</v>
      </c>
      <c r="M429" s="7">
        <v>-31</v>
      </c>
      <c r="N429" s="7">
        <v>28314</v>
      </c>
      <c r="O429" s="7">
        <v>0</v>
      </c>
      <c r="P429" s="7">
        <v>28314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5" t="s">
        <v>47</v>
      </c>
      <c r="Z429" s="6"/>
      <c r="AA429" s="5" t="s">
        <v>55</v>
      </c>
      <c r="AB429" s="5" t="s">
        <v>51</v>
      </c>
      <c r="AC429" s="5" t="s">
        <v>51</v>
      </c>
      <c r="AD429" s="5" t="s">
        <v>51</v>
      </c>
      <c r="AE429" s="5" t="s">
        <v>458</v>
      </c>
      <c r="AF429" s="5" t="s">
        <v>459</v>
      </c>
    </row>
    <row r="430" spans="1:32" ht="15.65" customHeight="1" x14ac:dyDescent="0.35">
      <c r="A430" s="5" t="s">
        <v>45</v>
      </c>
      <c r="B430" s="5" t="s">
        <v>359</v>
      </c>
      <c r="C430" s="5" t="s">
        <v>47</v>
      </c>
      <c r="D430" s="5">
        <v>3000251</v>
      </c>
      <c r="E430" s="11">
        <v>3100099</v>
      </c>
      <c r="F430" s="11" t="s">
        <v>360</v>
      </c>
      <c r="G430" s="5" t="s">
        <v>360</v>
      </c>
      <c r="H430" s="5" t="s">
        <v>140</v>
      </c>
      <c r="I430" s="5">
        <v>9923248</v>
      </c>
      <c r="J430" s="6">
        <v>46121</v>
      </c>
      <c r="K430" s="6">
        <v>46121</v>
      </c>
      <c r="L430" s="6">
        <v>46166</v>
      </c>
      <c r="M430" s="7">
        <v>-34</v>
      </c>
      <c r="N430" s="7">
        <v>27944</v>
      </c>
      <c r="O430" s="7">
        <v>0</v>
      </c>
      <c r="P430" s="7">
        <v>27944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5" t="s">
        <v>47</v>
      </c>
      <c r="Z430" s="6"/>
      <c r="AA430" s="5" t="s">
        <v>55</v>
      </c>
      <c r="AB430" s="5" t="s">
        <v>51</v>
      </c>
      <c r="AC430" s="5" t="s">
        <v>51</v>
      </c>
      <c r="AD430" s="5" t="s">
        <v>51</v>
      </c>
      <c r="AE430" s="5" t="s">
        <v>460</v>
      </c>
      <c r="AF430" s="5" t="s">
        <v>461</v>
      </c>
    </row>
    <row r="431" spans="1:32" ht="15.65" customHeight="1" x14ac:dyDescent="0.35">
      <c r="A431" s="5" t="s">
        <v>45</v>
      </c>
      <c r="B431" s="5" t="s">
        <v>359</v>
      </c>
      <c r="C431" s="5" t="s">
        <v>47</v>
      </c>
      <c r="D431" s="5">
        <v>3000251</v>
      </c>
      <c r="E431" s="11">
        <v>3000715</v>
      </c>
      <c r="F431" s="11" t="s">
        <v>360</v>
      </c>
      <c r="G431" s="5" t="s">
        <v>360</v>
      </c>
      <c r="H431" s="5" t="s">
        <v>140</v>
      </c>
      <c r="I431" s="5">
        <v>9923871</v>
      </c>
      <c r="J431" s="6">
        <v>46122</v>
      </c>
      <c r="K431" s="6">
        <v>46122</v>
      </c>
      <c r="L431" s="6">
        <v>46167</v>
      </c>
      <c r="M431" s="7">
        <v>-35</v>
      </c>
      <c r="N431" s="7">
        <v>72725</v>
      </c>
      <c r="O431" s="7">
        <v>0</v>
      </c>
      <c r="P431" s="7">
        <v>72725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5" t="s">
        <v>47</v>
      </c>
      <c r="Z431" s="6"/>
      <c r="AA431" s="5" t="s">
        <v>55</v>
      </c>
      <c r="AB431" s="5" t="s">
        <v>51</v>
      </c>
      <c r="AC431" s="5" t="s">
        <v>51</v>
      </c>
      <c r="AD431" s="5" t="s">
        <v>51</v>
      </c>
      <c r="AE431" s="5" t="s">
        <v>462</v>
      </c>
      <c r="AF431" s="5" t="s">
        <v>144</v>
      </c>
    </row>
    <row r="432" spans="1:32" ht="15.65" customHeight="1" x14ac:dyDescent="0.35">
      <c r="A432" s="5" t="s">
        <v>45</v>
      </c>
      <c r="B432" s="5" t="s">
        <v>359</v>
      </c>
      <c r="C432" s="5" t="s">
        <v>430</v>
      </c>
      <c r="D432" s="5">
        <v>3000251</v>
      </c>
      <c r="E432" s="11">
        <v>3101040</v>
      </c>
      <c r="F432" s="11" t="s">
        <v>360</v>
      </c>
      <c r="G432" s="5" t="s">
        <v>390</v>
      </c>
      <c r="H432" s="5" t="s">
        <v>54</v>
      </c>
      <c r="I432" s="5">
        <v>9923988</v>
      </c>
      <c r="J432" s="6">
        <v>46122</v>
      </c>
      <c r="K432" s="6">
        <v>46122</v>
      </c>
      <c r="L432" s="6">
        <v>46168</v>
      </c>
      <c r="M432" s="7">
        <v>-36</v>
      </c>
      <c r="N432" s="7">
        <v>196342796</v>
      </c>
      <c r="O432" s="7">
        <v>0</v>
      </c>
      <c r="P432" s="7">
        <v>196342796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5" t="s">
        <v>430</v>
      </c>
      <c r="Z432" s="6"/>
      <c r="AA432" s="5" t="s">
        <v>55</v>
      </c>
      <c r="AB432" s="5" t="s">
        <v>51</v>
      </c>
      <c r="AC432" s="5" t="s">
        <v>51</v>
      </c>
      <c r="AD432" s="5" t="s">
        <v>51</v>
      </c>
      <c r="AE432" s="5" t="s">
        <v>463</v>
      </c>
      <c r="AF432" s="5" t="s">
        <v>69</v>
      </c>
    </row>
    <row r="433" spans="1:32" ht="15.65" customHeight="1" x14ac:dyDescent="0.35">
      <c r="A433" s="5" t="s">
        <v>45</v>
      </c>
      <c r="B433" s="5" t="s">
        <v>359</v>
      </c>
      <c r="C433" s="5" t="s">
        <v>47</v>
      </c>
      <c r="D433" s="5">
        <v>3000251</v>
      </c>
      <c r="E433" s="5">
        <v>3101038</v>
      </c>
      <c r="F433" s="5" t="s">
        <v>360</v>
      </c>
      <c r="G433" s="5" t="s">
        <v>390</v>
      </c>
      <c r="H433" s="5" t="s">
        <v>140</v>
      </c>
      <c r="I433" s="5">
        <v>9924704</v>
      </c>
      <c r="J433" s="6">
        <v>46125</v>
      </c>
      <c r="K433" s="6">
        <v>46125</v>
      </c>
      <c r="L433" s="6">
        <v>46170</v>
      </c>
      <c r="M433" s="7">
        <v>-38</v>
      </c>
      <c r="N433" s="7">
        <v>2199</v>
      </c>
      <c r="O433" s="7">
        <v>0</v>
      </c>
      <c r="P433" s="7">
        <v>2199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5" t="s">
        <v>47</v>
      </c>
      <c r="Z433" s="6"/>
      <c r="AA433" s="5" t="s">
        <v>55</v>
      </c>
      <c r="AB433" s="5" t="s">
        <v>51</v>
      </c>
      <c r="AC433" s="5" t="s">
        <v>51</v>
      </c>
      <c r="AD433" s="5" t="s">
        <v>51</v>
      </c>
      <c r="AE433" s="5" t="s">
        <v>464</v>
      </c>
      <c r="AF433" s="5" t="s">
        <v>147</v>
      </c>
    </row>
    <row r="434" spans="1:32" ht="15.65" customHeight="1" x14ac:dyDescent="0.35">
      <c r="A434" s="5" t="s">
        <v>45</v>
      </c>
      <c r="B434" s="5" t="s">
        <v>359</v>
      </c>
      <c r="C434" s="5" t="s">
        <v>47</v>
      </c>
      <c r="D434" s="5">
        <v>3000251</v>
      </c>
      <c r="E434" s="11">
        <v>3000591</v>
      </c>
      <c r="F434" s="11" t="s">
        <v>360</v>
      </c>
      <c r="G434" s="5" t="s">
        <v>360</v>
      </c>
      <c r="H434" s="5" t="s">
        <v>140</v>
      </c>
      <c r="I434" s="5">
        <v>9924706</v>
      </c>
      <c r="J434" s="6">
        <v>46125</v>
      </c>
      <c r="K434" s="6">
        <v>46125</v>
      </c>
      <c r="L434" s="6">
        <v>46170</v>
      </c>
      <c r="M434" s="7">
        <v>-38</v>
      </c>
      <c r="N434" s="7">
        <v>232</v>
      </c>
      <c r="O434" s="7">
        <v>0</v>
      </c>
      <c r="P434" s="7">
        <v>232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5" t="s">
        <v>47</v>
      </c>
      <c r="Z434" s="6"/>
      <c r="AA434" s="5" t="s">
        <v>55</v>
      </c>
      <c r="AB434" s="5" t="s">
        <v>51</v>
      </c>
      <c r="AC434" s="5" t="s">
        <v>51</v>
      </c>
      <c r="AD434" s="5" t="s">
        <v>51</v>
      </c>
      <c r="AE434" s="5" t="s">
        <v>465</v>
      </c>
      <c r="AF434" s="5" t="s">
        <v>299</v>
      </c>
    </row>
    <row r="435" spans="1:32" ht="15.65" customHeight="1" x14ac:dyDescent="0.35">
      <c r="A435" s="5" t="s">
        <v>45</v>
      </c>
      <c r="B435" s="5" t="s">
        <v>359</v>
      </c>
      <c r="C435" s="5" t="s">
        <v>47</v>
      </c>
      <c r="D435" s="5">
        <v>3000251</v>
      </c>
      <c r="E435" s="11">
        <v>3000251</v>
      </c>
      <c r="F435" s="11" t="s">
        <v>360</v>
      </c>
      <c r="G435" s="5" t="s">
        <v>360</v>
      </c>
      <c r="H435" s="5" t="s">
        <v>140</v>
      </c>
      <c r="I435" s="5">
        <v>9924708</v>
      </c>
      <c r="J435" s="6">
        <v>46125</v>
      </c>
      <c r="K435" s="6">
        <v>46125</v>
      </c>
      <c r="L435" s="6">
        <v>46170</v>
      </c>
      <c r="M435" s="7">
        <v>-38</v>
      </c>
      <c r="N435" s="7">
        <v>6855</v>
      </c>
      <c r="O435" s="7">
        <v>0</v>
      </c>
      <c r="P435" s="7">
        <v>6855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5" t="s">
        <v>47</v>
      </c>
      <c r="Z435" s="6"/>
      <c r="AA435" s="5" t="s">
        <v>55</v>
      </c>
      <c r="AB435" s="5" t="s">
        <v>51</v>
      </c>
      <c r="AC435" s="5" t="s">
        <v>51</v>
      </c>
      <c r="AD435" s="5" t="s">
        <v>51</v>
      </c>
      <c r="AE435" s="5" t="s">
        <v>466</v>
      </c>
      <c r="AF435" s="5" t="s">
        <v>206</v>
      </c>
    </row>
    <row r="436" spans="1:32" ht="15.65" customHeight="1" x14ac:dyDescent="0.35">
      <c r="A436" s="5" t="s">
        <v>45</v>
      </c>
      <c r="B436" s="5" t="s">
        <v>359</v>
      </c>
      <c r="C436" s="5" t="s">
        <v>47</v>
      </c>
      <c r="D436" s="5">
        <v>3000251</v>
      </c>
      <c r="E436" s="11">
        <v>3000251</v>
      </c>
      <c r="F436" s="11" t="s">
        <v>360</v>
      </c>
      <c r="G436" s="5" t="s">
        <v>360</v>
      </c>
      <c r="H436" s="5" t="s">
        <v>54</v>
      </c>
      <c r="I436" s="5">
        <v>9924910</v>
      </c>
      <c r="J436" s="6">
        <v>46125</v>
      </c>
      <c r="K436" s="6">
        <v>46125</v>
      </c>
      <c r="L436" s="6">
        <v>46176</v>
      </c>
      <c r="M436" s="7">
        <v>-44</v>
      </c>
      <c r="N436" s="7">
        <v>764029506</v>
      </c>
      <c r="O436" s="7">
        <v>0</v>
      </c>
      <c r="P436" s="7">
        <v>764029506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5" t="s">
        <v>47</v>
      </c>
      <c r="Z436" s="6"/>
      <c r="AA436" s="5" t="s">
        <v>55</v>
      </c>
      <c r="AB436" s="5" t="s">
        <v>51</v>
      </c>
      <c r="AC436" s="5" t="s">
        <v>51</v>
      </c>
      <c r="AD436" s="5" t="s">
        <v>51</v>
      </c>
      <c r="AE436" s="5" t="s">
        <v>467</v>
      </c>
      <c r="AF436" s="5" t="s">
        <v>468</v>
      </c>
    </row>
    <row r="437" spans="1:32" ht="15.65" customHeight="1" x14ac:dyDescent="0.35">
      <c r="A437" s="5" t="s">
        <v>45</v>
      </c>
      <c r="B437" s="5" t="s">
        <v>359</v>
      </c>
      <c r="C437" s="5" t="s">
        <v>47</v>
      </c>
      <c r="D437" s="5">
        <v>3000251</v>
      </c>
      <c r="E437" s="11">
        <v>3000826</v>
      </c>
      <c r="F437" s="11" t="s">
        <v>360</v>
      </c>
      <c r="G437" s="5" t="s">
        <v>360</v>
      </c>
      <c r="H437" s="5" t="s">
        <v>140</v>
      </c>
      <c r="I437" s="5">
        <v>9925051</v>
      </c>
      <c r="J437" s="6">
        <v>46126</v>
      </c>
      <c r="K437" s="6">
        <v>46126</v>
      </c>
      <c r="L437" s="6">
        <v>46171</v>
      </c>
      <c r="M437" s="7">
        <v>-39</v>
      </c>
      <c r="N437" s="7">
        <v>85153</v>
      </c>
      <c r="O437" s="7">
        <v>0</v>
      </c>
      <c r="P437" s="7">
        <v>85153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5" t="s">
        <v>47</v>
      </c>
      <c r="Z437" s="6"/>
      <c r="AA437" s="5" t="s">
        <v>55</v>
      </c>
      <c r="AB437" s="5" t="s">
        <v>51</v>
      </c>
      <c r="AC437" s="5" t="s">
        <v>51</v>
      </c>
      <c r="AD437" s="5" t="s">
        <v>51</v>
      </c>
      <c r="AE437" s="5" t="s">
        <v>469</v>
      </c>
      <c r="AF437" s="5" t="s">
        <v>470</v>
      </c>
    </row>
    <row r="438" spans="1:32" ht="15.65" customHeight="1" x14ac:dyDescent="0.35">
      <c r="A438" s="5" t="s">
        <v>45</v>
      </c>
      <c r="B438" s="5" t="s">
        <v>359</v>
      </c>
      <c r="C438" s="5" t="s">
        <v>47</v>
      </c>
      <c r="D438" s="5">
        <v>3000251</v>
      </c>
      <c r="E438" s="11">
        <v>3000333</v>
      </c>
      <c r="F438" s="11" t="s">
        <v>360</v>
      </c>
      <c r="G438" s="5" t="s">
        <v>375</v>
      </c>
      <c r="H438" s="5" t="s">
        <v>140</v>
      </c>
      <c r="I438" s="5">
        <v>9925097</v>
      </c>
      <c r="J438" s="6">
        <v>46126</v>
      </c>
      <c r="K438" s="6">
        <v>46126</v>
      </c>
      <c r="L438" s="6">
        <v>46171</v>
      </c>
      <c r="M438" s="7">
        <v>-39</v>
      </c>
      <c r="N438" s="7">
        <v>16660</v>
      </c>
      <c r="O438" s="7">
        <v>0</v>
      </c>
      <c r="P438" s="7">
        <v>16660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5" t="s">
        <v>47</v>
      </c>
      <c r="Z438" s="6"/>
      <c r="AA438" s="5" t="s">
        <v>55</v>
      </c>
      <c r="AB438" s="5" t="s">
        <v>51</v>
      </c>
      <c r="AC438" s="5" t="s">
        <v>51</v>
      </c>
      <c r="AD438" s="5" t="s">
        <v>51</v>
      </c>
      <c r="AE438" s="5" t="s">
        <v>471</v>
      </c>
      <c r="AF438" s="5" t="s">
        <v>144</v>
      </c>
    </row>
    <row r="439" spans="1:32" ht="15.65" customHeight="1" x14ac:dyDescent="0.35">
      <c r="A439" s="5" t="s">
        <v>45</v>
      </c>
      <c r="B439" s="5" t="s">
        <v>359</v>
      </c>
      <c r="C439" s="5" t="s">
        <v>47</v>
      </c>
      <c r="D439" s="5">
        <v>3000251</v>
      </c>
      <c r="E439" s="11">
        <v>3000251</v>
      </c>
      <c r="F439" s="11" t="s">
        <v>360</v>
      </c>
      <c r="G439" s="5" t="s">
        <v>360</v>
      </c>
      <c r="H439" s="5" t="s">
        <v>54</v>
      </c>
      <c r="I439" s="5">
        <v>9925666</v>
      </c>
      <c r="J439" s="6">
        <v>46127</v>
      </c>
      <c r="K439" s="6">
        <v>46127</v>
      </c>
      <c r="L439" s="6">
        <v>46178</v>
      </c>
      <c r="M439" s="7">
        <v>-46</v>
      </c>
      <c r="N439" s="7">
        <v>723995280</v>
      </c>
      <c r="O439" s="7">
        <v>0</v>
      </c>
      <c r="P439" s="7">
        <v>723995280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5" t="s">
        <v>47</v>
      </c>
      <c r="Z439" s="6"/>
      <c r="AA439" s="5" t="s">
        <v>55</v>
      </c>
      <c r="AB439" s="5" t="s">
        <v>51</v>
      </c>
      <c r="AC439" s="5" t="s">
        <v>51</v>
      </c>
      <c r="AD439" s="5" t="s">
        <v>51</v>
      </c>
      <c r="AE439" s="5" t="s">
        <v>472</v>
      </c>
      <c r="AF439" s="5" t="s">
        <v>161</v>
      </c>
    </row>
    <row r="440" spans="1:32" ht="15.65" customHeight="1" x14ac:dyDescent="0.35">
      <c r="A440" s="5" t="s">
        <v>45</v>
      </c>
      <c r="B440" s="5" t="s">
        <v>359</v>
      </c>
      <c r="C440" s="5" t="s">
        <v>47</v>
      </c>
      <c r="D440" s="5">
        <v>3000251</v>
      </c>
      <c r="E440" s="11">
        <v>3001105</v>
      </c>
      <c r="F440" s="11" t="s">
        <v>360</v>
      </c>
      <c r="G440" s="5" t="s">
        <v>360</v>
      </c>
      <c r="H440" s="5" t="s">
        <v>54</v>
      </c>
      <c r="I440" s="5">
        <v>9925673</v>
      </c>
      <c r="J440" s="6">
        <v>46127</v>
      </c>
      <c r="K440" s="6">
        <v>46127</v>
      </c>
      <c r="L440" s="6">
        <v>46178</v>
      </c>
      <c r="M440" s="7">
        <v>-46</v>
      </c>
      <c r="N440" s="7">
        <v>220160088</v>
      </c>
      <c r="O440" s="7">
        <v>0</v>
      </c>
      <c r="P440" s="7">
        <v>220160088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5" t="s">
        <v>47</v>
      </c>
      <c r="Z440" s="6"/>
      <c r="AA440" s="5" t="s">
        <v>55</v>
      </c>
      <c r="AB440" s="5" t="s">
        <v>51</v>
      </c>
      <c r="AC440" s="5" t="s">
        <v>51</v>
      </c>
      <c r="AD440" s="5" t="s">
        <v>51</v>
      </c>
      <c r="AE440" s="5" t="s">
        <v>473</v>
      </c>
      <c r="AF440" s="5" t="s">
        <v>108</v>
      </c>
    </row>
    <row r="441" spans="1:32" ht="15.65" customHeight="1" x14ac:dyDescent="0.35">
      <c r="A441" s="5" t="s">
        <v>45</v>
      </c>
      <c r="B441" s="5" t="s">
        <v>359</v>
      </c>
      <c r="C441" s="5" t="s">
        <v>47</v>
      </c>
      <c r="D441" s="5">
        <v>3000251</v>
      </c>
      <c r="E441" s="11">
        <v>3001105</v>
      </c>
      <c r="F441" s="11" t="s">
        <v>360</v>
      </c>
      <c r="G441" s="5" t="s">
        <v>360</v>
      </c>
      <c r="H441" s="5" t="s">
        <v>54</v>
      </c>
      <c r="I441" s="5">
        <v>9926537</v>
      </c>
      <c r="J441" s="6">
        <v>46128</v>
      </c>
      <c r="K441" s="6">
        <v>46128</v>
      </c>
      <c r="L441" s="6">
        <v>46179</v>
      </c>
      <c r="M441" s="7">
        <v>-47</v>
      </c>
      <c r="N441" s="7">
        <v>980015684</v>
      </c>
      <c r="O441" s="7">
        <v>0</v>
      </c>
      <c r="P441" s="7">
        <v>980015684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5" t="s">
        <v>47</v>
      </c>
      <c r="Z441" s="6"/>
      <c r="AA441" s="5" t="s">
        <v>55</v>
      </c>
      <c r="AB441" s="5" t="s">
        <v>51</v>
      </c>
      <c r="AC441" s="5" t="s">
        <v>51</v>
      </c>
      <c r="AD441" s="5" t="s">
        <v>51</v>
      </c>
      <c r="AE441" s="5" t="s">
        <v>474</v>
      </c>
      <c r="AF441" s="5" t="s">
        <v>475</v>
      </c>
    </row>
    <row r="442" spans="1:32" ht="15.65" customHeight="1" x14ac:dyDescent="0.35">
      <c r="A442" s="5" t="s">
        <v>45</v>
      </c>
      <c r="B442" s="5" t="s">
        <v>359</v>
      </c>
      <c r="C442" s="5" t="s">
        <v>47</v>
      </c>
      <c r="D442" s="5">
        <v>3000251</v>
      </c>
      <c r="E442" s="11">
        <v>3001105</v>
      </c>
      <c r="F442" s="11" t="s">
        <v>360</v>
      </c>
      <c r="G442" s="5" t="s">
        <v>360</v>
      </c>
      <c r="H442" s="5" t="s">
        <v>54</v>
      </c>
      <c r="I442" s="5">
        <v>9926538</v>
      </c>
      <c r="J442" s="6">
        <v>46128</v>
      </c>
      <c r="K442" s="6">
        <v>46128</v>
      </c>
      <c r="L442" s="6">
        <v>46179</v>
      </c>
      <c r="M442" s="7">
        <v>-47</v>
      </c>
      <c r="N442" s="7">
        <v>322078</v>
      </c>
      <c r="O442" s="7">
        <v>0</v>
      </c>
      <c r="P442" s="7">
        <v>322078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5" t="s">
        <v>47</v>
      </c>
      <c r="Z442" s="6"/>
      <c r="AA442" s="5" t="s">
        <v>55</v>
      </c>
      <c r="AB442" s="5" t="s">
        <v>51</v>
      </c>
      <c r="AC442" s="5" t="s">
        <v>51</v>
      </c>
      <c r="AD442" s="5" t="s">
        <v>51</v>
      </c>
      <c r="AE442" s="5" t="s">
        <v>446</v>
      </c>
      <c r="AF442" s="5" t="s">
        <v>163</v>
      </c>
    </row>
    <row r="443" spans="1:32" ht="15.65" customHeight="1" x14ac:dyDescent="0.35">
      <c r="A443" s="5" t="s">
        <v>45</v>
      </c>
      <c r="B443" s="5" t="s">
        <v>359</v>
      </c>
      <c r="C443" s="5" t="s">
        <v>47</v>
      </c>
      <c r="D443" s="5">
        <v>3000251</v>
      </c>
      <c r="E443" s="11">
        <v>3000715</v>
      </c>
      <c r="F443" s="11" t="s">
        <v>360</v>
      </c>
      <c r="G443" s="5" t="s">
        <v>360</v>
      </c>
      <c r="H443" s="5" t="s">
        <v>140</v>
      </c>
      <c r="I443" s="5">
        <v>9927230</v>
      </c>
      <c r="J443" s="6">
        <v>46130</v>
      </c>
      <c r="K443" s="6">
        <v>46130</v>
      </c>
      <c r="L443" s="6">
        <v>46175</v>
      </c>
      <c r="M443" s="7">
        <v>-43</v>
      </c>
      <c r="N443" s="7">
        <v>213722</v>
      </c>
      <c r="O443" s="7">
        <v>0</v>
      </c>
      <c r="P443" s="7">
        <v>213722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5" t="s">
        <v>47</v>
      </c>
      <c r="Z443" s="6"/>
      <c r="AA443" s="5" t="s">
        <v>55</v>
      </c>
      <c r="AB443" s="5" t="s">
        <v>51</v>
      </c>
      <c r="AC443" s="5" t="s">
        <v>51</v>
      </c>
      <c r="AD443" s="5" t="s">
        <v>51</v>
      </c>
      <c r="AE443" s="5" t="s">
        <v>476</v>
      </c>
      <c r="AF443" s="5" t="s">
        <v>144</v>
      </c>
    </row>
    <row r="444" spans="1:32" ht="15.65" customHeight="1" x14ac:dyDescent="0.35">
      <c r="A444" s="5" t="s">
        <v>45</v>
      </c>
      <c r="B444" s="5" t="s">
        <v>371</v>
      </c>
      <c r="C444" s="5" t="s">
        <v>60</v>
      </c>
      <c r="D444" s="5">
        <v>3000251</v>
      </c>
      <c r="E444" s="11">
        <v>3100935</v>
      </c>
      <c r="F444" s="11" t="s">
        <v>360</v>
      </c>
      <c r="G444" s="5" t="s">
        <v>372</v>
      </c>
      <c r="H444" s="5" t="s">
        <v>54</v>
      </c>
      <c r="I444" s="5">
        <v>9927402</v>
      </c>
      <c r="J444" s="6">
        <v>46130</v>
      </c>
      <c r="K444" s="6">
        <v>46130</v>
      </c>
      <c r="L444" s="6">
        <v>46176</v>
      </c>
      <c r="M444" s="7">
        <v>-44</v>
      </c>
      <c r="N444" s="7">
        <v>85697924</v>
      </c>
      <c r="O444" s="7">
        <v>0</v>
      </c>
      <c r="P444" s="7">
        <v>85697924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5" t="s">
        <v>60</v>
      </c>
      <c r="Z444" s="6"/>
      <c r="AA444" s="5" t="s">
        <v>55</v>
      </c>
      <c r="AB444" s="5" t="s">
        <v>51</v>
      </c>
      <c r="AC444" s="5" t="s">
        <v>51</v>
      </c>
      <c r="AD444" s="5" t="s">
        <v>51</v>
      </c>
      <c r="AE444" s="5" t="s">
        <v>477</v>
      </c>
      <c r="AF444" s="5" t="s">
        <v>161</v>
      </c>
    </row>
    <row r="445" spans="1:32" ht="15.65" customHeight="1" x14ac:dyDescent="0.35">
      <c r="A445" s="5" t="s">
        <v>45</v>
      </c>
      <c r="B445" s="5" t="s">
        <v>359</v>
      </c>
      <c r="C445" s="5" t="s">
        <v>430</v>
      </c>
      <c r="D445" s="5">
        <v>3000251</v>
      </c>
      <c r="E445" s="11">
        <v>3100965</v>
      </c>
      <c r="F445" s="11" t="s">
        <v>360</v>
      </c>
      <c r="G445" s="5" t="s">
        <v>385</v>
      </c>
      <c r="H445" s="5" t="s">
        <v>54</v>
      </c>
      <c r="I445" s="5">
        <v>9927403</v>
      </c>
      <c r="J445" s="6">
        <v>46130</v>
      </c>
      <c r="K445" s="6">
        <v>46130</v>
      </c>
      <c r="L445" s="6">
        <v>46176</v>
      </c>
      <c r="M445" s="7">
        <v>-44</v>
      </c>
      <c r="N445" s="7">
        <v>174050875</v>
      </c>
      <c r="O445" s="7">
        <v>0</v>
      </c>
      <c r="P445" s="7">
        <v>174050875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5" t="s">
        <v>430</v>
      </c>
      <c r="Z445" s="6"/>
      <c r="AA445" s="5" t="s">
        <v>55</v>
      </c>
      <c r="AB445" s="5" t="s">
        <v>51</v>
      </c>
      <c r="AC445" s="5" t="s">
        <v>51</v>
      </c>
      <c r="AD445" s="5" t="s">
        <v>51</v>
      </c>
      <c r="AE445" s="5" t="s">
        <v>478</v>
      </c>
      <c r="AF445" s="5" t="s">
        <v>62</v>
      </c>
    </row>
    <row r="446" spans="1:32" ht="15.65" customHeight="1" x14ac:dyDescent="0.35">
      <c r="A446" s="5" t="s">
        <v>175</v>
      </c>
      <c r="B446" s="5" t="s">
        <v>176</v>
      </c>
      <c r="C446" s="5" t="s">
        <v>47</v>
      </c>
      <c r="D446" s="5">
        <v>3000264</v>
      </c>
      <c r="E446" s="11">
        <v>3100421</v>
      </c>
      <c r="F446" s="11" t="s">
        <v>479</v>
      </c>
      <c r="G446" s="5" t="s">
        <v>479</v>
      </c>
      <c r="H446" s="5" t="s">
        <v>54</v>
      </c>
      <c r="I446" s="5">
        <v>6955568</v>
      </c>
      <c r="J446" s="6">
        <v>46095</v>
      </c>
      <c r="K446" s="6">
        <v>46095</v>
      </c>
      <c r="L446" s="6">
        <v>46095</v>
      </c>
      <c r="M446" s="7">
        <v>37</v>
      </c>
      <c r="N446" s="7">
        <v>-18638362</v>
      </c>
      <c r="O446" s="7">
        <v>-18638362</v>
      </c>
      <c r="P446" s="7">
        <v>0</v>
      </c>
      <c r="Q446" s="7">
        <v>0</v>
      </c>
      <c r="R446" s="7">
        <v>-18638362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5" t="s">
        <v>47</v>
      </c>
      <c r="Z446" s="6"/>
      <c r="AA446" s="5" t="s">
        <v>55</v>
      </c>
      <c r="AB446" s="5" t="s">
        <v>51</v>
      </c>
      <c r="AC446" s="5" t="s">
        <v>51</v>
      </c>
      <c r="AD446" s="5" t="s">
        <v>51</v>
      </c>
      <c r="AE446" s="5" t="s">
        <v>51</v>
      </c>
      <c r="AF446" s="5" t="s">
        <v>312</v>
      </c>
    </row>
    <row r="447" spans="1:32" ht="15.65" customHeight="1" x14ac:dyDescent="0.35">
      <c r="A447" s="5" t="s">
        <v>175</v>
      </c>
      <c r="B447" s="5" t="s">
        <v>176</v>
      </c>
      <c r="C447" s="5" t="s">
        <v>47</v>
      </c>
      <c r="D447" s="5">
        <v>3000264</v>
      </c>
      <c r="E447" s="11">
        <v>3000264</v>
      </c>
      <c r="F447" s="11" t="s">
        <v>479</v>
      </c>
      <c r="G447" s="5" t="s">
        <v>479</v>
      </c>
      <c r="H447" s="5" t="s">
        <v>111</v>
      </c>
      <c r="I447" s="5">
        <v>6959193</v>
      </c>
      <c r="J447" s="6">
        <v>46126</v>
      </c>
      <c r="K447" s="6">
        <v>46126</v>
      </c>
      <c r="L447" s="6">
        <v>46126</v>
      </c>
      <c r="M447" s="7">
        <v>6</v>
      </c>
      <c r="N447" s="7">
        <v>-687525</v>
      </c>
      <c r="O447" s="7">
        <v>-687525</v>
      </c>
      <c r="P447" s="7">
        <v>0</v>
      </c>
      <c r="Q447" s="7">
        <v>-687525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5" t="s">
        <v>47</v>
      </c>
      <c r="Z447" s="6"/>
      <c r="AA447" s="5" t="s">
        <v>55</v>
      </c>
      <c r="AB447" s="5" t="s">
        <v>51</v>
      </c>
      <c r="AC447" s="5" t="s">
        <v>51</v>
      </c>
      <c r="AD447" s="5" t="s">
        <v>51</v>
      </c>
      <c r="AE447" s="5" t="s">
        <v>51</v>
      </c>
      <c r="AF447" s="5" t="s">
        <v>480</v>
      </c>
    </row>
    <row r="448" spans="1:32" ht="15.65" customHeight="1" x14ac:dyDescent="0.35">
      <c r="A448" s="5" t="s">
        <v>175</v>
      </c>
      <c r="B448" s="5" t="s">
        <v>176</v>
      </c>
      <c r="C448" s="5" t="s">
        <v>47</v>
      </c>
      <c r="D448" s="5">
        <v>3000264</v>
      </c>
      <c r="E448" s="11">
        <v>3000264</v>
      </c>
      <c r="F448" s="11" t="s">
        <v>479</v>
      </c>
      <c r="G448" s="5" t="s">
        <v>479</v>
      </c>
      <c r="H448" s="5" t="s">
        <v>54</v>
      </c>
      <c r="I448" s="5">
        <v>6959679</v>
      </c>
      <c r="J448" s="6">
        <v>46128</v>
      </c>
      <c r="K448" s="6">
        <v>46128</v>
      </c>
      <c r="L448" s="6">
        <v>46128</v>
      </c>
      <c r="M448" s="7">
        <v>4</v>
      </c>
      <c r="N448" s="7">
        <v>-42405716</v>
      </c>
      <c r="O448" s="7">
        <v>-42405716</v>
      </c>
      <c r="P448" s="7">
        <v>0</v>
      </c>
      <c r="Q448" s="7">
        <v>-42405716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5" t="s">
        <v>47</v>
      </c>
      <c r="Z448" s="6"/>
      <c r="AA448" s="5" t="s">
        <v>55</v>
      </c>
      <c r="AB448" s="5" t="s">
        <v>51</v>
      </c>
      <c r="AC448" s="5" t="s">
        <v>51</v>
      </c>
      <c r="AD448" s="5" t="s">
        <v>51</v>
      </c>
      <c r="AE448" s="5" t="s">
        <v>51</v>
      </c>
      <c r="AF448" s="5" t="s">
        <v>56</v>
      </c>
    </row>
    <row r="449" spans="1:32" ht="15.65" customHeight="1" x14ac:dyDescent="0.35">
      <c r="A449" s="5" t="s">
        <v>175</v>
      </c>
      <c r="B449" s="5" t="s">
        <v>176</v>
      </c>
      <c r="C449" s="5" t="s">
        <v>47</v>
      </c>
      <c r="D449" s="5">
        <v>3000264</v>
      </c>
      <c r="E449" s="11">
        <v>3000264</v>
      </c>
      <c r="F449" s="11" t="s">
        <v>479</v>
      </c>
      <c r="G449" s="5" t="s">
        <v>479</v>
      </c>
      <c r="H449" s="5" t="s">
        <v>54</v>
      </c>
      <c r="I449" s="5">
        <v>6959752</v>
      </c>
      <c r="J449" s="6">
        <v>46128</v>
      </c>
      <c r="K449" s="6">
        <v>46128</v>
      </c>
      <c r="L449" s="6">
        <v>46128</v>
      </c>
      <c r="M449" s="7">
        <v>4</v>
      </c>
      <c r="N449" s="7">
        <v>-1369244</v>
      </c>
      <c r="O449" s="7">
        <v>-1369244</v>
      </c>
      <c r="P449" s="7">
        <v>0</v>
      </c>
      <c r="Q449" s="7">
        <v>-1369244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5" t="s">
        <v>47</v>
      </c>
      <c r="Z449" s="6"/>
      <c r="AA449" s="5" t="s">
        <v>55</v>
      </c>
      <c r="AB449" s="5" t="s">
        <v>51</v>
      </c>
      <c r="AC449" s="5" t="s">
        <v>51</v>
      </c>
      <c r="AD449" s="5" t="s">
        <v>51</v>
      </c>
      <c r="AE449" s="5" t="s">
        <v>51</v>
      </c>
      <c r="AF449" s="5" t="s">
        <v>481</v>
      </c>
    </row>
    <row r="450" spans="1:32" ht="15.65" customHeight="1" x14ac:dyDescent="0.35">
      <c r="A450" s="5" t="s">
        <v>175</v>
      </c>
      <c r="B450" s="5" t="s">
        <v>176</v>
      </c>
      <c r="C450" s="5" t="s">
        <v>47</v>
      </c>
      <c r="D450" s="5">
        <v>3000264</v>
      </c>
      <c r="E450" s="11">
        <v>3100421</v>
      </c>
      <c r="F450" s="11" t="s">
        <v>479</v>
      </c>
      <c r="G450" s="5" t="s">
        <v>479</v>
      </c>
      <c r="H450" s="5" t="s">
        <v>54</v>
      </c>
      <c r="I450" s="5">
        <v>6959764</v>
      </c>
      <c r="J450" s="6">
        <v>46128</v>
      </c>
      <c r="K450" s="6">
        <v>46128</v>
      </c>
      <c r="L450" s="6">
        <v>46128</v>
      </c>
      <c r="M450" s="7">
        <v>4</v>
      </c>
      <c r="N450" s="7">
        <v>-1212202</v>
      </c>
      <c r="O450" s="7">
        <v>-1212202</v>
      </c>
      <c r="P450" s="7">
        <v>0</v>
      </c>
      <c r="Q450" s="7">
        <v>-1212202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5" t="s">
        <v>47</v>
      </c>
      <c r="Z450" s="6"/>
      <c r="AA450" s="5" t="s">
        <v>55</v>
      </c>
      <c r="AB450" s="5" t="s">
        <v>51</v>
      </c>
      <c r="AC450" s="5" t="s">
        <v>51</v>
      </c>
      <c r="AD450" s="5" t="s">
        <v>51</v>
      </c>
      <c r="AE450" s="5" t="s">
        <v>51</v>
      </c>
      <c r="AF450" s="5" t="s">
        <v>482</v>
      </c>
    </row>
    <row r="451" spans="1:32" ht="15.65" customHeight="1" x14ac:dyDescent="0.35">
      <c r="A451" s="5" t="s">
        <v>175</v>
      </c>
      <c r="B451" s="5" t="s">
        <v>176</v>
      </c>
      <c r="C451" s="5" t="s">
        <v>47</v>
      </c>
      <c r="D451" s="5">
        <v>3000264</v>
      </c>
      <c r="E451" s="11">
        <v>3100421</v>
      </c>
      <c r="F451" s="11" t="s">
        <v>479</v>
      </c>
      <c r="G451" s="5" t="s">
        <v>479</v>
      </c>
      <c r="H451" s="5" t="s">
        <v>54</v>
      </c>
      <c r="I451" s="5">
        <v>6959786</v>
      </c>
      <c r="J451" s="6">
        <v>46128</v>
      </c>
      <c r="K451" s="6">
        <v>46128</v>
      </c>
      <c r="L451" s="6">
        <v>46128</v>
      </c>
      <c r="M451" s="7">
        <v>4</v>
      </c>
      <c r="N451" s="7">
        <v>-192750</v>
      </c>
      <c r="O451" s="7">
        <v>-192750</v>
      </c>
      <c r="P451" s="7">
        <v>0</v>
      </c>
      <c r="Q451" s="7">
        <v>-192750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5" t="s">
        <v>47</v>
      </c>
      <c r="Z451" s="6"/>
      <c r="AA451" s="5" t="s">
        <v>55</v>
      </c>
      <c r="AB451" s="5" t="s">
        <v>51</v>
      </c>
      <c r="AC451" s="5" t="s">
        <v>51</v>
      </c>
      <c r="AD451" s="5" t="s">
        <v>51</v>
      </c>
      <c r="AE451" s="5" t="s">
        <v>51</v>
      </c>
      <c r="AF451" s="5" t="s">
        <v>482</v>
      </c>
    </row>
    <row r="452" spans="1:32" ht="15.65" customHeight="1" x14ac:dyDescent="0.35">
      <c r="A452" s="5" t="s">
        <v>175</v>
      </c>
      <c r="B452" s="5" t="s">
        <v>176</v>
      </c>
      <c r="C452" s="5" t="s">
        <v>47</v>
      </c>
      <c r="D452" s="5">
        <v>3000264</v>
      </c>
      <c r="E452" s="11">
        <v>3000264</v>
      </c>
      <c r="F452" s="11" t="s">
        <v>479</v>
      </c>
      <c r="G452" s="5" t="s">
        <v>479</v>
      </c>
      <c r="H452" s="5" t="s">
        <v>54</v>
      </c>
      <c r="I452" s="5">
        <v>6959893</v>
      </c>
      <c r="J452" s="6">
        <v>46129</v>
      </c>
      <c r="K452" s="6">
        <v>46129</v>
      </c>
      <c r="L452" s="6">
        <v>46129</v>
      </c>
      <c r="M452" s="7">
        <v>3</v>
      </c>
      <c r="N452" s="7">
        <v>-4113646</v>
      </c>
      <c r="O452" s="7">
        <v>-4113646</v>
      </c>
      <c r="P452" s="7">
        <v>0</v>
      </c>
      <c r="Q452" s="7">
        <v>-4113646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5" t="s">
        <v>47</v>
      </c>
      <c r="Z452" s="6"/>
      <c r="AA452" s="5" t="s">
        <v>55</v>
      </c>
      <c r="AB452" s="5" t="s">
        <v>51</v>
      </c>
      <c r="AC452" s="5" t="s">
        <v>51</v>
      </c>
      <c r="AD452" s="5" t="s">
        <v>51</v>
      </c>
      <c r="AE452" s="5" t="s">
        <v>51</v>
      </c>
      <c r="AF452" s="5" t="s">
        <v>483</v>
      </c>
    </row>
    <row r="453" spans="1:32" ht="15.65" customHeight="1" x14ac:dyDescent="0.35">
      <c r="A453" s="5" t="s">
        <v>175</v>
      </c>
      <c r="B453" s="5" t="s">
        <v>176</v>
      </c>
      <c r="C453" s="5" t="s">
        <v>47</v>
      </c>
      <c r="D453" s="5">
        <v>3000264</v>
      </c>
      <c r="E453" s="11">
        <v>3000264</v>
      </c>
      <c r="F453" s="11" t="s">
        <v>479</v>
      </c>
      <c r="G453" s="5" t="s">
        <v>479</v>
      </c>
      <c r="H453" s="5" t="s">
        <v>54</v>
      </c>
      <c r="I453" s="5">
        <v>9908984</v>
      </c>
      <c r="J453" s="6">
        <v>46079</v>
      </c>
      <c r="K453" s="6">
        <v>46079</v>
      </c>
      <c r="L453" s="6">
        <v>46137</v>
      </c>
      <c r="M453" s="7">
        <v>-5</v>
      </c>
      <c r="N453" s="7">
        <v>347920718</v>
      </c>
      <c r="O453" s="7">
        <v>0</v>
      </c>
      <c r="P453" s="7">
        <v>347920718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5" t="s">
        <v>47</v>
      </c>
      <c r="Z453" s="6"/>
      <c r="AA453" s="5" t="s">
        <v>55</v>
      </c>
      <c r="AB453" s="5" t="s">
        <v>51</v>
      </c>
      <c r="AC453" s="5" t="s">
        <v>484</v>
      </c>
      <c r="AD453" s="5" t="s">
        <v>51</v>
      </c>
      <c r="AE453" s="5" t="s">
        <v>51</v>
      </c>
      <c r="AF453" s="5" t="s">
        <v>250</v>
      </c>
    </row>
    <row r="454" spans="1:32" ht="15.65" customHeight="1" x14ac:dyDescent="0.35">
      <c r="A454" s="5" t="s">
        <v>175</v>
      </c>
      <c r="B454" s="5" t="s">
        <v>176</v>
      </c>
      <c r="C454" s="5" t="s">
        <v>47</v>
      </c>
      <c r="D454" s="5">
        <v>3000264</v>
      </c>
      <c r="E454" s="11">
        <v>3000264</v>
      </c>
      <c r="F454" s="11" t="s">
        <v>479</v>
      </c>
      <c r="G454" s="5" t="s">
        <v>479</v>
      </c>
      <c r="H454" s="5" t="s">
        <v>54</v>
      </c>
      <c r="I454" s="5">
        <v>9908986</v>
      </c>
      <c r="J454" s="6">
        <v>46079</v>
      </c>
      <c r="K454" s="6">
        <v>46079</v>
      </c>
      <c r="L454" s="6">
        <v>46137</v>
      </c>
      <c r="M454" s="7">
        <v>-5</v>
      </c>
      <c r="N454" s="7">
        <v>1368670</v>
      </c>
      <c r="O454" s="7">
        <v>0</v>
      </c>
      <c r="P454" s="7">
        <v>1368670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5" t="s">
        <v>47</v>
      </c>
      <c r="Z454" s="6"/>
      <c r="AA454" s="5" t="s">
        <v>55</v>
      </c>
      <c r="AB454" s="5" t="s">
        <v>51</v>
      </c>
      <c r="AC454" s="5" t="s">
        <v>485</v>
      </c>
      <c r="AD454" s="5" t="s">
        <v>51</v>
      </c>
      <c r="AE454" s="5" t="s">
        <v>51</v>
      </c>
      <c r="AF454" s="5" t="s">
        <v>64</v>
      </c>
    </row>
    <row r="455" spans="1:32" ht="15.65" customHeight="1" x14ac:dyDescent="0.35">
      <c r="A455" s="5" t="s">
        <v>175</v>
      </c>
      <c r="B455" s="5" t="s">
        <v>176</v>
      </c>
      <c r="C455" s="5" t="s">
        <v>47</v>
      </c>
      <c r="D455" s="5">
        <v>3000264</v>
      </c>
      <c r="E455" s="11">
        <v>3000264</v>
      </c>
      <c r="F455" s="11" t="s">
        <v>479</v>
      </c>
      <c r="G455" s="5" t="s">
        <v>479</v>
      </c>
      <c r="H455" s="5" t="s">
        <v>54</v>
      </c>
      <c r="I455" s="5">
        <v>9913319</v>
      </c>
      <c r="J455" s="6">
        <v>46091</v>
      </c>
      <c r="K455" s="6">
        <v>46091</v>
      </c>
      <c r="L455" s="6">
        <v>46149</v>
      </c>
      <c r="M455" s="7">
        <v>-17</v>
      </c>
      <c r="N455" s="7">
        <v>209215700</v>
      </c>
      <c r="O455" s="7">
        <v>0</v>
      </c>
      <c r="P455" s="7">
        <v>209215700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5" t="s">
        <v>47</v>
      </c>
      <c r="Z455" s="6"/>
      <c r="AA455" s="5" t="s">
        <v>55</v>
      </c>
      <c r="AB455" s="5" t="s">
        <v>51</v>
      </c>
      <c r="AC455" s="5" t="s">
        <v>51</v>
      </c>
      <c r="AD455" s="5" t="s">
        <v>51</v>
      </c>
      <c r="AE455" s="5" t="s">
        <v>486</v>
      </c>
      <c r="AF455" s="5" t="s">
        <v>487</v>
      </c>
    </row>
    <row r="456" spans="1:32" ht="15.65" customHeight="1" x14ac:dyDescent="0.35">
      <c r="A456" s="5" t="s">
        <v>175</v>
      </c>
      <c r="B456" s="5" t="s">
        <v>176</v>
      </c>
      <c r="C456" s="5" t="s">
        <v>47</v>
      </c>
      <c r="D456" s="5">
        <v>3000264</v>
      </c>
      <c r="E456" s="11">
        <v>3100421</v>
      </c>
      <c r="F456" s="11" t="s">
        <v>479</v>
      </c>
      <c r="G456" s="5" t="s">
        <v>479</v>
      </c>
      <c r="H456" s="5" t="s">
        <v>54</v>
      </c>
      <c r="I456" s="5">
        <v>9913320</v>
      </c>
      <c r="J456" s="6">
        <v>46091</v>
      </c>
      <c r="K456" s="6">
        <v>46091</v>
      </c>
      <c r="L456" s="6">
        <v>46149</v>
      </c>
      <c r="M456" s="7">
        <v>-17</v>
      </c>
      <c r="N456" s="7">
        <v>149686049</v>
      </c>
      <c r="O456" s="7">
        <v>0</v>
      </c>
      <c r="P456" s="7">
        <v>149686049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5" t="s">
        <v>47</v>
      </c>
      <c r="Z456" s="6"/>
      <c r="AA456" s="5" t="s">
        <v>55</v>
      </c>
      <c r="AB456" s="5" t="s">
        <v>51</v>
      </c>
      <c r="AC456" s="5" t="s">
        <v>51</v>
      </c>
      <c r="AD456" s="5" t="s">
        <v>51</v>
      </c>
      <c r="AE456" s="5" t="s">
        <v>488</v>
      </c>
      <c r="AF456" s="5" t="s">
        <v>489</v>
      </c>
    </row>
    <row r="457" spans="1:32" ht="15.65" customHeight="1" x14ac:dyDescent="0.35">
      <c r="A457" s="5" t="s">
        <v>175</v>
      </c>
      <c r="B457" s="5" t="s">
        <v>176</v>
      </c>
      <c r="C457" s="5" t="s">
        <v>47</v>
      </c>
      <c r="D457" s="5">
        <v>3000264</v>
      </c>
      <c r="E457" s="11">
        <v>3100421</v>
      </c>
      <c r="F457" s="11" t="s">
        <v>479</v>
      </c>
      <c r="G457" s="5" t="s">
        <v>479</v>
      </c>
      <c r="H457" s="5" t="s">
        <v>54</v>
      </c>
      <c r="I457" s="5">
        <v>9913322</v>
      </c>
      <c r="J457" s="6">
        <v>46091</v>
      </c>
      <c r="K457" s="6">
        <v>46091</v>
      </c>
      <c r="L457" s="6">
        <v>46149</v>
      </c>
      <c r="M457" s="7">
        <v>-17</v>
      </c>
      <c r="N457" s="7">
        <v>789769</v>
      </c>
      <c r="O457" s="7">
        <v>0</v>
      </c>
      <c r="P457" s="7">
        <v>789769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5" t="s">
        <v>47</v>
      </c>
      <c r="Z457" s="6"/>
      <c r="AA457" s="5" t="s">
        <v>55</v>
      </c>
      <c r="AB457" s="5" t="s">
        <v>51</v>
      </c>
      <c r="AC457" s="5" t="s">
        <v>51</v>
      </c>
      <c r="AD457" s="5" t="s">
        <v>51</v>
      </c>
      <c r="AE457" s="5" t="s">
        <v>154</v>
      </c>
      <c r="AF457" s="5" t="s">
        <v>320</v>
      </c>
    </row>
    <row r="458" spans="1:32" ht="15.65" customHeight="1" x14ac:dyDescent="0.35">
      <c r="A458" s="5" t="s">
        <v>175</v>
      </c>
      <c r="B458" s="5" t="s">
        <v>176</v>
      </c>
      <c r="C458" s="5" t="s">
        <v>47</v>
      </c>
      <c r="D458" s="5">
        <v>3000264</v>
      </c>
      <c r="E458" s="11">
        <v>3100421</v>
      </c>
      <c r="F458" s="11" t="s">
        <v>479</v>
      </c>
      <c r="G458" s="5" t="s">
        <v>479</v>
      </c>
      <c r="H458" s="5" t="s">
        <v>54</v>
      </c>
      <c r="I458" s="5">
        <v>9920904</v>
      </c>
      <c r="J458" s="6">
        <v>46112</v>
      </c>
      <c r="K458" s="6">
        <v>46112</v>
      </c>
      <c r="L458" s="6">
        <v>46170</v>
      </c>
      <c r="M458" s="7">
        <v>-38</v>
      </c>
      <c r="N458" s="7">
        <v>179204824</v>
      </c>
      <c r="O458" s="7">
        <v>0</v>
      </c>
      <c r="P458" s="7">
        <v>179204824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5" t="s">
        <v>47</v>
      </c>
      <c r="Z458" s="6"/>
      <c r="AA458" s="5" t="s">
        <v>55</v>
      </c>
      <c r="AB458" s="5" t="s">
        <v>51</v>
      </c>
      <c r="AC458" s="5" t="s">
        <v>51</v>
      </c>
      <c r="AD458" s="5" t="s">
        <v>51</v>
      </c>
      <c r="AE458" s="5" t="s">
        <v>490</v>
      </c>
      <c r="AF458" s="5" t="s">
        <v>195</v>
      </c>
    </row>
    <row r="459" spans="1:32" ht="15.65" customHeight="1" x14ac:dyDescent="0.35">
      <c r="A459" s="5" t="s">
        <v>175</v>
      </c>
      <c r="B459" s="5" t="s">
        <v>176</v>
      </c>
      <c r="C459" s="5" t="s">
        <v>47</v>
      </c>
      <c r="D459" s="5">
        <v>3000264</v>
      </c>
      <c r="E459" s="11">
        <v>3100421</v>
      </c>
      <c r="F459" s="11" t="s">
        <v>479</v>
      </c>
      <c r="G459" s="5" t="s">
        <v>479</v>
      </c>
      <c r="H459" s="5" t="s">
        <v>54</v>
      </c>
      <c r="I459" s="5">
        <v>9920906</v>
      </c>
      <c r="J459" s="6">
        <v>46112</v>
      </c>
      <c r="K459" s="6">
        <v>46112</v>
      </c>
      <c r="L459" s="6">
        <v>46170</v>
      </c>
      <c r="M459" s="7">
        <v>-38</v>
      </c>
      <c r="N459" s="7">
        <v>1999998</v>
      </c>
      <c r="O459" s="7">
        <v>0</v>
      </c>
      <c r="P459" s="7">
        <v>1999998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5" t="s">
        <v>47</v>
      </c>
      <c r="Z459" s="6"/>
      <c r="AA459" s="5" t="s">
        <v>55</v>
      </c>
      <c r="AB459" s="5" t="s">
        <v>51</v>
      </c>
      <c r="AC459" s="5" t="s">
        <v>51</v>
      </c>
      <c r="AD459" s="5" t="s">
        <v>51</v>
      </c>
      <c r="AE459" s="5" t="s">
        <v>491</v>
      </c>
      <c r="AF459" s="5" t="s">
        <v>426</v>
      </c>
    </row>
    <row r="460" spans="1:32" ht="15.65" customHeight="1" x14ac:dyDescent="0.35">
      <c r="A460" s="5" t="s">
        <v>175</v>
      </c>
      <c r="B460" s="5" t="s">
        <v>176</v>
      </c>
      <c r="C460" s="5" t="s">
        <v>47</v>
      </c>
      <c r="D460" s="5">
        <v>3000264</v>
      </c>
      <c r="E460" s="11">
        <v>3000264</v>
      </c>
      <c r="F460" s="11" t="s">
        <v>479</v>
      </c>
      <c r="G460" s="5" t="s">
        <v>479</v>
      </c>
      <c r="H460" s="5" t="s">
        <v>54</v>
      </c>
      <c r="I460" s="5">
        <v>9920928</v>
      </c>
      <c r="J460" s="6">
        <v>46112</v>
      </c>
      <c r="K460" s="6">
        <v>46112</v>
      </c>
      <c r="L460" s="6">
        <v>46170</v>
      </c>
      <c r="M460" s="7">
        <v>-38</v>
      </c>
      <c r="N460" s="7">
        <v>279138458</v>
      </c>
      <c r="O460" s="7">
        <v>0</v>
      </c>
      <c r="P460" s="7">
        <v>279138458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5" t="s">
        <v>47</v>
      </c>
      <c r="Z460" s="6"/>
      <c r="AA460" s="5" t="s">
        <v>55</v>
      </c>
      <c r="AB460" s="5" t="s">
        <v>51</v>
      </c>
      <c r="AC460" s="5" t="s">
        <v>51</v>
      </c>
      <c r="AD460" s="5" t="s">
        <v>51</v>
      </c>
      <c r="AE460" s="5" t="s">
        <v>492</v>
      </c>
      <c r="AF460" s="5" t="s">
        <v>493</v>
      </c>
    </row>
    <row r="461" spans="1:32" ht="15.65" customHeight="1" x14ac:dyDescent="0.35">
      <c r="A461" s="5" t="s">
        <v>175</v>
      </c>
      <c r="B461" s="5" t="s">
        <v>176</v>
      </c>
      <c r="C461" s="5" t="s">
        <v>47</v>
      </c>
      <c r="D461" s="5">
        <v>3000264</v>
      </c>
      <c r="E461" s="11">
        <v>3000264</v>
      </c>
      <c r="F461" s="11" t="s">
        <v>479</v>
      </c>
      <c r="G461" s="5" t="s">
        <v>479</v>
      </c>
      <c r="H461" s="5" t="s">
        <v>54</v>
      </c>
      <c r="I461" s="5">
        <v>9920938</v>
      </c>
      <c r="J461" s="6">
        <v>46112</v>
      </c>
      <c r="K461" s="6">
        <v>46112</v>
      </c>
      <c r="L461" s="6">
        <v>46170</v>
      </c>
      <c r="M461" s="7">
        <v>-38</v>
      </c>
      <c r="N461" s="7">
        <v>640639</v>
      </c>
      <c r="O461" s="7">
        <v>0</v>
      </c>
      <c r="P461" s="7">
        <v>640639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5" t="s">
        <v>47</v>
      </c>
      <c r="Z461" s="6"/>
      <c r="AA461" s="5" t="s">
        <v>55</v>
      </c>
      <c r="AB461" s="5" t="s">
        <v>51</v>
      </c>
      <c r="AC461" s="5" t="s">
        <v>51</v>
      </c>
      <c r="AD461" s="5" t="s">
        <v>51</v>
      </c>
      <c r="AE461" s="5" t="s">
        <v>494</v>
      </c>
      <c r="AF461" s="5" t="s">
        <v>163</v>
      </c>
    </row>
    <row r="462" spans="1:32" ht="15.65" customHeight="1" x14ac:dyDescent="0.35">
      <c r="A462" s="5" t="s">
        <v>175</v>
      </c>
      <c r="B462" s="5" t="s">
        <v>176</v>
      </c>
      <c r="C462" s="5" t="s">
        <v>47</v>
      </c>
      <c r="D462" s="5">
        <v>3000264</v>
      </c>
      <c r="E462" s="11">
        <v>3000264</v>
      </c>
      <c r="F462" s="11" t="s">
        <v>479</v>
      </c>
      <c r="G462" s="5" t="s">
        <v>479</v>
      </c>
      <c r="H462" s="5" t="s">
        <v>54</v>
      </c>
      <c r="I462" s="5">
        <v>9926363</v>
      </c>
      <c r="J462" s="6">
        <v>46128</v>
      </c>
      <c r="K462" s="6">
        <v>46128</v>
      </c>
      <c r="L462" s="6">
        <v>46186</v>
      </c>
      <c r="M462" s="7">
        <v>-54</v>
      </c>
      <c r="N462" s="7">
        <v>426307</v>
      </c>
      <c r="O462" s="7">
        <v>0</v>
      </c>
      <c r="P462" s="7">
        <v>426307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5" t="s">
        <v>47</v>
      </c>
      <c r="Z462" s="6"/>
      <c r="AA462" s="5" t="s">
        <v>55</v>
      </c>
      <c r="AB462" s="5" t="s">
        <v>51</v>
      </c>
      <c r="AC462" s="5" t="s">
        <v>51</v>
      </c>
      <c r="AD462" s="5" t="s">
        <v>51</v>
      </c>
      <c r="AE462" s="5" t="s">
        <v>495</v>
      </c>
      <c r="AF462" s="5" t="s">
        <v>496</v>
      </c>
    </row>
    <row r="463" spans="1:32" ht="15.65" customHeight="1" x14ac:dyDescent="0.35">
      <c r="A463" s="5" t="s">
        <v>175</v>
      </c>
      <c r="B463" s="5" t="s">
        <v>176</v>
      </c>
      <c r="C463" s="5" t="s">
        <v>187</v>
      </c>
      <c r="D463" s="5">
        <v>3000264</v>
      </c>
      <c r="E463" s="11">
        <v>3100669</v>
      </c>
      <c r="F463" s="11" t="s">
        <v>479</v>
      </c>
      <c r="G463" s="5" t="s">
        <v>479</v>
      </c>
      <c r="H463" s="5" t="s">
        <v>54</v>
      </c>
      <c r="I463" s="5">
        <v>9926632</v>
      </c>
      <c r="J463" s="6">
        <v>46129</v>
      </c>
      <c r="K463" s="6">
        <v>46129</v>
      </c>
      <c r="L463" s="6">
        <v>46175</v>
      </c>
      <c r="M463" s="7">
        <v>-43</v>
      </c>
      <c r="N463" s="7">
        <v>251398947</v>
      </c>
      <c r="O463" s="7">
        <v>0</v>
      </c>
      <c r="P463" s="7">
        <v>251398947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5" t="s">
        <v>187</v>
      </c>
      <c r="Z463" s="6"/>
      <c r="AA463" s="5" t="s">
        <v>55</v>
      </c>
      <c r="AB463" s="5" t="s">
        <v>51</v>
      </c>
      <c r="AC463" s="5" t="s">
        <v>51</v>
      </c>
      <c r="AD463" s="5" t="s">
        <v>51</v>
      </c>
      <c r="AE463" s="5" t="s">
        <v>497</v>
      </c>
      <c r="AF463" s="5" t="s">
        <v>62</v>
      </c>
    </row>
    <row r="464" spans="1:32" ht="15.65" customHeight="1" x14ac:dyDescent="0.35">
      <c r="A464" s="5" t="s">
        <v>498</v>
      </c>
      <c r="B464" s="5" t="s">
        <v>499</v>
      </c>
      <c r="C464" s="5" t="s">
        <v>47</v>
      </c>
      <c r="D464" s="5">
        <v>3000302</v>
      </c>
      <c r="E464" s="11">
        <v>3000302</v>
      </c>
      <c r="F464" s="11" t="s">
        <v>500</v>
      </c>
      <c r="G464" s="5" t="s">
        <v>500</v>
      </c>
      <c r="H464" s="5" t="s">
        <v>54</v>
      </c>
      <c r="I464" s="5">
        <v>6954170</v>
      </c>
      <c r="J464" s="6">
        <v>46087</v>
      </c>
      <c r="K464" s="6">
        <v>46087</v>
      </c>
      <c r="L464" s="6">
        <v>46087</v>
      </c>
      <c r="M464" s="7">
        <v>45</v>
      </c>
      <c r="N464" s="7">
        <v>-4632500</v>
      </c>
      <c r="O464" s="7">
        <v>-4632500</v>
      </c>
      <c r="P464" s="7">
        <v>0</v>
      </c>
      <c r="Q464" s="7">
        <v>0</v>
      </c>
      <c r="R464" s="7">
        <v>-4632500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5" t="s">
        <v>47</v>
      </c>
      <c r="Z464" s="6"/>
      <c r="AA464" s="5" t="s">
        <v>501</v>
      </c>
      <c r="AB464" s="5" t="s">
        <v>51</v>
      </c>
      <c r="AC464" s="5" t="s">
        <v>51</v>
      </c>
      <c r="AD464" s="5" t="s">
        <v>51</v>
      </c>
      <c r="AE464" s="5" t="s">
        <v>51</v>
      </c>
      <c r="AF464" s="5" t="s">
        <v>502</v>
      </c>
    </row>
    <row r="465" spans="1:32" ht="15.65" customHeight="1" x14ac:dyDescent="0.35">
      <c r="A465" s="5" t="s">
        <v>498</v>
      </c>
      <c r="B465" s="5" t="s">
        <v>499</v>
      </c>
      <c r="C465" s="5" t="s">
        <v>47</v>
      </c>
      <c r="D465" s="5">
        <v>3000302</v>
      </c>
      <c r="E465" s="11">
        <v>3000302</v>
      </c>
      <c r="F465" s="11" t="s">
        <v>500</v>
      </c>
      <c r="G465" s="5" t="s">
        <v>500</v>
      </c>
      <c r="H465" s="5" t="s">
        <v>111</v>
      </c>
      <c r="I465" s="5">
        <v>6954947</v>
      </c>
      <c r="J465" s="6">
        <v>46091</v>
      </c>
      <c r="K465" s="6">
        <v>46091</v>
      </c>
      <c r="L465" s="6">
        <v>46091</v>
      </c>
      <c r="M465" s="7">
        <v>41</v>
      </c>
      <c r="N465" s="7">
        <v>-547843</v>
      </c>
      <c r="O465" s="7">
        <v>-547843</v>
      </c>
      <c r="P465" s="7">
        <v>0</v>
      </c>
      <c r="Q465" s="7">
        <v>0</v>
      </c>
      <c r="R465" s="7">
        <v>-547843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5" t="s">
        <v>47</v>
      </c>
      <c r="Z465" s="6"/>
      <c r="AA465" s="5" t="s">
        <v>501</v>
      </c>
      <c r="AB465" s="5" t="s">
        <v>51</v>
      </c>
      <c r="AC465" s="5" t="s">
        <v>51</v>
      </c>
      <c r="AD465" s="5" t="s">
        <v>51</v>
      </c>
      <c r="AE465" s="5" t="s">
        <v>51</v>
      </c>
      <c r="AF465" s="5" t="s">
        <v>487</v>
      </c>
    </row>
    <row r="466" spans="1:32" ht="15.65" customHeight="1" x14ac:dyDescent="0.35">
      <c r="A466" s="5" t="s">
        <v>498</v>
      </c>
      <c r="B466" s="5" t="s">
        <v>499</v>
      </c>
      <c r="C466" s="5" t="s">
        <v>47</v>
      </c>
      <c r="D466" s="5">
        <v>3000302</v>
      </c>
      <c r="E466" s="11">
        <v>3000302</v>
      </c>
      <c r="F466" s="11" t="s">
        <v>500</v>
      </c>
      <c r="G466" s="5" t="s">
        <v>500</v>
      </c>
      <c r="H466" s="5" t="s">
        <v>54</v>
      </c>
      <c r="I466" s="5">
        <v>6955025</v>
      </c>
      <c r="J466" s="6">
        <v>46092</v>
      </c>
      <c r="K466" s="6">
        <v>46092</v>
      </c>
      <c r="L466" s="6">
        <v>46092</v>
      </c>
      <c r="M466" s="7">
        <v>40</v>
      </c>
      <c r="N466" s="7">
        <v>-174618000</v>
      </c>
      <c r="O466" s="7">
        <v>-174618000</v>
      </c>
      <c r="P466" s="7">
        <v>0</v>
      </c>
      <c r="Q466" s="7">
        <v>0</v>
      </c>
      <c r="R466" s="7">
        <v>-174618000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5" t="s">
        <v>47</v>
      </c>
      <c r="Z466" s="6"/>
      <c r="AA466" s="5" t="s">
        <v>501</v>
      </c>
      <c r="AB466" s="5" t="s">
        <v>51</v>
      </c>
      <c r="AC466" s="5" t="s">
        <v>51</v>
      </c>
      <c r="AD466" s="5" t="s">
        <v>51</v>
      </c>
      <c r="AE466" s="5" t="s">
        <v>51</v>
      </c>
      <c r="AF466" s="5" t="s">
        <v>503</v>
      </c>
    </row>
    <row r="467" spans="1:32" ht="15.65" customHeight="1" x14ac:dyDescent="0.35">
      <c r="A467" s="5" t="s">
        <v>498</v>
      </c>
      <c r="B467" s="5" t="s">
        <v>499</v>
      </c>
      <c r="C467" s="5" t="s">
        <v>47</v>
      </c>
      <c r="D467" s="5">
        <v>3000302</v>
      </c>
      <c r="E467" s="11">
        <v>3000302</v>
      </c>
      <c r="F467" s="11" t="s">
        <v>500</v>
      </c>
      <c r="G467" s="5" t="s">
        <v>500</v>
      </c>
      <c r="H467" s="5" t="s">
        <v>54</v>
      </c>
      <c r="I467" s="5">
        <v>6955678</v>
      </c>
      <c r="J467" s="6">
        <v>46095</v>
      </c>
      <c r="K467" s="6">
        <v>46095</v>
      </c>
      <c r="L467" s="6">
        <v>46095</v>
      </c>
      <c r="M467" s="7">
        <v>37</v>
      </c>
      <c r="N467" s="7">
        <v>-21210000</v>
      </c>
      <c r="O467" s="7">
        <v>-21210000</v>
      </c>
      <c r="P467" s="7">
        <v>0</v>
      </c>
      <c r="Q467" s="7">
        <v>0</v>
      </c>
      <c r="R467" s="7">
        <v>-21210000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5" t="s">
        <v>47</v>
      </c>
      <c r="Z467" s="6"/>
      <c r="AA467" s="5" t="s">
        <v>501</v>
      </c>
      <c r="AB467" s="5" t="s">
        <v>51</v>
      </c>
      <c r="AC467" s="5" t="s">
        <v>51</v>
      </c>
      <c r="AD467" s="5" t="s">
        <v>51</v>
      </c>
      <c r="AE467" s="5" t="s">
        <v>51</v>
      </c>
      <c r="AF467" s="5" t="s">
        <v>504</v>
      </c>
    </row>
    <row r="468" spans="1:32" ht="15.65" customHeight="1" x14ac:dyDescent="0.35">
      <c r="A468" s="5" t="s">
        <v>498</v>
      </c>
      <c r="B468" s="5" t="s">
        <v>499</v>
      </c>
      <c r="C468" s="5" t="s">
        <v>47</v>
      </c>
      <c r="D468" s="5">
        <v>3000302</v>
      </c>
      <c r="E468" s="5">
        <v>3000302</v>
      </c>
      <c r="F468" s="5" t="s">
        <v>500</v>
      </c>
      <c r="G468" s="5" t="s">
        <v>500</v>
      </c>
      <c r="H468" s="5" t="s">
        <v>54</v>
      </c>
      <c r="I468" s="5">
        <v>6956521</v>
      </c>
      <c r="J468" s="6">
        <v>46103</v>
      </c>
      <c r="K468" s="6">
        <v>46103</v>
      </c>
      <c r="L468" s="6">
        <v>46103</v>
      </c>
      <c r="M468" s="7">
        <v>29</v>
      </c>
      <c r="N468" s="7">
        <v>-133844918</v>
      </c>
      <c r="O468" s="7">
        <v>-133844918</v>
      </c>
      <c r="P468" s="7">
        <v>0</v>
      </c>
      <c r="Q468" s="7">
        <v>-133844918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5" t="s">
        <v>47</v>
      </c>
      <c r="Z468" s="6"/>
      <c r="AA468" s="5" t="s">
        <v>501</v>
      </c>
      <c r="AB468" s="5" t="s">
        <v>51</v>
      </c>
      <c r="AC468" s="5" t="s">
        <v>51</v>
      </c>
      <c r="AD468" s="5" t="s">
        <v>51</v>
      </c>
      <c r="AE468" s="5" t="s">
        <v>51</v>
      </c>
      <c r="AF468" s="5" t="s">
        <v>56</v>
      </c>
    </row>
    <row r="469" spans="1:32" ht="15.65" customHeight="1" x14ac:dyDescent="0.35">
      <c r="A469" s="5" t="s">
        <v>498</v>
      </c>
      <c r="B469" s="5" t="s">
        <v>499</v>
      </c>
      <c r="C469" s="5" t="s">
        <v>47</v>
      </c>
      <c r="D469" s="5">
        <v>3000302</v>
      </c>
      <c r="E469" s="11">
        <v>3000302</v>
      </c>
      <c r="F469" s="11" t="s">
        <v>500</v>
      </c>
      <c r="G469" s="5" t="s">
        <v>500</v>
      </c>
      <c r="H469" s="5" t="s">
        <v>54</v>
      </c>
      <c r="I469" s="5">
        <v>6956841</v>
      </c>
      <c r="J469" s="6">
        <v>46106</v>
      </c>
      <c r="K469" s="6">
        <v>46106</v>
      </c>
      <c r="L469" s="6">
        <v>46106</v>
      </c>
      <c r="M469" s="7">
        <v>26</v>
      </c>
      <c r="N469" s="7">
        <v>-15670259</v>
      </c>
      <c r="O469" s="7">
        <v>-15670259</v>
      </c>
      <c r="P469" s="7">
        <v>0</v>
      </c>
      <c r="Q469" s="7">
        <v>-15670259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5" t="s">
        <v>47</v>
      </c>
      <c r="Z469" s="6"/>
      <c r="AA469" s="5" t="s">
        <v>501</v>
      </c>
      <c r="AB469" s="5" t="s">
        <v>51</v>
      </c>
      <c r="AC469" s="5" t="s">
        <v>51</v>
      </c>
      <c r="AD469" s="5" t="s">
        <v>51</v>
      </c>
      <c r="AE469" s="5" t="s">
        <v>51</v>
      </c>
      <c r="AF469" s="5" t="s">
        <v>505</v>
      </c>
    </row>
    <row r="470" spans="1:32" ht="15.65" customHeight="1" x14ac:dyDescent="0.35">
      <c r="A470" s="5" t="s">
        <v>498</v>
      </c>
      <c r="B470" s="5" t="s">
        <v>499</v>
      </c>
      <c r="C470" s="5" t="s">
        <v>47</v>
      </c>
      <c r="D470" s="5">
        <v>3000302</v>
      </c>
      <c r="E470" s="11">
        <v>3000302</v>
      </c>
      <c r="F470" s="11" t="s">
        <v>500</v>
      </c>
      <c r="G470" s="5" t="s">
        <v>500</v>
      </c>
      <c r="H470" s="5" t="s">
        <v>54</v>
      </c>
      <c r="I470" s="5">
        <v>6957377</v>
      </c>
      <c r="J470" s="6">
        <v>46106</v>
      </c>
      <c r="K470" s="6">
        <v>46106</v>
      </c>
      <c r="L470" s="6">
        <v>46106</v>
      </c>
      <c r="M470" s="7">
        <v>26</v>
      </c>
      <c r="N470" s="7">
        <v>-10355000</v>
      </c>
      <c r="O470" s="7">
        <v>-10355000</v>
      </c>
      <c r="P470" s="7">
        <v>0</v>
      </c>
      <c r="Q470" s="7">
        <v>-10355000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5" t="s">
        <v>47</v>
      </c>
      <c r="Z470" s="6"/>
      <c r="AA470" s="5" t="s">
        <v>501</v>
      </c>
      <c r="AB470" s="5" t="s">
        <v>51</v>
      </c>
      <c r="AC470" s="5" t="s">
        <v>51</v>
      </c>
      <c r="AD470" s="5" t="s">
        <v>51</v>
      </c>
      <c r="AE470" s="5" t="s">
        <v>51</v>
      </c>
      <c r="AF470" s="5" t="s">
        <v>506</v>
      </c>
    </row>
    <row r="471" spans="1:32" ht="15.65" customHeight="1" x14ac:dyDescent="0.35">
      <c r="A471" s="5" t="s">
        <v>498</v>
      </c>
      <c r="B471" s="5" t="s">
        <v>499</v>
      </c>
      <c r="C471" s="5" t="s">
        <v>47</v>
      </c>
      <c r="D471" s="5">
        <v>3000302</v>
      </c>
      <c r="E471" s="11">
        <v>3000302</v>
      </c>
      <c r="F471" s="11" t="s">
        <v>500</v>
      </c>
      <c r="G471" s="5" t="s">
        <v>500</v>
      </c>
      <c r="H471" s="5" t="s">
        <v>54</v>
      </c>
      <c r="I471" s="5">
        <v>6957378</v>
      </c>
      <c r="J471" s="6">
        <v>46106</v>
      </c>
      <c r="K471" s="6">
        <v>46106</v>
      </c>
      <c r="L471" s="6">
        <v>46106</v>
      </c>
      <c r="M471" s="7">
        <v>26</v>
      </c>
      <c r="N471" s="7">
        <v>-5177500</v>
      </c>
      <c r="O471" s="7">
        <v>-5177500</v>
      </c>
      <c r="P471" s="7">
        <v>0</v>
      </c>
      <c r="Q471" s="7">
        <v>-5177500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5" t="s">
        <v>47</v>
      </c>
      <c r="Z471" s="6"/>
      <c r="AA471" s="5" t="s">
        <v>501</v>
      </c>
      <c r="AB471" s="5" t="s">
        <v>51</v>
      </c>
      <c r="AC471" s="5" t="s">
        <v>51</v>
      </c>
      <c r="AD471" s="5" t="s">
        <v>51</v>
      </c>
      <c r="AE471" s="5" t="s">
        <v>51</v>
      </c>
      <c r="AF471" s="5" t="s">
        <v>506</v>
      </c>
    </row>
    <row r="472" spans="1:32" ht="15.65" customHeight="1" x14ac:dyDescent="0.35">
      <c r="A472" s="5" t="s">
        <v>498</v>
      </c>
      <c r="B472" s="5" t="s">
        <v>499</v>
      </c>
      <c r="C472" s="5" t="s">
        <v>47</v>
      </c>
      <c r="D472" s="5">
        <v>3000302</v>
      </c>
      <c r="E472" s="11">
        <v>3000302</v>
      </c>
      <c r="F472" s="11" t="s">
        <v>500</v>
      </c>
      <c r="G472" s="5" t="s">
        <v>500</v>
      </c>
      <c r="H472" s="5" t="s">
        <v>54</v>
      </c>
      <c r="I472" s="5">
        <v>6957379</v>
      </c>
      <c r="J472" s="6">
        <v>46106</v>
      </c>
      <c r="K472" s="6">
        <v>46106</v>
      </c>
      <c r="L472" s="6">
        <v>46106</v>
      </c>
      <c r="M472" s="7">
        <v>26</v>
      </c>
      <c r="N472" s="7">
        <v>-5177500</v>
      </c>
      <c r="O472" s="7">
        <v>-5177500</v>
      </c>
      <c r="P472" s="7">
        <v>0</v>
      </c>
      <c r="Q472" s="7">
        <v>-5177500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5" t="s">
        <v>47</v>
      </c>
      <c r="Z472" s="6"/>
      <c r="AA472" s="5" t="s">
        <v>501</v>
      </c>
      <c r="AB472" s="5" t="s">
        <v>51</v>
      </c>
      <c r="AC472" s="5" t="s">
        <v>51</v>
      </c>
      <c r="AD472" s="5" t="s">
        <v>51</v>
      </c>
      <c r="AE472" s="5" t="s">
        <v>51</v>
      </c>
      <c r="AF472" s="5" t="s">
        <v>506</v>
      </c>
    </row>
    <row r="473" spans="1:32" ht="15.65" customHeight="1" x14ac:dyDescent="0.35">
      <c r="A473" s="5" t="s">
        <v>498</v>
      </c>
      <c r="B473" s="5" t="s">
        <v>499</v>
      </c>
      <c r="C473" s="5" t="s">
        <v>47</v>
      </c>
      <c r="D473" s="5">
        <v>3000302</v>
      </c>
      <c r="E473" s="11">
        <v>3000302</v>
      </c>
      <c r="F473" s="11" t="s">
        <v>500</v>
      </c>
      <c r="G473" s="5" t="s">
        <v>500</v>
      </c>
      <c r="H473" s="5" t="s">
        <v>54</v>
      </c>
      <c r="I473" s="5">
        <v>6957692</v>
      </c>
      <c r="J473" s="6">
        <v>46112</v>
      </c>
      <c r="K473" s="6">
        <v>46112</v>
      </c>
      <c r="L473" s="6">
        <v>46112</v>
      </c>
      <c r="M473" s="7">
        <v>20</v>
      </c>
      <c r="N473" s="7">
        <v>-22187605</v>
      </c>
      <c r="O473" s="7">
        <v>-22187605</v>
      </c>
      <c r="P473" s="7">
        <v>0</v>
      </c>
      <c r="Q473" s="7">
        <v>-22187605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5" t="s">
        <v>47</v>
      </c>
      <c r="Z473" s="6"/>
      <c r="AA473" s="5" t="s">
        <v>501</v>
      </c>
      <c r="AB473" s="5" t="s">
        <v>51</v>
      </c>
      <c r="AC473" s="5" t="s">
        <v>51</v>
      </c>
      <c r="AD473" s="5" t="s">
        <v>51</v>
      </c>
      <c r="AE473" s="5" t="s">
        <v>51</v>
      </c>
      <c r="AF473" s="5" t="s">
        <v>507</v>
      </c>
    </row>
    <row r="474" spans="1:32" ht="15.65" customHeight="1" x14ac:dyDescent="0.35">
      <c r="A474" s="5" t="s">
        <v>498</v>
      </c>
      <c r="B474" s="5" t="s">
        <v>499</v>
      </c>
      <c r="C474" s="5" t="s">
        <v>47</v>
      </c>
      <c r="D474" s="5">
        <v>3000302</v>
      </c>
      <c r="E474" s="11">
        <v>3000302</v>
      </c>
      <c r="F474" s="11" t="s">
        <v>500</v>
      </c>
      <c r="G474" s="5" t="s">
        <v>500</v>
      </c>
      <c r="H474" s="5" t="s">
        <v>111</v>
      </c>
      <c r="I474" s="5">
        <v>6958219</v>
      </c>
      <c r="J474" s="6">
        <v>46119</v>
      </c>
      <c r="K474" s="6">
        <v>46119</v>
      </c>
      <c r="L474" s="6">
        <v>46119</v>
      </c>
      <c r="M474" s="7">
        <v>13</v>
      </c>
      <c r="N474" s="7">
        <v>-8696378</v>
      </c>
      <c r="O474" s="7">
        <v>-8696378</v>
      </c>
      <c r="P474" s="7">
        <v>0</v>
      </c>
      <c r="Q474" s="7">
        <v>-8696378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5" t="s">
        <v>47</v>
      </c>
      <c r="Z474" s="6"/>
      <c r="AA474" s="5" t="s">
        <v>501</v>
      </c>
      <c r="AB474" s="5" t="s">
        <v>51</v>
      </c>
      <c r="AC474" s="5" t="s">
        <v>51</v>
      </c>
      <c r="AD474" s="5" t="s">
        <v>51</v>
      </c>
      <c r="AE474" s="5" t="s">
        <v>51</v>
      </c>
      <c r="AF474" s="5" t="s">
        <v>508</v>
      </c>
    </row>
    <row r="475" spans="1:32" ht="15.65" customHeight="1" x14ac:dyDescent="0.35">
      <c r="A475" s="5" t="s">
        <v>498</v>
      </c>
      <c r="B475" s="5" t="s">
        <v>499</v>
      </c>
      <c r="C475" s="5" t="s">
        <v>47</v>
      </c>
      <c r="D475" s="5">
        <v>3000302</v>
      </c>
      <c r="E475" s="11">
        <v>3000302</v>
      </c>
      <c r="F475" s="11" t="s">
        <v>500</v>
      </c>
      <c r="G475" s="5" t="s">
        <v>500</v>
      </c>
      <c r="H475" s="5" t="s">
        <v>54</v>
      </c>
      <c r="I475" s="5">
        <v>6958653</v>
      </c>
      <c r="J475" s="6">
        <v>46122</v>
      </c>
      <c r="K475" s="6">
        <v>46122</v>
      </c>
      <c r="L475" s="6">
        <v>46122</v>
      </c>
      <c r="M475" s="7">
        <v>10</v>
      </c>
      <c r="N475" s="7">
        <v>-4361562</v>
      </c>
      <c r="O475" s="7">
        <v>-4361562</v>
      </c>
      <c r="P475" s="7">
        <v>0</v>
      </c>
      <c r="Q475" s="7">
        <v>-4361562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5" t="s">
        <v>47</v>
      </c>
      <c r="Z475" s="6"/>
      <c r="AA475" s="5" t="s">
        <v>501</v>
      </c>
      <c r="AB475" s="5" t="s">
        <v>51</v>
      </c>
      <c r="AC475" s="5" t="s">
        <v>51</v>
      </c>
      <c r="AD475" s="5" t="s">
        <v>51</v>
      </c>
      <c r="AE475" s="5" t="s">
        <v>51</v>
      </c>
      <c r="AF475" s="5" t="s">
        <v>509</v>
      </c>
    </row>
    <row r="476" spans="1:32" ht="15.65" customHeight="1" x14ac:dyDescent="0.35">
      <c r="A476" s="5" t="s">
        <v>498</v>
      </c>
      <c r="B476" s="5" t="s">
        <v>499</v>
      </c>
      <c r="C476" s="5" t="s">
        <v>47</v>
      </c>
      <c r="D476" s="5">
        <v>3000302</v>
      </c>
      <c r="E476" s="11">
        <v>3000302</v>
      </c>
      <c r="F476" s="11" t="s">
        <v>500</v>
      </c>
      <c r="G476" s="5" t="s">
        <v>500</v>
      </c>
      <c r="H476" s="5" t="s">
        <v>54</v>
      </c>
      <c r="I476" s="5">
        <v>6960231</v>
      </c>
      <c r="J476" s="6">
        <v>46130</v>
      </c>
      <c r="K476" s="6">
        <v>46130</v>
      </c>
      <c r="L476" s="6">
        <v>46130</v>
      </c>
      <c r="M476" s="7">
        <v>2</v>
      </c>
      <c r="N476" s="7">
        <v>-625920</v>
      </c>
      <c r="O476" s="7">
        <v>-625920</v>
      </c>
      <c r="P476" s="7">
        <v>0</v>
      </c>
      <c r="Q476" s="7">
        <v>-625920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5" t="s">
        <v>47</v>
      </c>
      <c r="Z476" s="6"/>
      <c r="AA476" s="5" t="s">
        <v>501</v>
      </c>
      <c r="AB476" s="5" t="s">
        <v>51</v>
      </c>
      <c r="AC476" s="5" t="s">
        <v>51</v>
      </c>
      <c r="AD476" s="5" t="s">
        <v>51</v>
      </c>
      <c r="AE476" s="5" t="s">
        <v>51</v>
      </c>
      <c r="AF476" s="5" t="s">
        <v>505</v>
      </c>
    </row>
    <row r="477" spans="1:32" ht="15.65" customHeight="1" x14ac:dyDescent="0.35">
      <c r="A477" s="5" t="s">
        <v>498</v>
      </c>
      <c r="B477" s="5" t="s">
        <v>499</v>
      </c>
      <c r="C477" s="5" t="s">
        <v>47</v>
      </c>
      <c r="D477" s="5">
        <v>3000302</v>
      </c>
      <c r="E477" s="11">
        <v>3000302</v>
      </c>
      <c r="F477" s="11" t="s">
        <v>500</v>
      </c>
      <c r="G477" s="5" t="s">
        <v>500</v>
      </c>
      <c r="H477" s="5" t="s">
        <v>54</v>
      </c>
      <c r="I477" s="5">
        <v>6960232</v>
      </c>
      <c r="J477" s="6">
        <v>46130</v>
      </c>
      <c r="K477" s="6">
        <v>46130</v>
      </c>
      <c r="L477" s="6">
        <v>46130</v>
      </c>
      <c r="M477" s="7">
        <v>2</v>
      </c>
      <c r="N477" s="7">
        <v>-274320</v>
      </c>
      <c r="O477" s="7">
        <v>-274320</v>
      </c>
      <c r="P477" s="7">
        <v>0</v>
      </c>
      <c r="Q477" s="7">
        <v>-274320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5" t="s">
        <v>47</v>
      </c>
      <c r="Z477" s="6"/>
      <c r="AA477" s="5" t="s">
        <v>501</v>
      </c>
      <c r="AB477" s="5" t="s">
        <v>51</v>
      </c>
      <c r="AC477" s="5" t="s">
        <v>51</v>
      </c>
      <c r="AD477" s="5" t="s">
        <v>51</v>
      </c>
      <c r="AE477" s="5" t="s">
        <v>51</v>
      </c>
      <c r="AF477" s="5" t="s">
        <v>505</v>
      </c>
    </row>
    <row r="478" spans="1:32" ht="15.65" customHeight="1" x14ac:dyDescent="0.35">
      <c r="A478" s="5" t="s">
        <v>498</v>
      </c>
      <c r="B478" s="5" t="s">
        <v>499</v>
      </c>
      <c r="C478" s="5" t="s">
        <v>47</v>
      </c>
      <c r="D478" s="5">
        <v>3000302</v>
      </c>
      <c r="E478" s="11">
        <v>3000302</v>
      </c>
      <c r="F478" s="11" t="s">
        <v>500</v>
      </c>
      <c r="G478" s="5" t="s">
        <v>500</v>
      </c>
      <c r="H478" s="5" t="s">
        <v>54</v>
      </c>
      <c r="I478" s="5">
        <v>9908117</v>
      </c>
      <c r="J478" s="6">
        <v>46078</v>
      </c>
      <c r="K478" s="6">
        <v>46078</v>
      </c>
      <c r="L478" s="6">
        <v>46138</v>
      </c>
      <c r="M478" s="7">
        <v>-6</v>
      </c>
      <c r="N478" s="7">
        <v>352207248</v>
      </c>
      <c r="O478" s="7">
        <v>0</v>
      </c>
      <c r="P478" s="7">
        <v>352207248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5" t="s">
        <v>47</v>
      </c>
      <c r="Z478" s="6"/>
      <c r="AA478" s="5" t="s">
        <v>501</v>
      </c>
      <c r="AB478" s="5" t="s">
        <v>51</v>
      </c>
      <c r="AC478" s="5" t="s">
        <v>510</v>
      </c>
      <c r="AD478" s="5" t="s">
        <v>51</v>
      </c>
      <c r="AE478" s="5" t="s">
        <v>51</v>
      </c>
      <c r="AF478" s="5" t="s">
        <v>436</v>
      </c>
    </row>
    <row r="479" spans="1:32" ht="15.65" customHeight="1" x14ac:dyDescent="0.35">
      <c r="A479" s="5" t="s">
        <v>498</v>
      </c>
      <c r="B479" s="5" t="s">
        <v>499</v>
      </c>
      <c r="C479" s="5" t="s">
        <v>47</v>
      </c>
      <c r="D479" s="5">
        <v>3000302</v>
      </c>
      <c r="E479" s="11">
        <v>3000302</v>
      </c>
      <c r="F479" s="11" t="s">
        <v>500</v>
      </c>
      <c r="G479" s="5" t="s">
        <v>500</v>
      </c>
      <c r="H479" s="5" t="s">
        <v>54</v>
      </c>
      <c r="I479" s="5">
        <v>9908118</v>
      </c>
      <c r="J479" s="6">
        <v>46078</v>
      </c>
      <c r="K479" s="6">
        <v>46078</v>
      </c>
      <c r="L479" s="6">
        <v>46138</v>
      </c>
      <c r="M479" s="7">
        <v>-6</v>
      </c>
      <c r="N479" s="7">
        <v>355625395</v>
      </c>
      <c r="O479" s="7">
        <v>0</v>
      </c>
      <c r="P479" s="7">
        <v>355625395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5" t="s">
        <v>47</v>
      </c>
      <c r="Z479" s="6"/>
      <c r="AA479" s="5" t="s">
        <v>501</v>
      </c>
      <c r="AB479" s="5" t="s">
        <v>51</v>
      </c>
      <c r="AC479" s="5" t="s">
        <v>511</v>
      </c>
      <c r="AD479" s="5" t="s">
        <v>51</v>
      </c>
      <c r="AE479" s="5" t="s">
        <v>51</v>
      </c>
      <c r="AF479" s="5" t="s">
        <v>436</v>
      </c>
    </row>
    <row r="480" spans="1:32" ht="15.65" customHeight="1" x14ac:dyDescent="0.35">
      <c r="A480" s="5" t="s">
        <v>498</v>
      </c>
      <c r="B480" s="5" t="s">
        <v>499</v>
      </c>
      <c r="C480" s="5" t="s">
        <v>47</v>
      </c>
      <c r="D480" s="5">
        <v>3000302</v>
      </c>
      <c r="E480" s="11">
        <v>3000302</v>
      </c>
      <c r="F480" s="11" t="s">
        <v>500</v>
      </c>
      <c r="G480" s="5" t="s">
        <v>500</v>
      </c>
      <c r="H480" s="5" t="s">
        <v>54</v>
      </c>
      <c r="I480" s="5">
        <v>9908119</v>
      </c>
      <c r="J480" s="6">
        <v>46078</v>
      </c>
      <c r="K480" s="6">
        <v>46078</v>
      </c>
      <c r="L480" s="6">
        <v>46138</v>
      </c>
      <c r="M480" s="7">
        <v>-6</v>
      </c>
      <c r="N480" s="7">
        <v>6148075</v>
      </c>
      <c r="O480" s="7">
        <v>0</v>
      </c>
      <c r="P480" s="7">
        <v>6148075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5" t="s">
        <v>47</v>
      </c>
      <c r="Z480" s="6"/>
      <c r="AA480" s="5" t="s">
        <v>501</v>
      </c>
      <c r="AB480" s="5" t="s">
        <v>51</v>
      </c>
      <c r="AC480" s="5" t="s">
        <v>512</v>
      </c>
      <c r="AD480" s="5" t="s">
        <v>51</v>
      </c>
      <c r="AE480" s="5" t="s">
        <v>51</v>
      </c>
      <c r="AF480" s="5" t="s">
        <v>64</v>
      </c>
    </row>
    <row r="481" spans="1:32" ht="15.65" customHeight="1" x14ac:dyDescent="0.35">
      <c r="A481" s="5" t="s">
        <v>498</v>
      </c>
      <c r="B481" s="5" t="s">
        <v>499</v>
      </c>
      <c r="C481" s="5" t="s">
        <v>47</v>
      </c>
      <c r="D481" s="5">
        <v>3000302</v>
      </c>
      <c r="E481" s="11">
        <v>3000302</v>
      </c>
      <c r="F481" s="11" t="s">
        <v>500</v>
      </c>
      <c r="G481" s="5" t="s">
        <v>500</v>
      </c>
      <c r="H481" s="5" t="s">
        <v>54</v>
      </c>
      <c r="I481" s="5">
        <v>9908771</v>
      </c>
      <c r="J481" s="6">
        <v>46079</v>
      </c>
      <c r="K481" s="6">
        <v>46079</v>
      </c>
      <c r="L481" s="6">
        <v>46139</v>
      </c>
      <c r="M481" s="7">
        <v>-7</v>
      </c>
      <c r="N481" s="7">
        <v>44339381</v>
      </c>
      <c r="O481" s="7">
        <v>0</v>
      </c>
      <c r="P481" s="7">
        <v>44339381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5" t="s">
        <v>47</v>
      </c>
      <c r="Z481" s="6"/>
      <c r="AA481" s="5" t="s">
        <v>501</v>
      </c>
      <c r="AB481" s="5" t="s">
        <v>51</v>
      </c>
      <c r="AC481" s="5" t="s">
        <v>513</v>
      </c>
      <c r="AD481" s="5" t="s">
        <v>51</v>
      </c>
      <c r="AE481" s="5" t="s">
        <v>51</v>
      </c>
      <c r="AF481" s="5" t="s">
        <v>149</v>
      </c>
    </row>
    <row r="482" spans="1:32" ht="15.65" customHeight="1" x14ac:dyDescent="0.35">
      <c r="A482" s="5" t="s">
        <v>498</v>
      </c>
      <c r="B482" s="5" t="s">
        <v>499</v>
      </c>
      <c r="C482" s="5" t="s">
        <v>47</v>
      </c>
      <c r="D482" s="5">
        <v>3000302</v>
      </c>
      <c r="E482" s="11">
        <v>3000302</v>
      </c>
      <c r="F482" s="11" t="s">
        <v>500</v>
      </c>
      <c r="G482" s="5" t="s">
        <v>500</v>
      </c>
      <c r="H482" s="5" t="s">
        <v>54</v>
      </c>
      <c r="I482" s="5">
        <v>9908773</v>
      </c>
      <c r="J482" s="6">
        <v>46079</v>
      </c>
      <c r="K482" s="6">
        <v>46079</v>
      </c>
      <c r="L482" s="6">
        <v>46139</v>
      </c>
      <c r="M482" s="7">
        <v>-7</v>
      </c>
      <c r="N482" s="7">
        <v>311446049</v>
      </c>
      <c r="O482" s="7">
        <v>0</v>
      </c>
      <c r="P482" s="7">
        <v>311446049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5" t="s">
        <v>47</v>
      </c>
      <c r="Z482" s="6"/>
      <c r="AA482" s="5" t="s">
        <v>501</v>
      </c>
      <c r="AB482" s="5" t="s">
        <v>51</v>
      </c>
      <c r="AC482" s="5" t="s">
        <v>514</v>
      </c>
      <c r="AD482" s="5" t="s">
        <v>51</v>
      </c>
      <c r="AE482" s="5" t="s">
        <v>51</v>
      </c>
      <c r="AF482" s="5" t="s">
        <v>69</v>
      </c>
    </row>
    <row r="483" spans="1:32" ht="15.65" customHeight="1" x14ac:dyDescent="0.35">
      <c r="A483" s="5" t="s">
        <v>498</v>
      </c>
      <c r="B483" s="5" t="s">
        <v>499</v>
      </c>
      <c r="C483" s="5" t="s">
        <v>47</v>
      </c>
      <c r="D483" s="5">
        <v>3000302</v>
      </c>
      <c r="E483" s="11">
        <v>3000302</v>
      </c>
      <c r="F483" s="11" t="s">
        <v>500</v>
      </c>
      <c r="G483" s="5" t="s">
        <v>500</v>
      </c>
      <c r="H483" s="5" t="s">
        <v>54</v>
      </c>
      <c r="I483" s="5">
        <v>9910561</v>
      </c>
      <c r="J483" s="6">
        <v>46081</v>
      </c>
      <c r="K483" s="6">
        <v>46081</v>
      </c>
      <c r="L483" s="6">
        <v>46141</v>
      </c>
      <c r="M483" s="7">
        <v>-9</v>
      </c>
      <c r="N483" s="7">
        <v>387708152</v>
      </c>
      <c r="O483" s="7">
        <v>0</v>
      </c>
      <c r="P483" s="7">
        <v>387708152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5" t="s">
        <v>47</v>
      </c>
      <c r="Z483" s="6"/>
      <c r="AA483" s="5" t="s">
        <v>501</v>
      </c>
      <c r="AB483" s="5" t="s">
        <v>51</v>
      </c>
      <c r="AC483" s="5" t="s">
        <v>51</v>
      </c>
      <c r="AD483" s="5" t="s">
        <v>515</v>
      </c>
      <c r="AE483" s="5" t="s">
        <v>51</v>
      </c>
      <c r="AF483" s="5" t="s">
        <v>516</v>
      </c>
    </row>
    <row r="484" spans="1:32" ht="15.65" customHeight="1" x14ac:dyDescent="0.35">
      <c r="A484" s="5" t="s">
        <v>498</v>
      </c>
      <c r="B484" s="5" t="s">
        <v>499</v>
      </c>
      <c r="C484" s="5" t="s">
        <v>47</v>
      </c>
      <c r="D484" s="5">
        <v>3000302</v>
      </c>
      <c r="E484" s="11">
        <v>3000302</v>
      </c>
      <c r="F484" s="11" t="s">
        <v>500</v>
      </c>
      <c r="G484" s="5" t="s">
        <v>500</v>
      </c>
      <c r="H484" s="5" t="s">
        <v>54</v>
      </c>
      <c r="I484" s="5">
        <v>9910567</v>
      </c>
      <c r="J484" s="6">
        <v>46081</v>
      </c>
      <c r="K484" s="6">
        <v>46081</v>
      </c>
      <c r="L484" s="6">
        <v>46141</v>
      </c>
      <c r="M484" s="7">
        <v>-9</v>
      </c>
      <c r="N484" s="7">
        <v>341469250</v>
      </c>
      <c r="O484" s="7">
        <v>0</v>
      </c>
      <c r="P484" s="7">
        <v>341469250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5" t="s">
        <v>47</v>
      </c>
      <c r="Z484" s="6"/>
      <c r="AA484" s="5" t="s">
        <v>501</v>
      </c>
      <c r="AB484" s="5" t="s">
        <v>51</v>
      </c>
      <c r="AC484" s="5" t="s">
        <v>51</v>
      </c>
      <c r="AD484" s="5" t="s">
        <v>517</v>
      </c>
      <c r="AE484" s="5" t="s">
        <v>51</v>
      </c>
      <c r="AF484" s="5" t="s">
        <v>69</v>
      </c>
    </row>
    <row r="485" spans="1:32" ht="15.65" customHeight="1" x14ac:dyDescent="0.35">
      <c r="A485" s="5" t="s">
        <v>498</v>
      </c>
      <c r="B485" s="5" t="s">
        <v>499</v>
      </c>
      <c r="C485" s="5" t="s">
        <v>47</v>
      </c>
      <c r="D485" s="5">
        <v>3000302</v>
      </c>
      <c r="E485" s="11">
        <v>3000302</v>
      </c>
      <c r="F485" s="11" t="s">
        <v>500</v>
      </c>
      <c r="G485" s="5" t="s">
        <v>500</v>
      </c>
      <c r="H485" s="5" t="s">
        <v>54</v>
      </c>
      <c r="I485" s="5">
        <v>9910621</v>
      </c>
      <c r="J485" s="6">
        <v>46081</v>
      </c>
      <c r="K485" s="6">
        <v>46081</v>
      </c>
      <c r="L485" s="6">
        <v>46141</v>
      </c>
      <c r="M485" s="7">
        <v>-9</v>
      </c>
      <c r="N485" s="7">
        <v>47084819</v>
      </c>
      <c r="O485" s="7">
        <v>0</v>
      </c>
      <c r="P485" s="7">
        <v>47084819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5" t="s">
        <v>47</v>
      </c>
      <c r="Z485" s="6"/>
      <c r="AA485" s="5" t="s">
        <v>501</v>
      </c>
      <c r="AB485" s="5" t="s">
        <v>51</v>
      </c>
      <c r="AC485" s="5" t="s">
        <v>51</v>
      </c>
      <c r="AD485" s="5" t="s">
        <v>518</v>
      </c>
      <c r="AE485" s="5" t="s">
        <v>51</v>
      </c>
      <c r="AF485" s="5" t="s">
        <v>147</v>
      </c>
    </row>
    <row r="486" spans="1:32" ht="15.65" customHeight="1" x14ac:dyDescent="0.35">
      <c r="A486" s="5" t="s">
        <v>498</v>
      </c>
      <c r="B486" s="5" t="s">
        <v>499</v>
      </c>
      <c r="C486" s="5" t="s">
        <v>47</v>
      </c>
      <c r="D486" s="5">
        <v>3000302</v>
      </c>
      <c r="E486" s="11">
        <v>3000302</v>
      </c>
      <c r="F486" s="11" t="s">
        <v>500</v>
      </c>
      <c r="G486" s="5" t="s">
        <v>500</v>
      </c>
      <c r="H486" s="5" t="s">
        <v>54</v>
      </c>
      <c r="I486" s="5">
        <v>9914311</v>
      </c>
      <c r="J486" s="6">
        <v>46093</v>
      </c>
      <c r="K486" s="6">
        <v>46093</v>
      </c>
      <c r="L486" s="6">
        <v>46153</v>
      </c>
      <c r="M486" s="7">
        <v>-21</v>
      </c>
      <c r="N486" s="7">
        <v>273921</v>
      </c>
      <c r="O486" s="7">
        <v>0</v>
      </c>
      <c r="P486" s="7">
        <v>273921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5" t="s">
        <v>47</v>
      </c>
      <c r="Z486" s="6"/>
      <c r="AA486" s="5" t="s">
        <v>501</v>
      </c>
      <c r="AB486" s="5" t="s">
        <v>51</v>
      </c>
      <c r="AC486" s="5" t="s">
        <v>51</v>
      </c>
      <c r="AD486" s="5" t="s">
        <v>51</v>
      </c>
      <c r="AE486" s="5" t="s">
        <v>519</v>
      </c>
      <c r="AF486" s="5" t="s">
        <v>367</v>
      </c>
    </row>
    <row r="487" spans="1:32" ht="15.65" customHeight="1" x14ac:dyDescent="0.35">
      <c r="A487" s="5" t="s">
        <v>498</v>
      </c>
      <c r="B487" s="5" t="s">
        <v>499</v>
      </c>
      <c r="C487" s="5" t="s">
        <v>47</v>
      </c>
      <c r="D487" s="5">
        <v>3000302</v>
      </c>
      <c r="E487" s="11">
        <v>3000302</v>
      </c>
      <c r="F487" s="11" t="s">
        <v>500</v>
      </c>
      <c r="G487" s="5" t="s">
        <v>500</v>
      </c>
      <c r="H487" s="5" t="s">
        <v>54</v>
      </c>
      <c r="I487" s="5">
        <v>9915630</v>
      </c>
      <c r="J487" s="6">
        <v>46096</v>
      </c>
      <c r="K487" s="6">
        <v>46096</v>
      </c>
      <c r="L487" s="6">
        <v>46156</v>
      </c>
      <c r="M487" s="7">
        <v>-24</v>
      </c>
      <c r="N487" s="7">
        <v>304677360</v>
      </c>
      <c r="O487" s="7">
        <v>0</v>
      </c>
      <c r="P487" s="7">
        <v>304677360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5" t="s">
        <v>47</v>
      </c>
      <c r="Z487" s="6"/>
      <c r="AA487" s="5" t="s">
        <v>501</v>
      </c>
      <c r="AB487" s="5" t="s">
        <v>51</v>
      </c>
      <c r="AC487" s="5" t="s">
        <v>51</v>
      </c>
      <c r="AD487" s="5" t="s">
        <v>51</v>
      </c>
      <c r="AE487" s="5" t="s">
        <v>520</v>
      </c>
      <c r="AF487" s="5" t="s">
        <v>521</v>
      </c>
    </row>
    <row r="488" spans="1:32" ht="15.65" customHeight="1" x14ac:dyDescent="0.35">
      <c r="A488" s="5" t="s">
        <v>498</v>
      </c>
      <c r="B488" s="5" t="s">
        <v>499</v>
      </c>
      <c r="C488" s="5" t="s">
        <v>47</v>
      </c>
      <c r="D488" s="5">
        <v>3000302</v>
      </c>
      <c r="E488" s="11">
        <v>3000302</v>
      </c>
      <c r="F488" s="11" t="s">
        <v>500</v>
      </c>
      <c r="G488" s="5" t="s">
        <v>500</v>
      </c>
      <c r="H488" s="5" t="s">
        <v>54</v>
      </c>
      <c r="I488" s="5">
        <v>9915639</v>
      </c>
      <c r="J488" s="6">
        <v>46096</v>
      </c>
      <c r="K488" s="6">
        <v>46096</v>
      </c>
      <c r="L488" s="6">
        <v>46156</v>
      </c>
      <c r="M488" s="7">
        <v>-24</v>
      </c>
      <c r="N488" s="7">
        <v>306894953</v>
      </c>
      <c r="O488" s="7">
        <v>0</v>
      </c>
      <c r="P488" s="7">
        <v>306894953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5" t="s">
        <v>47</v>
      </c>
      <c r="Z488" s="6"/>
      <c r="AA488" s="5" t="s">
        <v>501</v>
      </c>
      <c r="AB488" s="5" t="s">
        <v>51</v>
      </c>
      <c r="AC488" s="5" t="s">
        <v>51</v>
      </c>
      <c r="AD488" s="5" t="s">
        <v>51</v>
      </c>
      <c r="AE488" s="5" t="s">
        <v>522</v>
      </c>
      <c r="AF488" s="5" t="s">
        <v>521</v>
      </c>
    </row>
    <row r="489" spans="1:32" ht="15.65" customHeight="1" x14ac:dyDescent="0.35">
      <c r="A489" s="5" t="s">
        <v>498</v>
      </c>
      <c r="B489" s="5" t="s">
        <v>499</v>
      </c>
      <c r="C489" s="5" t="s">
        <v>47</v>
      </c>
      <c r="D489" s="5">
        <v>3000302</v>
      </c>
      <c r="E489" s="11">
        <v>3000302</v>
      </c>
      <c r="F489" s="11" t="s">
        <v>500</v>
      </c>
      <c r="G489" s="5" t="s">
        <v>500</v>
      </c>
      <c r="H489" s="5" t="s">
        <v>54</v>
      </c>
      <c r="I489" s="5">
        <v>9915641</v>
      </c>
      <c r="J489" s="6">
        <v>46096</v>
      </c>
      <c r="K489" s="6">
        <v>46096</v>
      </c>
      <c r="L489" s="6">
        <v>46156</v>
      </c>
      <c r="M489" s="7">
        <v>-24</v>
      </c>
      <c r="N489" s="7">
        <v>306192297</v>
      </c>
      <c r="O489" s="7">
        <v>0</v>
      </c>
      <c r="P489" s="7">
        <v>306192297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5" t="s">
        <v>47</v>
      </c>
      <c r="Z489" s="6"/>
      <c r="AA489" s="5" t="s">
        <v>501</v>
      </c>
      <c r="AB489" s="5" t="s">
        <v>51</v>
      </c>
      <c r="AC489" s="5" t="s">
        <v>51</v>
      </c>
      <c r="AD489" s="5" t="s">
        <v>51</v>
      </c>
      <c r="AE489" s="5" t="s">
        <v>523</v>
      </c>
      <c r="AF489" s="5" t="s">
        <v>521</v>
      </c>
    </row>
    <row r="490" spans="1:32" ht="15.65" customHeight="1" x14ac:dyDescent="0.35">
      <c r="A490" s="5" t="s">
        <v>498</v>
      </c>
      <c r="B490" s="5" t="s">
        <v>499</v>
      </c>
      <c r="C490" s="5" t="s">
        <v>47</v>
      </c>
      <c r="D490" s="5">
        <v>3000302</v>
      </c>
      <c r="E490" s="11">
        <v>3000302</v>
      </c>
      <c r="F490" s="11" t="s">
        <v>500</v>
      </c>
      <c r="G490" s="5" t="s">
        <v>500</v>
      </c>
      <c r="H490" s="5" t="s">
        <v>54</v>
      </c>
      <c r="I490" s="5">
        <v>9921284</v>
      </c>
      <c r="J490" s="6">
        <v>46112</v>
      </c>
      <c r="K490" s="6">
        <v>46112</v>
      </c>
      <c r="L490" s="6">
        <v>46172</v>
      </c>
      <c r="M490" s="7">
        <v>-40</v>
      </c>
      <c r="N490" s="7">
        <v>321388131</v>
      </c>
      <c r="O490" s="7">
        <v>0</v>
      </c>
      <c r="P490" s="7">
        <v>321388131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0</v>
      </c>
      <c r="Y490" s="5" t="s">
        <v>47</v>
      </c>
      <c r="Z490" s="6"/>
      <c r="AA490" s="5" t="s">
        <v>501</v>
      </c>
      <c r="AB490" s="5" t="s">
        <v>51</v>
      </c>
      <c r="AC490" s="5" t="s">
        <v>51</v>
      </c>
      <c r="AD490" s="5" t="s">
        <v>51</v>
      </c>
      <c r="AE490" s="5" t="s">
        <v>524</v>
      </c>
      <c r="AF490" s="5" t="s">
        <v>525</v>
      </c>
    </row>
    <row r="491" spans="1:32" ht="15.65" customHeight="1" x14ac:dyDescent="0.35">
      <c r="A491" s="5" t="s">
        <v>498</v>
      </c>
      <c r="B491" s="5" t="s">
        <v>499</v>
      </c>
      <c r="C491" s="5" t="s">
        <v>47</v>
      </c>
      <c r="D491" s="5">
        <v>3000302</v>
      </c>
      <c r="E491" s="11">
        <v>3000302</v>
      </c>
      <c r="F491" s="11" t="s">
        <v>500</v>
      </c>
      <c r="G491" s="5" t="s">
        <v>500</v>
      </c>
      <c r="H491" s="5" t="s">
        <v>54</v>
      </c>
      <c r="I491" s="5">
        <v>9921376</v>
      </c>
      <c r="J491" s="6">
        <v>46112</v>
      </c>
      <c r="K491" s="6">
        <v>46112</v>
      </c>
      <c r="L491" s="6">
        <v>46172</v>
      </c>
      <c r="M491" s="7">
        <v>-40</v>
      </c>
      <c r="N491" s="7">
        <v>342480011</v>
      </c>
      <c r="O491" s="7">
        <v>0</v>
      </c>
      <c r="P491" s="7">
        <v>342480011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5" t="s">
        <v>47</v>
      </c>
      <c r="Z491" s="6"/>
      <c r="AA491" s="5" t="s">
        <v>501</v>
      </c>
      <c r="AB491" s="5" t="s">
        <v>51</v>
      </c>
      <c r="AC491" s="5" t="s">
        <v>51</v>
      </c>
      <c r="AD491" s="5" t="s">
        <v>51</v>
      </c>
      <c r="AE491" s="5" t="s">
        <v>526</v>
      </c>
      <c r="AF491" s="5" t="s">
        <v>525</v>
      </c>
    </row>
    <row r="492" spans="1:32" ht="15.65" customHeight="1" x14ac:dyDescent="0.35">
      <c r="A492" s="5" t="s">
        <v>498</v>
      </c>
      <c r="B492" s="5" t="s">
        <v>499</v>
      </c>
      <c r="C492" s="5" t="s">
        <v>47</v>
      </c>
      <c r="D492" s="5">
        <v>3000302</v>
      </c>
      <c r="E492" s="11">
        <v>3000302</v>
      </c>
      <c r="F492" s="11" t="s">
        <v>500</v>
      </c>
      <c r="G492" s="5" t="s">
        <v>500</v>
      </c>
      <c r="H492" s="5" t="s">
        <v>54</v>
      </c>
      <c r="I492" s="5">
        <v>9922629</v>
      </c>
      <c r="J492" s="6">
        <v>46119</v>
      </c>
      <c r="K492" s="6">
        <v>46119</v>
      </c>
      <c r="L492" s="6">
        <v>46179</v>
      </c>
      <c r="M492" s="7">
        <v>-47</v>
      </c>
      <c r="N492" s="7">
        <v>9363594</v>
      </c>
      <c r="O492" s="7">
        <v>0</v>
      </c>
      <c r="P492" s="7">
        <v>9363594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5" t="s">
        <v>47</v>
      </c>
      <c r="Z492" s="6"/>
      <c r="AA492" s="5" t="s">
        <v>501</v>
      </c>
      <c r="AB492" s="5" t="s">
        <v>51</v>
      </c>
      <c r="AC492" s="5" t="s">
        <v>51</v>
      </c>
      <c r="AD492" s="5" t="s">
        <v>51</v>
      </c>
      <c r="AE492" s="5" t="s">
        <v>527</v>
      </c>
      <c r="AF492" s="5" t="s">
        <v>528</v>
      </c>
    </row>
    <row r="493" spans="1:32" ht="15.65" customHeight="1" x14ac:dyDescent="0.35">
      <c r="A493" s="5" t="s">
        <v>498</v>
      </c>
      <c r="B493" s="5" t="s">
        <v>499</v>
      </c>
      <c r="C493" s="5" t="s">
        <v>47</v>
      </c>
      <c r="D493" s="5">
        <v>3000302</v>
      </c>
      <c r="E493" s="11">
        <v>3000302</v>
      </c>
      <c r="F493" s="11" t="s">
        <v>500</v>
      </c>
      <c r="G493" s="5" t="s">
        <v>500</v>
      </c>
      <c r="H493" s="5" t="s">
        <v>54</v>
      </c>
      <c r="I493" s="5">
        <v>9924217</v>
      </c>
      <c r="J493" s="6">
        <v>46123</v>
      </c>
      <c r="K493" s="6">
        <v>46123</v>
      </c>
      <c r="L493" s="6">
        <v>46183</v>
      </c>
      <c r="M493" s="7">
        <v>-51</v>
      </c>
      <c r="N493" s="7">
        <v>390936991</v>
      </c>
      <c r="O493" s="7">
        <v>0</v>
      </c>
      <c r="P493" s="7">
        <v>390936991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5" t="s">
        <v>47</v>
      </c>
      <c r="Z493" s="6"/>
      <c r="AA493" s="5" t="s">
        <v>501</v>
      </c>
      <c r="AB493" s="5" t="s">
        <v>51</v>
      </c>
      <c r="AC493" s="5" t="s">
        <v>51</v>
      </c>
      <c r="AD493" s="5" t="s">
        <v>51</v>
      </c>
      <c r="AE493" s="5" t="s">
        <v>529</v>
      </c>
      <c r="AF493" s="5" t="s">
        <v>530</v>
      </c>
    </row>
    <row r="494" spans="1:32" ht="15.65" customHeight="1" x14ac:dyDescent="0.35">
      <c r="A494" s="5" t="s">
        <v>531</v>
      </c>
      <c r="B494" s="5" t="s">
        <v>532</v>
      </c>
      <c r="C494" s="5" t="s">
        <v>47</v>
      </c>
      <c r="D494" s="5">
        <v>3000335</v>
      </c>
      <c r="E494" s="11">
        <v>3000335</v>
      </c>
      <c r="F494" s="11" t="s">
        <v>533</v>
      </c>
      <c r="G494" s="5" t="s">
        <v>533</v>
      </c>
      <c r="H494" s="5" t="s">
        <v>54</v>
      </c>
      <c r="I494" s="5">
        <v>6957660</v>
      </c>
      <c r="J494" s="6">
        <v>46111</v>
      </c>
      <c r="K494" s="6">
        <v>46111</v>
      </c>
      <c r="L494" s="6">
        <v>46111</v>
      </c>
      <c r="M494" s="7">
        <v>21</v>
      </c>
      <c r="N494" s="7">
        <v>-3377922</v>
      </c>
      <c r="O494" s="7">
        <v>-3377922</v>
      </c>
      <c r="P494" s="7">
        <v>0</v>
      </c>
      <c r="Q494" s="7">
        <v>-3377922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5" t="s">
        <v>47</v>
      </c>
      <c r="Z494" s="6"/>
      <c r="AA494" s="5" t="s">
        <v>501</v>
      </c>
      <c r="AB494" s="5" t="s">
        <v>51</v>
      </c>
      <c r="AC494" s="5" t="s">
        <v>51</v>
      </c>
      <c r="AD494" s="5" t="s">
        <v>51</v>
      </c>
      <c r="AE494" s="5" t="s">
        <v>51</v>
      </c>
      <c r="AF494" s="5" t="s">
        <v>534</v>
      </c>
    </row>
    <row r="495" spans="1:32" ht="15.65" customHeight="1" x14ac:dyDescent="0.35">
      <c r="A495" s="5" t="s">
        <v>531</v>
      </c>
      <c r="B495" s="5" t="s">
        <v>532</v>
      </c>
      <c r="C495" s="5" t="s">
        <v>47</v>
      </c>
      <c r="D495" s="5">
        <v>3000335</v>
      </c>
      <c r="E495" s="11">
        <v>3000335</v>
      </c>
      <c r="F495" s="11" t="s">
        <v>533</v>
      </c>
      <c r="G495" s="5" t="s">
        <v>533</v>
      </c>
      <c r="H495" s="5" t="s">
        <v>54</v>
      </c>
      <c r="I495" s="5">
        <v>6958363</v>
      </c>
      <c r="J495" s="6">
        <v>46120</v>
      </c>
      <c r="K495" s="6">
        <v>46120</v>
      </c>
      <c r="L495" s="6">
        <v>46120</v>
      </c>
      <c r="M495" s="7">
        <v>12</v>
      </c>
      <c r="N495" s="7">
        <v>-2366788</v>
      </c>
      <c r="O495" s="7">
        <v>-2366788</v>
      </c>
      <c r="P495" s="7">
        <v>0</v>
      </c>
      <c r="Q495" s="7">
        <v>-2366788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5" t="s">
        <v>47</v>
      </c>
      <c r="Z495" s="6"/>
      <c r="AA495" s="5" t="s">
        <v>501</v>
      </c>
      <c r="AB495" s="5" t="s">
        <v>51</v>
      </c>
      <c r="AC495" s="5" t="s">
        <v>51</v>
      </c>
      <c r="AD495" s="5" t="s">
        <v>51</v>
      </c>
      <c r="AE495" s="5" t="s">
        <v>51</v>
      </c>
      <c r="AF495" s="5" t="s">
        <v>535</v>
      </c>
    </row>
    <row r="496" spans="1:32" ht="15.65" customHeight="1" x14ac:dyDescent="0.35">
      <c r="A496" s="5" t="s">
        <v>531</v>
      </c>
      <c r="B496" s="5" t="s">
        <v>532</v>
      </c>
      <c r="C496" s="5" t="s">
        <v>47</v>
      </c>
      <c r="D496" s="5">
        <v>3000335</v>
      </c>
      <c r="E496" s="11">
        <v>3000335</v>
      </c>
      <c r="F496" s="11" t="s">
        <v>533</v>
      </c>
      <c r="G496" s="5" t="s">
        <v>533</v>
      </c>
      <c r="H496" s="5" t="s">
        <v>54</v>
      </c>
      <c r="I496" s="5">
        <v>6958522</v>
      </c>
      <c r="J496" s="6">
        <v>46121</v>
      </c>
      <c r="K496" s="6">
        <v>46121</v>
      </c>
      <c r="L496" s="6">
        <v>46121</v>
      </c>
      <c r="M496" s="7">
        <v>11</v>
      </c>
      <c r="N496" s="7">
        <v>-1788187</v>
      </c>
      <c r="O496" s="7">
        <v>-1788187</v>
      </c>
      <c r="P496" s="7">
        <v>0</v>
      </c>
      <c r="Q496" s="7">
        <v>-1788187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5" t="s">
        <v>47</v>
      </c>
      <c r="Z496" s="6"/>
      <c r="AA496" s="5" t="s">
        <v>501</v>
      </c>
      <c r="AB496" s="5" t="s">
        <v>51</v>
      </c>
      <c r="AC496" s="5" t="s">
        <v>51</v>
      </c>
      <c r="AD496" s="5" t="s">
        <v>51</v>
      </c>
      <c r="AE496" s="5" t="s">
        <v>51</v>
      </c>
      <c r="AF496" s="5" t="s">
        <v>536</v>
      </c>
    </row>
    <row r="497" spans="1:32" ht="15.65" customHeight="1" x14ac:dyDescent="0.35">
      <c r="A497" s="5" t="s">
        <v>531</v>
      </c>
      <c r="B497" s="5" t="s">
        <v>532</v>
      </c>
      <c r="C497" s="5" t="s">
        <v>47</v>
      </c>
      <c r="D497" s="5">
        <v>3000335</v>
      </c>
      <c r="E497" s="5">
        <v>3000335</v>
      </c>
      <c r="F497" s="5" t="s">
        <v>533</v>
      </c>
      <c r="G497" s="5" t="s">
        <v>533</v>
      </c>
      <c r="H497" s="5" t="s">
        <v>54</v>
      </c>
      <c r="I497" s="5">
        <v>6959168</v>
      </c>
      <c r="J497" s="6">
        <v>46125</v>
      </c>
      <c r="K497" s="6">
        <v>46125</v>
      </c>
      <c r="L497" s="6">
        <v>46125</v>
      </c>
      <c r="M497" s="7">
        <v>7</v>
      </c>
      <c r="N497" s="7">
        <v>-86546732</v>
      </c>
      <c r="O497" s="7">
        <v>-86546732</v>
      </c>
      <c r="P497" s="7">
        <v>0</v>
      </c>
      <c r="Q497" s="7">
        <v>-86546732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5" t="s">
        <v>47</v>
      </c>
      <c r="Z497" s="6"/>
      <c r="AA497" s="5" t="s">
        <v>501</v>
      </c>
      <c r="AB497" s="5" t="s">
        <v>51</v>
      </c>
      <c r="AC497" s="5" t="s">
        <v>51</v>
      </c>
      <c r="AD497" s="5" t="s">
        <v>51</v>
      </c>
      <c r="AE497" s="5" t="s">
        <v>51</v>
      </c>
      <c r="AF497" s="5" t="s">
        <v>56</v>
      </c>
    </row>
    <row r="498" spans="1:32" ht="15.65" customHeight="1" x14ac:dyDescent="0.35">
      <c r="A498" s="5" t="s">
        <v>531</v>
      </c>
      <c r="B498" s="5" t="s">
        <v>532</v>
      </c>
      <c r="C498" s="5" t="s">
        <v>47</v>
      </c>
      <c r="D498" s="5">
        <v>3000335</v>
      </c>
      <c r="E498" s="11">
        <v>3000335</v>
      </c>
      <c r="F498" s="11" t="s">
        <v>533</v>
      </c>
      <c r="G498" s="5" t="s">
        <v>533</v>
      </c>
      <c r="H498" s="5" t="s">
        <v>54</v>
      </c>
      <c r="I498" s="5">
        <v>6959980</v>
      </c>
      <c r="J498" s="6">
        <v>46130</v>
      </c>
      <c r="K498" s="6">
        <v>46130</v>
      </c>
      <c r="L498" s="6">
        <v>46130</v>
      </c>
      <c r="M498" s="7">
        <v>2</v>
      </c>
      <c r="N498" s="7">
        <v>-357853</v>
      </c>
      <c r="O498" s="7">
        <v>-357853</v>
      </c>
      <c r="P498" s="7">
        <v>0</v>
      </c>
      <c r="Q498" s="7">
        <v>-357853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5" t="s">
        <v>47</v>
      </c>
      <c r="Z498" s="6"/>
      <c r="AA498" s="5" t="s">
        <v>501</v>
      </c>
      <c r="AB498" s="5" t="s">
        <v>51</v>
      </c>
      <c r="AC498" s="5" t="s">
        <v>51</v>
      </c>
      <c r="AD498" s="5" t="s">
        <v>51</v>
      </c>
      <c r="AE498" s="5" t="s">
        <v>51</v>
      </c>
      <c r="AF498" s="5" t="s">
        <v>537</v>
      </c>
    </row>
    <row r="499" spans="1:32" ht="15.65" customHeight="1" x14ac:dyDescent="0.35">
      <c r="A499" s="5" t="s">
        <v>531</v>
      </c>
      <c r="B499" s="5" t="s">
        <v>532</v>
      </c>
      <c r="C499" s="5" t="s">
        <v>47</v>
      </c>
      <c r="D499" s="5">
        <v>3000335</v>
      </c>
      <c r="E499" s="11">
        <v>3000335</v>
      </c>
      <c r="F499" s="11" t="s">
        <v>533</v>
      </c>
      <c r="G499" s="5" t="s">
        <v>533</v>
      </c>
      <c r="H499" s="5" t="s">
        <v>54</v>
      </c>
      <c r="I499" s="5">
        <v>6959981</v>
      </c>
      <c r="J499" s="6">
        <v>46130</v>
      </c>
      <c r="K499" s="6">
        <v>46130</v>
      </c>
      <c r="L499" s="6">
        <v>46130</v>
      </c>
      <c r="M499" s="7">
        <v>2</v>
      </c>
      <c r="N499" s="7">
        <v>-1264083</v>
      </c>
      <c r="O499" s="7">
        <v>-1264083</v>
      </c>
      <c r="P499" s="7">
        <v>0</v>
      </c>
      <c r="Q499" s="7">
        <v>-1264083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5" t="s">
        <v>47</v>
      </c>
      <c r="Z499" s="6"/>
      <c r="AA499" s="5" t="s">
        <v>501</v>
      </c>
      <c r="AB499" s="5" t="s">
        <v>51</v>
      </c>
      <c r="AC499" s="5" t="s">
        <v>51</v>
      </c>
      <c r="AD499" s="5" t="s">
        <v>51</v>
      </c>
      <c r="AE499" s="5" t="s">
        <v>51</v>
      </c>
      <c r="AF499" s="5" t="s">
        <v>538</v>
      </c>
    </row>
    <row r="500" spans="1:32" ht="15.65" customHeight="1" x14ac:dyDescent="0.35">
      <c r="A500" s="5" t="s">
        <v>531</v>
      </c>
      <c r="B500" s="5" t="s">
        <v>532</v>
      </c>
      <c r="C500" s="5" t="s">
        <v>47</v>
      </c>
      <c r="D500" s="5">
        <v>3000335</v>
      </c>
      <c r="E500" s="11">
        <v>3000335</v>
      </c>
      <c r="F500" s="11" t="s">
        <v>533</v>
      </c>
      <c r="G500" s="5" t="s">
        <v>533</v>
      </c>
      <c r="H500" s="5" t="s">
        <v>54</v>
      </c>
      <c r="I500" s="5">
        <v>6959982</v>
      </c>
      <c r="J500" s="6">
        <v>46130</v>
      </c>
      <c r="K500" s="6">
        <v>46130</v>
      </c>
      <c r="L500" s="6">
        <v>46130</v>
      </c>
      <c r="M500" s="7">
        <v>2</v>
      </c>
      <c r="N500" s="7">
        <v>-514352</v>
      </c>
      <c r="O500" s="7">
        <v>-514352</v>
      </c>
      <c r="P500" s="7">
        <v>0</v>
      </c>
      <c r="Q500" s="7">
        <v>-514352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  <c r="Y500" s="5" t="s">
        <v>47</v>
      </c>
      <c r="Z500" s="6"/>
      <c r="AA500" s="5" t="s">
        <v>501</v>
      </c>
      <c r="AB500" s="5" t="s">
        <v>51</v>
      </c>
      <c r="AC500" s="5" t="s">
        <v>51</v>
      </c>
      <c r="AD500" s="5" t="s">
        <v>51</v>
      </c>
      <c r="AE500" s="5" t="s">
        <v>51</v>
      </c>
      <c r="AF500" s="5" t="s">
        <v>539</v>
      </c>
    </row>
    <row r="501" spans="1:32" ht="15.65" customHeight="1" x14ac:dyDescent="0.35">
      <c r="A501" s="5" t="s">
        <v>531</v>
      </c>
      <c r="B501" s="5" t="s">
        <v>532</v>
      </c>
      <c r="C501" s="5" t="s">
        <v>47</v>
      </c>
      <c r="D501" s="5">
        <v>3000335</v>
      </c>
      <c r="E501" s="11">
        <v>3000335</v>
      </c>
      <c r="F501" s="11" t="s">
        <v>533</v>
      </c>
      <c r="G501" s="5" t="s">
        <v>533</v>
      </c>
      <c r="H501" s="5" t="s">
        <v>54</v>
      </c>
      <c r="I501" s="5">
        <v>6959983</v>
      </c>
      <c r="J501" s="6">
        <v>46130</v>
      </c>
      <c r="K501" s="6">
        <v>46130</v>
      </c>
      <c r="L501" s="6">
        <v>46130</v>
      </c>
      <c r="M501" s="7">
        <v>2</v>
      </c>
      <c r="N501" s="7">
        <v>-1382320</v>
      </c>
      <c r="O501" s="7">
        <v>-1382320</v>
      </c>
      <c r="P501" s="7">
        <v>0</v>
      </c>
      <c r="Q501" s="7">
        <v>-1382320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5" t="s">
        <v>47</v>
      </c>
      <c r="Z501" s="6"/>
      <c r="AA501" s="5" t="s">
        <v>501</v>
      </c>
      <c r="AB501" s="5" t="s">
        <v>51</v>
      </c>
      <c r="AC501" s="5" t="s">
        <v>51</v>
      </c>
      <c r="AD501" s="5" t="s">
        <v>51</v>
      </c>
      <c r="AE501" s="5" t="s">
        <v>51</v>
      </c>
      <c r="AF501" s="5" t="s">
        <v>540</v>
      </c>
    </row>
    <row r="502" spans="1:32" ht="15.65" customHeight="1" x14ac:dyDescent="0.35">
      <c r="A502" s="5" t="s">
        <v>531</v>
      </c>
      <c r="B502" s="5" t="s">
        <v>532</v>
      </c>
      <c r="C502" s="5" t="s">
        <v>47</v>
      </c>
      <c r="D502" s="5">
        <v>3000335</v>
      </c>
      <c r="E502" s="11">
        <v>3000335</v>
      </c>
      <c r="F502" s="11" t="s">
        <v>533</v>
      </c>
      <c r="G502" s="5" t="s">
        <v>533</v>
      </c>
      <c r="H502" s="5" t="s">
        <v>54</v>
      </c>
      <c r="I502" s="5">
        <v>6959984</v>
      </c>
      <c r="J502" s="6">
        <v>46130</v>
      </c>
      <c r="K502" s="6">
        <v>46130</v>
      </c>
      <c r="L502" s="6">
        <v>46130</v>
      </c>
      <c r="M502" s="7">
        <v>2</v>
      </c>
      <c r="N502" s="7">
        <v>-1272960</v>
      </c>
      <c r="O502" s="7">
        <v>-1272960</v>
      </c>
      <c r="P502" s="7">
        <v>0</v>
      </c>
      <c r="Q502" s="7">
        <v>-1272960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5" t="s">
        <v>47</v>
      </c>
      <c r="Z502" s="6"/>
      <c r="AA502" s="5" t="s">
        <v>501</v>
      </c>
      <c r="AB502" s="5" t="s">
        <v>51</v>
      </c>
      <c r="AC502" s="5" t="s">
        <v>51</v>
      </c>
      <c r="AD502" s="5" t="s">
        <v>51</v>
      </c>
      <c r="AE502" s="5" t="s">
        <v>51</v>
      </c>
      <c r="AF502" s="5" t="s">
        <v>541</v>
      </c>
    </row>
    <row r="503" spans="1:32" ht="15.65" customHeight="1" x14ac:dyDescent="0.35">
      <c r="A503" s="5" t="s">
        <v>531</v>
      </c>
      <c r="B503" s="5" t="s">
        <v>532</v>
      </c>
      <c r="C503" s="5" t="s">
        <v>542</v>
      </c>
      <c r="D503" s="5">
        <v>3000335</v>
      </c>
      <c r="E503" s="11">
        <v>3100552</v>
      </c>
      <c r="F503" s="11" t="s">
        <v>533</v>
      </c>
      <c r="G503" s="5" t="s">
        <v>533</v>
      </c>
      <c r="H503" s="5" t="s">
        <v>54</v>
      </c>
      <c r="I503" s="5">
        <v>9917481</v>
      </c>
      <c r="J503" s="6">
        <v>46106</v>
      </c>
      <c r="K503" s="6">
        <v>46106</v>
      </c>
      <c r="L503" s="6">
        <v>46137</v>
      </c>
      <c r="M503" s="7">
        <v>-5</v>
      </c>
      <c r="N503" s="7">
        <v>533031808</v>
      </c>
      <c r="O503" s="7">
        <v>0</v>
      </c>
      <c r="P503" s="7">
        <v>533031808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5" t="s">
        <v>542</v>
      </c>
      <c r="Z503" s="6"/>
      <c r="AA503" s="5" t="s">
        <v>501</v>
      </c>
      <c r="AB503" s="5" t="s">
        <v>51</v>
      </c>
      <c r="AC503" s="5" t="s">
        <v>543</v>
      </c>
      <c r="AD503" s="5" t="s">
        <v>51</v>
      </c>
      <c r="AE503" s="5" t="s">
        <v>51</v>
      </c>
      <c r="AF503" s="5" t="s">
        <v>366</v>
      </c>
    </row>
    <row r="504" spans="1:32" ht="15.65" customHeight="1" x14ac:dyDescent="0.35">
      <c r="A504" s="5" t="s">
        <v>531</v>
      </c>
      <c r="B504" s="5" t="s">
        <v>532</v>
      </c>
      <c r="C504" s="5" t="s">
        <v>542</v>
      </c>
      <c r="D504" s="5">
        <v>3000335</v>
      </c>
      <c r="E504" s="11">
        <v>3100552</v>
      </c>
      <c r="F504" s="11" t="s">
        <v>533</v>
      </c>
      <c r="G504" s="5" t="s">
        <v>533</v>
      </c>
      <c r="H504" s="5" t="s">
        <v>54</v>
      </c>
      <c r="I504" s="5">
        <v>9922625</v>
      </c>
      <c r="J504" s="6">
        <v>46119</v>
      </c>
      <c r="K504" s="6">
        <v>46119</v>
      </c>
      <c r="L504" s="6">
        <v>46150</v>
      </c>
      <c r="M504" s="7">
        <v>-18</v>
      </c>
      <c r="N504" s="7">
        <v>181270251</v>
      </c>
      <c r="O504" s="7">
        <v>0</v>
      </c>
      <c r="P504" s="7">
        <v>181270251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5" t="s">
        <v>542</v>
      </c>
      <c r="Z504" s="6"/>
      <c r="AA504" s="5" t="s">
        <v>501</v>
      </c>
      <c r="AB504" s="5" t="s">
        <v>51</v>
      </c>
      <c r="AC504" s="5" t="s">
        <v>51</v>
      </c>
      <c r="AD504" s="5" t="s">
        <v>51</v>
      </c>
      <c r="AE504" s="5" t="s">
        <v>544</v>
      </c>
      <c r="AF504" s="5" t="s">
        <v>62</v>
      </c>
    </row>
    <row r="505" spans="1:32" ht="15.65" customHeight="1" x14ac:dyDescent="0.35">
      <c r="A505" s="5" t="s">
        <v>531</v>
      </c>
      <c r="B505" s="5" t="s">
        <v>532</v>
      </c>
      <c r="C505" s="5" t="s">
        <v>542</v>
      </c>
      <c r="D505" s="5">
        <v>3000335</v>
      </c>
      <c r="E505" s="11">
        <v>3100552</v>
      </c>
      <c r="F505" s="11" t="s">
        <v>533</v>
      </c>
      <c r="G505" s="5" t="s">
        <v>533</v>
      </c>
      <c r="H505" s="5" t="s">
        <v>54</v>
      </c>
      <c r="I505" s="5">
        <v>9927324</v>
      </c>
      <c r="J505" s="6">
        <v>46130</v>
      </c>
      <c r="K505" s="6">
        <v>46130</v>
      </c>
      <c r="L505" s="6">
        <v>46161</v>
      </c>
      <c r="M505" s="7">
        <v>-29</v>
      </c>
      <c r="N505" s="7">
        <v>253076946</v>
      </c>
      <c r="O505" s="7">
        <v>0</v>
      </c>
      <c r="P505" s="7">
        <v>253076946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5" t="s">
        <v>542</v>
      </c>
      <c r="Z505" s="6"/>
      <c r="AA505" s="5" t="s">
        <v>501</v>
      </c>
      <c r="AB505" s="5" t="s">
        <v>51</v>
      </c>
      <c r="AC505" s="5" t="s">
        <v>51</v>
      </c>
      <c r="AD505" s="5" t="s">
        <v>51</v>
      </c>
      <c r="AE505" s="5" t="s">
        <v>545</v>
      </c>
      <c r="AF505" s="5" t="s">
        <v>410</v>
      </c>
    </row>
    <row r="506" spans="1:32" ht="15.65" customHeight="1" x14ac:dyDescent="0.35">
      <c r="A506" s="5" t="s">
        <v>498</v>
      </c>
      <c r="B506" s="5" t="s">
        <v>546</v>
      </c>
      <c r="C506" s="5" t="s">
        <v>47</v>
      </c>
      <c r="D506" s="5">
        <v>3000405</v>
      </c>
      <c r="E506" s="5">
        <v>3001364</v>
      </c>
      <c r="F506" s="5" t="s">
        <v>547</v>
      </c>
      <c r="G506" s="5" t="s">
        <v>547</v>
      </c>
      <c r="H506" s="5" t="s">
        <v>54</v>
      </c>
      <c r="I506" s="5">
        <v>6958101</v>
      </c>
      <c r="J506" s="6">
        <v>46119</v>
      </c>
      <c r="K506" s="6">
        <v>46119</v>
      </c>
      <c r="L506" s="6">
        <v>46119</v>
      </c>
      <c r="M506" s="7">
        <v>13</v>
      </c>
      <c r="N506" s="7">
        <v>-92760598</v>
      </c>
      <c r="O506" s="7">
        <v>-92760598</v>
      </c>
      <c r="P506" s="7">
        <v>0</v>
      </c>
      <c r="Q506" s="7">
        <v>-92760598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5" t="s">
        <v>548</v>
      </c>
      <c r="Z506" s="6"/>
      <c r="AA506" s="5" t="s">
        <v>55</v>
      </c>
      <c r="AB506" s="5" t="s">
        <v>51</v>
      </c>
      <c r="AC506" s="5" t="s">
        <v>51</v>
      </c>
      <c r="AD506" s="5" t="s">
        <v>51</v>
      </c>
      <c r="AE506" s="5" t="s">
        <v>51</v>
      </c>
      <c r="AF506" s="5" t="s">
        <v>56</v>
      </c>
    </row>
    <row r="507" spans="1:32" ht="15.65" customHeight="1" x14ac:dyDescent="0.35">
      <c r="A507" s="5" t="s">
        <v>498</v>
      </c>
      <c r="B507" s="5" t="s">
        <v>546</v>
      </c>
      <c r="C507" s="5" t="s">
        <v>47</v>
      </c>
      <c r="D507" s="5">
        <v>3000405</v>
      </c>
      <c r="E507" s="11">
        <v>3001364</v>
      </c>
      <c r="F507" s="11" t="s">
        <v>547</v>
      </c>
      <c r="G507" s="5" t="s">
        <v>547</v>
      </c>
      <c r="H507" s="5" t="s">
        <v>54</v>
      </c>
      <c r="I507" s="5">
        <v>6958103</v>
      </c>
      <c r="J507" s="6">
        <v>46119</v>
      </c>
      <c r="K507" s="6">
        <v>46119</v>
      </c>
      <c r="L507" s="6">
        <v>46119</v>
      </c>
      <c r="M507" s="7">
        <v>13</v>
      </c>
      <c r="N507" s="7">
        <v>-336155</v>
      </c>
      <c r="O507" s="7">
        <v>-336155</v>
      </c>
      <c r="P507" s="7">
        <v>0</v>
      </c>
      <c r="Q507" s="7">
        <v>-336155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5" t="s">
        <v>548</v>
      </c>
      <c r="Z507" s="6"/>
      <c r="AA507" s="5" t="s">
        <v>55</v>
      </c>
      <c r="AB507" s="5" t="s">
        <v>51</v>
      </c>
      <c r="AC507" s="5" t="s">
        <v>51</v>
      </c>
      <c r="AD507" s="5" t="s">
        <v>51</v>
      </c>
      <c r="AE507" s="5" t="s">
        <v>51</v>
      </c>
      <c r="AF507" s="5" t="s">
        <v>549</v>
      </c>
    </row>
    <row r="508" spans="1:32" ht="15.65" customHeight="1" x14ac:dyDescent="0.35">
      <c r="A508" s="5" t="s">
        <v>498</v>
      </c>
      <c r="B508" s="5" t="s">
        <v>546</v>
      </c>
      <c r="C508" s="5" t="s">
        <v>47</v>
      </c>
      <c r="D508" s="5">
        <v>3000405</v>
      </c>
      <c r="E508" s="11">
        <v>3001364</v>
      </c>
      <c r="F508" s="11" t="s">
        <v>547</v>
      </c>
      <c r="G508" s="5" t="s">
        <v>547</v>
      </c>
      <c r="H508" s="5" t="s">
        <v>54</v>
      </c>
      <c r="I508" s="5">
        <v>6958104</v>
      </c>
      <c r="J508" s="6">
        <v>46119</v>
      </c>
      <c r="K508" s="6">
        <v>46119</v>
      </c>
      <c r="L508" s="6">
        <v>46119</v>
      </c>
      <c r="M508" s="7">
        <v>13</v>
      </c>
      <c r="N508" s="7">
        <v>-5649464</v>
      </c>
      <c r="O508" s="7">
        <v>-5649464</v>
      </c>
      <c r="P508" s="7">
        <v>0</v>
      </c>
      <c r="Q508" s="7">
        <v>-5649464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5" t="s">
        <v>548</v>
      </c>
      <c r="Z508" s="6"/>
      <c r="AA508" s="5" t="s">
        <v>55</v>
      </c>
      <c r="AB508" s="5" t="s">
        <v>51</v>
      </c>
      <c r="AC508" s="5" t="s">
        <v>51</v>
      </c>
      <c r="AD508" s="5" t="s">
        <v>51</v>
      </c>
      <c r="AE508" s="5" t="s">
        <v>51</v>
      </c>
      <c r="AF508" s="5" t="s">
        <v>550</v>
      </c>
    </row>
    <row r="509" spans="1:32" ht="15.65" customHeight="1" x14ac:dyDescent="0.35">
      <c r="A509" s="5" t="s">
        <v>498</v>
      </c>
      <c r="B509" s="5" t="s">
        <v>546</v>
      </c>
      <c r="C509" s="5" t="s">
        <v>47</v>
      </c>
      <c r="D509" s="5">
        <v>3000405</v>
      </c>
      <c r="E509" s="11">
        <v>3001364</v>
      </c>
      <c r="F509" s="11" t="s">
        <v>547</v>
      </c>
      <c r="G509" s="5" t="s">
        <v>547</v>
      </c>
      <c r="H509" s="5" t="s">
        <v>54</v>
      </c>
      <c r="I509" s="5">
        <v>6958135</v>
      </c>
      <c r="J509" s="6">
        <v>46119</v>
      </c>
      <c r="K509" s="6">
        <v>46119</v>
      </c>
      <c r="L509" s="6">
        <v>46119</v>
      </c>
      <c r="M509" s="7">
        <v>13</v>
      </c>
      <c r="N509" s="7">
        <v>-1411455</v>
      </c>
      <c r="O509" s="7">
        <v>-1411455</v>
      </c>
      <c r="P509" s="7">
        <v>0</v>
      </c>
      <c r="Q509" s="7">
        <v>-1411455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5" t="s">
        <v>548</v>
      </c>
      <c r="Z509" s="6"/>
      <c r="AA509" s="5" t="s">
        <v>55</v>
      </c>
      <c r="AB509" s="5" t="s">
        <v>51</v>
      </c>
      <c r="AC509" s="5" t="s">
        <v>51</v>
      </c>
      <c r="AD509" s="5" t="s">
        <v>51</v>
      </c>
      <c r="AE509" s="5" t="s">
        <v>51</v>
      </c>
      <c r="AF509" s="5" t="s">
        <v>549</v>
      </c>
    </row>
    <row r="510" spans="1:32" ht="15.65" customHeight="1" x14ac:dyDescent="0.35">
      <c r="A510" s="5" t="s">
        <v>498</v>
      </c>
      <c r="B510" s="5" t="s">
        <v>546</v>
      </c>
      <c r="C510" s="5" t="s">
        <v>47</v>
      </c>
      <c r="D510" s="5">
        <v>3000405</v>
      </c>
      <c r="E510" s="11">
        <v>3001364</v>
      </c>
      <c r="F510" s="11" t="s">
        <v>547</v>
      </c>
      <c r="G510" s="5" t="s">
        <v>547</v>
      </c>
      <c r="H510" s="5" t="s">
        <v>54</v>
      </c>
      <c r="I510" s="5">
        <v>6958136</v>
      </c>
      <c r="J510" s="6">
        <v>46119</v>
      </c>
      <c r="K510" s="6">
        <v>46119</v>
      </c>
      <c r="L510" s="6">
        <v>46119</v>
      </c>
      <c r="M510" s="7">
        <v>13</v>
      </c>
      <c r="N510" s="7">
        <v>-321442</v>
      </c>
      <c r="O510" s="7">
        <v>-321442</v>
      </c>
      <c r="P510" s="7">
        <v>0</v>
      </c>
      <c r="Q510" s="7">
        <v>-321442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5" t="s">
        <v>548</v>
      </c>
      <c r="Z510" s="6"/>
      <c r="AA510" s="5" t="s">
        <v>55</v>
      </c>
      <c r="AB510" s="5" t="s">
        <v>51</v>
      </c>
      <c r="AC510" s="5" t="s">
        <v>51</v>
      </c>
      <c r="AD510" s="5" t="s">
        <v>51</v>
      </c>
      <c r="AE510" s="5" t="s">
        <v>51</v>
      </c>
      <c r="AF510" s="5" t="s">
        <v>551</v>
      </c>
    </row>
    <row r="511" spans="1:32" ht="15.65" customHeight="1" x14ac:dyDescent="0.35">
      <c r="A511" s="5" t="s">
        <v>498</v>
      </c>
      <c r="B511" s="5" t="s">
        <v>546</v>
      </c>
      <c r="C511" s="5" t="s">
        <v>47</v>
      </c>
      <c r="D511" s="5">
        <v>3000405</v>
      </c>
      <c r="E511" s="5">
        <v>3001364</v>
      </c>
      <c r="F511" s="5" t="s">
        <v>547</v>
      </c>
      <c r="G511" s="5" t="s">
        <v>547</v>
      </c>
      <c r="H511" s="5" t="s">
        <v>54</v>
      </c>
      <c r="I511" s="5">
        <v>6958137</v>
      </c>
      <c r="J511" s="6">
        <v>46119</v>
      </c>
      <c r="K511" s="6">
        <v>46119</v>
      </c>
      <c r="L511" s="6">
        <v>46119</v>
      </c>
      <c r="M511" s="7">
        <v>13</v>
      </c>
      <c r="N511" s="7">
        <v>-211756</v>
      </c>
      <c r="O511" s="7">
        <v>-211756</v>
      </c>
      <c r="P511" s="7">
        <v>0</v>
      </c>
      <c r="Q511" s="7">
        <v>-211756</v>
      </c>
      <c r="R511" s="7">
        <v>0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0</v>
      </c>
      <c r="Y511" s="5" t="s">
        <v>548</v>
      </c>
      <c r="Z511" s="6"/>
      <c r="AA511" s="5" t="s">
        <v>55</v>
      </c>
      <c r="AB511" s="5" t="s">
        <v>51</v>
      </c>
      <c r="AC511" s="5" t="s">
        <v>51</v>
      </c>
      <c r="AD511" s="5" t="s">
        <v>51</v>
      </c>
      <c r="AE511" s="5" t="s">
        <v>51</v>
      </c>
      <c r="AF511" s="5" t="s">
        <v>552</v>
      </c>
    </row>
    <row r="512" spans="1:32" ht="15.65" customHeight="1" x14ac:dyDescent="0.35">
      <c r="A512" s="5" t="s">
        <v>498</v>
      </c>
      <c r="B512" s="5" t="s">
        <v>546</v>
      </c>
      <c r="C512" s="5" t="s">
        <v>47</v>
      </c>
      <c r="D512" s="5">
        <v>3000405</v>
      </c>
      <c r="E512" s="11">
        <v>3001364</v>
      </c>
      <c r="F512" s="11" t="s">
        <v>547</v>
      </c>
      <c r="G512" s="5" t="s">
        <v>547</v>
      </c>
      <c r="H512" s="5" t="s">
        <v>54</v>
      </c>
      <c r="I512" s="5">
        <v>6958138</v>
      </c>
      <c r="J512" s="6">
        <v>46119</v>
      </c>
      <c r="K512" s="6">
        <v>46119</v>
      </c>
      <c r="L512" s="6">
        <v>46119</v>
      </c>
      <c r="M512" s="7">
        <v>13</v>
      </c>
      <c r="N512" s="7">
        <v>-327955</v>
      </c>
      <c r="O512" s="7">
        <v>-327955</v>
      </c>
      <c r="P512" s="7">
        <v>0</v>
      </c>
      <c r="Q512" s="7">
        <v>-327955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5" t="s">
        <v>548</v>
      </c>
      <c r="Z512" s="6"/>
      <c r="AA512" s="5" t="s">
        <v>55</v>
      </c>
      <c r="AB512" s="5" t="s">
        <v>51</v>
      </c>
      <c r="AC512" s="5" t="s">
        <v>51</v>
      </c>
      <c r="AD512" s="5" t="s">
        <v>51</v>
      </c>
      <c r="AE512" s="5" t="s">
        <v>51</v>
      </c>
      <c r="AF512" s="5" t="s">
        <v>553</v>
      </c>
    </row>
    <row r="513" spans="1:32" ht="15.65" customHeight="1" x14ac:dyDescent="0.35">
      <c r="A513" s="5" t="s">
        <v>498</v>
      </c>
      <c r="B513" s="5" t="s">
        <v>546</v>
      </c>
      <c r="C513" s="5" t="s">
        <v>47</v>
      </c>
      <c r="D513" s="5">
        <v>3000405</v>
      </c>
      <c r="E513" s="11">
        <v>3001364</v>
      </c>
      <c r="F513" s="11" t="s">
        <v>547</v>
      </c>
      <c r="G513" s="5" t="s">
        <v>547</v>
      </c>
      <c r="H513" s="5" t="s">
        <v>54</v>
      </c>
      <c r="I513" s="5">
        <v>6958140</v>
      </c>
      <c r="J513" s="6">
        <v>46119</v>
      </c>
      <c r="K513" s="6">
        <v>46119</v>
      </c>
      <c r="L513" s="6">
        <v>46119</v>
      </c>
      <c r="M513" s="7">
        <v>13</v>
      </c>
      <c r="N513" s="7">
        <v>-244914</v>
      </c>
      <c r="O513" s="7">
        <v>-244914</v>
      </c>
      <c r="P513" s="7">
        <v>0</v>
      </c>
      <c r="Q513" s="7">
        <v>-244914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0</v>
      </c>
      <c r="Y513" s="5" t="s">
        <v>548</v>
      </c>
      <c r="Z513" s="6"/>
      <c r="AA513" s="5" t="s">
        <v>55</v>
      </c>
      <c r="AB513" s="5" t="s">
        <v>51</v>
      </c>
      <c r="AC513" s="5" t="s">
        <v>51</v>
      </c>
      <c r="AD513" s="5" t="s">
        <v>51</v>
      </c>
      <c r="AE513" s="5" t="s">
        <v>51</v>
      </c>
      <c r="AF513" s="5" t="s">
        <v>554</v>
      </c>
    </row>
    <row r="514" spans="1:32" ht="15.65" customHeight="1" x14ac:dyDescent="0.35">
      <c r="A514" s="5" t="s">
        <v>498</v>
      </c>
      <c r="B514" s="5" t="s">
        <v>546</v>
      </c>
      <c r="C514" s="5" t="s">
        <v>47</v>
      </c>
      <c r="D514" s="5">
        <v>3000405</v>
      </c>
      <c r="E514" s="11">
        <v>3001364</v>
      </c>
      <c r="F514" s="11" t="s">
        <v>547</v>
      </c>
      <c r="G514" s="5" t="s">
        <v>547</v>
      </c>
      <c r="H514" s="5" t="s">
        <v>54</v>
      </c>
      <c r="I514" s="5">
        <v>6958141</v>
      </c>
      <c r="J514" s="6">
        <v>46119</v>
      </c>
      <c r="K514" s="6">
        <v>46119</v>
      </c>
      <c r="L514" s="6">
        <v>46119</v>
      </c>
      <c r="M514" s="7">
        <v>13</v>
      </c>
      <c r="N514" s="7">
        <v>-191595</v>
      </c>
      <c r="O514" s="7">
        <v>-191595</v>
      </c>
      <c r="P514" s="7">
        <v>0</v>
      </c>
      <c r="Q514" s="7">
        <v>-191595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5" t="s">
        <v>548</v>
      </c>
      <c r="Z514" s="6"/>
      <c r="AA514" s="5" t="s">
        <v>55</v>
      </c>
      <c r="AB514" s="5" t="s">
        <v>51</v>
      </c>
      <c r="AC514" s="5" t="s">
        <v>51</v>
      </c>
      <c r="AD514" s="5" t="s">
        <v>51</v>
      </c>
      <c r="AE514" s="5" t="s">
        <v>51</v>
      </c>
      <c r="AF514" s="5" t="s">
        <v>555</v>
      </c>
    </row>
    <row r="515" spans="1:32" ht="15.65" customHeight="1" x14ac:dyDescent="0.35">
      <c r="A515" s="5" t="s">
        <v>498</v>
      </c>
      <c r="B515" s="5" t="s">
        <v>546</v>
      </c>
      <c r="C515" s="5" t="s">
        <v>47</v>
      </c>
      <c r="D515" s="5">
        <v>3000405</v>
      </c>
      <c r="E515" s="11">
        <v>3001364</v>
      </c>
      <c r="F515" s="11" t="s">
        <v>547</v>
      </c>
      <c r="G515" s="5" t="s">
        <v>547</v>
      </c>
      <c r="H515" s="5" t="s">
        <v>54</v>
      </c>
      <c r="I515" s="5">
        <v>6958142</v>
      </c>
      <c r="J515" s="6">
        <v>46119</v>
      </c>
      <c r="K515" s="6">
        <v>46119</v>
      </c>
      <c r="L515" s="6">
        <v>46119</v>
      </c>
      <c r="M515" s="7">
        <v>13</v>
      </c>
      <c r="N515" s="7">
        <v>-498935</v>
      </c>
      <c r="O515" s="7">
        <v>-498935</v>
      </c>
      <c r="P515" s="7">
        <v>0</v>
      </c>
      <c r="Q515" s="7">
        <v>-498935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5" t="s">
        <v>548</v>
      </c>
      <c r="Z515" s="6"/>
      <c r="AA515" s="5" t="s">
        <v>55</v>
      </c>
      <c r="AB515" s="5" t="s">
        <v>51</v>
      </c>
      <c r="AC515" s="5" t="s">
        <v>51</v>
      </c>
      <c r="AD515" s="5" t="s">
        <v>51</v>
      </c>
      <c r="AE515" s="5" t="s">
        <v>51</v>
      </c>
      <c r="AF515" s="5" t="s">
        <v>556</v>
      </c>
    </row>
    <row r="516" spans="1:32" ht="15.65" customHeight="1" x14ac:dyDescent="0.35">
      <c r="A516" s="5" t="s">
        <v>498</v>
      </c>
      <c r="B516" s="5" t="s">
        <v>546</v>
      </c>
      <c r="C516" s="5" t="s">
        <v>47</v>
      </c>
      <c r="D516" s="5">
        <v>3000405</v>
      </c>
      <c r="E516" s="11">
        <v>3001364</v>
      </c>
      <c r="F516" s="11" t="s">
        <v>547</v>
      </c>
      <c r="G516" s="5" t="s">
        <v>547</v>
      </c>
      <c r="H516" s="5" t="s">
        <v>54</v>
      </c>
      <c r="I516" s="5">
        <v>6958143</v>
      </c>
      <c r="J516" s="6">
        <v>46119</v>
      </c>
      <c r="K516" s="6">
        <v>46119</v>
      </c>
      <c r="L516" s="6">
        <v>46119</v>
      </c>
      <c r="M516" s="7">
        <v>13</v>
      </c>
      <c r="N516" s="7">
        <v>-80231</v>
      </c>
      <c r="O516" s="7">
        <v>-80231</v>
      </c>
      <c r="P516" s="7">
        <v>0</v>
      </c>
      <c r="Q516" s="7">
        <v>-80231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0</v>
      </c>
      <c r="Y516" s="5" t="s">
        <v>548</v>
      </c>
      <c r="Z516" s="6"/>
      <c r="AA516" s="5" t="s">
        <v>55</v>
      </c>
      <c r="AB516" s="5" t="s">
        <v>51</v>
      </c>
      <c r="AC516" s="5" t="s">
        <v>51</v>
      </c>
      <c r="AD516" s="5" t="s">
        <v>51</v>
      </c>
      <c r="AE516" s="5" t="s">
        <v>51</v>
      </c>
      <c r="AF516" s="5" t="s">
        <v>557</v>
      </c>
    </row>
    <row r="517" spans="1:32" ht="15.65" customHeight="1" x14ac:dyDescent="0.35">
      <c r="A517" s="5" t="s">
        <v>498</v>
      </c>
      <c r="B517" s="5" t="s">
        <v>546</v>
      </c>
      <c r="C517" s="5" t="s">
        <v>47</v>
      </c>
      <c r="D517" s="5">
        <v>3000405</v>
      </c>
      <c r="E517" s="11">
        <v>3001364</v>
      </c>
      <c r="F517" s="11" t="s">
        <v>547</v>
      </c>
      <c r="G517" s="5" t="s">
        <v>547</v>
      </c>
      <c r="H517" s="5" t="s">
        <v>54</v>
      </c>
      <c r="I517" s="5">
        <v>6958209</v>
      </c>
      <c r="J517" s="6">
        <v>46119</v>
      </c>
      <c r="K517" s="6">
        <v>46119</v>
      </c>
      <c r="L517" s="6">
        <v>46119</v>
      </c>
      <c r="M517" s="7">
        <v>13</v>
      </c>
      <c r="N517" s="7">
        <v>-51236</v>
      </c>
      <c r="O517" s="7">
        <v>-51236</v>
      </c>
      <c r="P517" s="7">
        <v>0</v>
      </c>
      <c r="Q517" s="7">
        <v>-51236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5" t="s">
        <v>548</v>
      </c>
      <c r="Z517" s="6"/>
      <c r="AA517" s="5" t="s">
        <v>55</v>
      </c>
      <c r="AB517" s="5" t="s">
        <v>51</v>
      </c>
      <c r="AC517" s="5" t="s">
        <v>51</v>
      </c>
      <c r="AD517" s="5" t="s">
        <v>51</v>
      </c>
      <c r="AE517" s="5" t="s">
        <v>51</v>
      </c>
      <c r="AF517" s="5" t="s">
        <v>558</v>
      </c>
    </row>
    <row r="518" spans="1:32" ht="15.65" customHeight="1" x14ac:dyDescent="0.35">
      <c r="A518" s="5" t="s">
        <v>498</v>
      </c>
      <c r="B518" s="5" t="s">
        <v>546</v>
      </c>
      <c r="C518" s="5" t="s">
        <v>47</v>
      </c>
      <c r="D518" s="5">
        <v>3000405</v>
      </c>
      <c r="E518" s="5">
        <v>3001364</v>
      </c>
      <c r="F518" s="5" t="s">
        <v>547</v>
      </c>
      <c r="G518" s="5" t="s">
        <v>547</v>
      </c>
      <c r="H518" s="5" t="s">
        <v>54</v>
      </c>
      <c r="I518" s="5">
        <v>6958210</v>
      </c>
      <c r="J518" s="6">
        <v>46119</v>
      </c>
      <c r="K518" s="6">
        <v>46119</v>
      </c>
      <c r="L518" s="6">
        <v>46119</v>
      </c>
      <c r="M518" s="7">
        <v>13</v>
      </c>
      <c r="N518" s="7">
        <v>-198800</v>
      </c>
      <c r="O518" s="7">
        <v>-198800</v>
      </c>
      <c r="P518" s="7">
        <v>0</v>
      </c>
      <c r="Q518" s="7">
        <v>-198800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5" t="s">
        <v>548</v>
      </c>
      <c r="Z518" s="6"/>
      <c r="AA518" s="5" t="s">
        <v>55</v>
      </c>
      <c r="AB518" s="5" t="s">
        <v>51</v>
      </c>
      <c r="AC518" s="5" t="s">
        <v>51</v>
      </c>
      <c r="AD518" s="5" t="s">
        <v>51</v>
      </c>
      <c r="AE518" s="5" t="s">
        <v>51</v>
      </c>
      <c r="AF518" s="5" t="s">
        <v>559</v>
      </c>
    </row>
    <row r="519" spans="1:32" ht="15.65" customHeight="1" x14ac:dyDescent="0.35">
      <c r="A519" s="5" t="s">
        <v>498</v>
      </c>
      <c r="B519" s="5" t="s">
        <v>546</v>
      </c>
      <c r="C519" s="5" t="s">
        <v>47</v>
      </c>
      <c r="D519" s="5">
        <v>3000405</v>
      </c>
      <c r="E519" s="11">
        <v>3001364</v>
      </c>
      <c r="F519" s="11" t="s">
        <v>547</v>
      </c>
      <c r="G519" s="5" t="s">
        <v>547</v>
      </c>
      <c r="H519" s="5" t="s">
        <v>54</v>
      </c>
      <c r="I519" s="5">
        <v>6958211</v>
      </c>
      <c r="J519" s="6">
        <v>46119</v>
      </c>
      <c r="K519" s="6">
        <v>46119</v>
      </c>
      <c r="L519" s="6">
        <v>46119</v>
      </c>
      <c r="M519" s="7">
        <v>13</v>
      </c>
      <c r="N519" s="7">
        <v>-167724</v>
      </c>
      <c r="O519" s="7">
        <v>-167724</v>
      </c>
      <c r="P519" s="7">
        <v>0</v>
      </c>
      <c r="Q519" s="7">
        <v>-167724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5" t="s">
        <v>548</v>
      </c>
      <c r="Z519" s="6"/>
      <c r="AA519" s="5" t="s">
        <v>55</v>
      </c>
      <c r="AB519" s="5" t="s">
        <v>51</v>
      </c>
      <c r="AC519" s="5" t="s">
        <v>51</v>
      </c>
      <c r="AD519" s="5" t="s">
        <v>51</v>
      </c>
      <c r="AE519" s="5" t="s">
        <v>51</v>
      </c>
      <c r="AF519" s="5" t="s">
        <v>560</v>
      </c>
    </row>
    <row r="520" spans="1:32" ht="15.65" customHeight="1" x14ac:dyDescent="0.35">
      <c r="A520" s="5" t="s">
        <v>498</v>
      </c>
      <c r="B520" s="5" t="s">
        <v>546</v>
      </c>
      <c r="C520" s="5" t="s">
        <v>47</v>
      </c>
      <c r="D520" s="5">
        <v>3000405</v>
      </c>
      <c r="E520" s="11">
        <v>3001364</v>
      </c>
      <c r="F520" s="11" t="s">
        <v>547</v>
      </c>
      <c r="G520" s="5" t="s">
        <v>547</v>
      </c>
      <c r="H520" s="5" t="s">
        <v>54</v>
      </c>
      <c r="I520" s="5">
        <v>6958221</v>
      </c>
      <c r="J520" s="6">
        <v>46119</v>
      </c>
      <c r="K520" s="6">
        <v>46119</v>
      </c>
      <c r="L520" s="6">
        <v>46119</v>
      </c>
      <c r="M520" s="7">
        <v>13</v>
      </c>
      <c r="N520" s="7">
        <v>-294447</v>
      </c>
      <c r="O520" s="7">
        <v>-294447</v>
      </c>
      <c r="P520" s="7">
        <v>0</v>
      </c>
      <c r="Q520" s="7">
        <v>-294447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5" t="s">
        <v>548</v>
      </c>
      <c r="Z520" s="6"/>
      <c r="AA520" s="5" t="s">
        <v>55</v>
      </c>
      <c r="AB520" s="5" t="s">
        <v>51</v>
      </c>
      <c r="AC520" s="5" t="s">
        <v>51</v>
      </c>
      <c r="AD520" s="5" t="s">
        <v>51</v>
      </c>
      <c r="AE520" s="5" t="s">
        <v>51</v>
      </c>
      <c r="AF520" s="5" t="s">
        <v>561</v>
      </c>
    </row>
    <row r="521" spans="1:32" ht="15.65" customHeight="1" x14ac:dyDescent="0.35">
      <c r="A521" s="5" t="s">
        <v>498</v>
      </c>
      <c r="B521" s="5" t="s">
        <v>546</v>
      </c>
      <c r="C521" s="5" t="s">
        <v>47</v>
      </c>
      <c r="D521" s="5">
        <v>3000405</v>
      </c>
      <c r="E521" s="11">
        <v>3001364</v>
      </c>
      <c r="F521" s="11" t="s">
        <v>547</v>
      </c>
      <c r="G521" s="5" t="s">
        <v>547</v>
      </c>
      <c r="H521" s="5" t="s">
        <v>54</v>
      </c>
      <c r="I521" s="5">
        <v>6958222</v>
      </c>
      <c r="J521" s="6">
        <v>46119</v>
      </c>
      <c r="K521" s="6">
        <v>46119</v>
      </c>
      <c r="L521" s="6">
        <v>46119</v>
      </c>
      <c r="M521" s="7">
        <v>13</v>
      </c>
      <c r="N521" s="7">
        <v>-80753</v>
      </c>
      <c r="O521" s="7">
        <v>-80753</v>
      </c>
      <c r="P521" s="7">
        <v>0</v>
      </c>
      <c r="Q521" s="7">
        <v>-80753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5" t="s">
        <v>548</v>
      </c>
      <c r="Z521" s="6"/>
      <c r="AA521" s="5" t="s">
        <v>55</v>
      </c>
      <c r="AB521" s="5" t="s">
        <v>51</v>
      </c>
      <c r="AC521" s="5" t="s">
        <v>51</v>
      </c>
      <c r="AD521" s="5" t="s">
        <v>51</v>
      </c>
      <c r="AE521" s="5" t="s">
        <v>51</v>
      </c>
      <c r="AF521" s="5" t="s">
        <v>562</v>
      </c>
    </row>
    <row r="522" spans="1:32" ht="15.65" customHeight="1" x14ac:dyDescent="0.35">
      <c r="A522" s="5" t="s">
        <v>498</v>
      </c>
      <c r="B522" s="5" t="s">
        <v>546</v>
      </c>
      <c r="C522" s="5" t="s">
        <v>47</v>
      </c>
      <c r="D522" s="5">
        <v>3000405</v>
      </c>
      <c r="E522" s="5">
        <v>3001364</v>
      </c>
      <c r="F522" s="5" t="s">
        <v>547</v>
      </c>
      <c r="G522" s="5" t="s">
        <v>547</v>
      </c>
      <c r="H522" s="5" t="s">
        <v>54</v>
      </c>
      <c r="I522" s="5">
        <v>6958225</v>
      </c>
      <c r="J522" s="6">
        <v>46120</v>
      </c>
      <c r="K522" s="6">
        <v>46120</v>
      </c>
      <c r="L522" s="6">
        <v>46120</v>
      </c>
      <c r="M522" s="7">
        <v>12</v>
      </c>
      <c r="N522" s="7">
        <v>-543412</v>
      </c>
      <c r="O522" s="7">
        <v>-543412</v>
      </c>
      <c r="P522" s="7">
        <v>0</v>
      </c>
      <c r="Q522" s="7">
        <v>-543412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5" t="s">
        <v>548</v>
      </c>
      <c r="Z522" s="6"/>
      <c r="AA522" s="5" t="s">
        <v>55</v>
      </c>
      <c r="AB522" s="5" t="s">
        <v>51</v>
      </c>
      <c r="AC522" s="5" t="s">
        <v>51</v>
      </c>
      <c r="AD522" s="5" t="s">
        <v>51</v>
      </c>
      <c r="AE522" s="5" t="s">
        <v>51</v>
      </c>
      <c r="AF522" s="5" t="s">
        <v>563</v>
      </c>
    </row>
    <row r="523" spans="1:32" ht="15.65" customHeight="1" x14ac:dyDescent="0.35">
      <c r="A523" s="5" t="s">
        <v>498</v>
      </c>
      <c r="B523" s="5" t="s">
        <v>546</v>
      </c>
      <c r="C523" s="5" t="s">
        <v>47</v>
      </c>
      <c r="D523" s="5">
        <v>3000405</v>
      </c>
      <c r="E523" s="11">
        <v>3001364</v>
      </c>
      <c r="F523" s="11" t="s">
        <v>547</v>
      </c>
      <c r="G523" s="5" t="s">
        <v>547</v>
      </c>
      <c r="H523" s="5" t="s">
        <v>54</v>
      </c>
      <c r="I523" s="5">
        <v>6958226</v>
      </c>
      <c r="J523" s="6">
        <v>46120</v>
      </c>
      <c r="K523" s="6">
        <v>46120</v>
      </c>
      <c r="L523" s="6">
        <v>46120</v>
      </c>
      <c r="M523" s="7">
        <v>12</v>
      </c>
      <c r="N523" s="7">
        <v>-312476</v>
      </c>
      <c r="O523" s="7">
        <v>-312476</v>
      </c>
      <c r="P523" s="7">
        <v>0</v>
      </c>
      <c r="Q523" s="7">
        <v>-312476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5" t="s">
        <v>548</v>
      </c>
      <c r="Z523" s="6"/>
      <c r="AA523" s="5" t="s">
        <v>55</v>
      </c>
      <c r="AB523" s="5" t="s">
        <v>51</v>
      </c>
      <c r="AC523" s="5" t="s">
        <v>51</v>
      </c>
      <c r="AD523" s="5" t="s">
        <v>51</v>
      </c>
      <c r="AE523" s="5" t="s">
        <v>51</v>
      </c>
      <c r="AF523" s="5" t="s">
        <v>564</v>
      </c>
    </row>
    <row r="524" spans="1:32" ht="15.65" customHeight="1" x14ac:dyDescent="0.35">
      <c r="A524" s="5" t="s">
        <v>498</v>
      </c>
      <c r="B524" s="5" t="s">
        <v>546</v>
      </c>
      <c r="C524" s="5" t="s">
        <v>47</v>
      </c>
      <c r="D524" s="5">
        <v>3000405</v>
      </c>
      <c r="E524" s="11">
        <v>3001364</v>
      </c>
      <c r="F524" s="11" t="s">
        <v>547</v>
      </c>
      <c r="G524" s="5" t="s">
        <v>547</v>
      </c>
      <c r="H524" s="5" t="s">
        <v>54</v>
      </c>
      <c r="I524" s="5">
        <v>6958227</v>
      </c>
      <c r="J524" s="6">
        <v>46120</v>
      </c>
      <c r="K524" s="6">
        <v>46120</v>
      </c>
      <c r="L524" s="6">
        <v>46120</v>
      </c>
      <c r="M524" s="7">
        <v>12</v>
      </c>
      <c r="N524" s="7">
        <v>-208068</v>
      </c>
      <c r="O524" s="7">
        <v>-208068</v>
      </c>
      <c r="P524" s="7">
        <v>0</v>
      </c>
      <c r="Q524" s="7">
        <v>-208068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5" t="s">
        <v>548</v>
      </c>
      <c r="Z524" s="6"/>
      <c r="AA524" s="5" t="s">
        <v>55</v>
      </c>
      <c r="AB524" s="5" t="s">
        <v>51</v>
      </c>
      <c r="AC524" s="5" t="s">
        <v>51</v>
      </c>
      <c r="AD524" s="5" t="s">
        <v>51</v>
      </c>
      <c r="AE524" s="5" t="s">
        <v>51</v>
      </c>
      <c r="AF524" s="5" t="s">
        <v>565</v>
      </c>
    </row>
    <row r="525" spans="1:32" ht="15.65" customHeight="1" x14ac:dyDescent="0.35">
      <c r="A525" s="5" t="s">
        <v>498</v>
      </c>
      <c r="B525" s="5" t="s">
        <v>546</v>
      </c>
      <c r="C525" s="5" t="s">
        <v>47</v>
      </c>
      <c r="D525" s="5">
        <v>3000405</v>
      </c>
      <c r="E525" s="11">
        <v>3001364</v>
      </c>
      <c r="F525" s="11" t="s">
        <v>547</v>
      </c>
      <c r="G525" s="5" t="s">
        <v>547</v>
      </c>
      <c r="H525" s="5" t="s">
        <v>54</v>
      </c>
      <c r="I525" s="5">
        <v>6958228</v>
      </c>
      <c r="J525" s="6">
        <v>46120</v>
      </c>
      <c r="K525" s="6">
        <v>46120</v>
      </c>
      <c r="L525" s="6">
        <v>46120</v>
      </c>
      <c r="M525" s="7">
        <v>12</v>
      </c>
      <c r="N525" s="7">
        <v>-415708</v>
      </c>
      <c r="O525" s="7">
        <v>-415708</v>
      </c>
      <c r="P525" s="7">
        <v>0</v>
      </c>
      <c r="Q525" s="7">
        <v>-415708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5" t="s">
        <v>548</v>
      </c>
      <c r="Z525" s="6"/>
      <c r="AA525" s="5" t="s">
        <v>55</v>
      </c>
      <c r="AB525" s="5" t="s">
        <v>51</v>
      </c>
      <c r="AC525" s="5" t="s">
        <v>51</v>
      </c>
      <c r="AD525" s="5" t="s">
        <v>51</v>
      </c>
      <c r="AE525" s="5" t="s">
        <v>51</v>
      </c>
      <c r="AF525" s="5" t="s">
        <v>566</v>
      </c>
    </row>
    <row r="526" spans="1:32" ht="15.65" customHeight="1" x14ac:dyDescent="0.35">
      <c r="A526" s="5" t="s">
        <v>498</v>
      </c>
      <c r="B526" s="5" t="s">
        <v>546</v>
      </c>
      <c r="C526" s="5" t="s">
        <v>47</v>
      </c>
      <c r="D526" s="5">
        <v>3000405</v>
      </c>
      <c r="E526" s="11">
        <v>3001364</v>
      </c>
      <c r="F526" s="11" t="s">
        <v>547</v>
      </c>
      <c r="G526" s="5" t="s">
        <v>547</v>
      </c>
      <c r="H526" s="5" t="s">
        <v>54</v>
      </c>
      <c r="I526" s="5">
        <v>6958231</v>
      </c>
      <c r="J526" s="6">
        <v>46120</v>
      </c>
      <c r="K526" s="6">
        <v>46120</v>
      </c>
      <c r="L526" s="6">
        <v>46120</v>
      </c>
      <c r="M526" s="7">
        <v>12</v>
      </c>
      <c r="N526" s="7">
        <v>-80539</v>
      </c>
      <c r="O526" s="7">
        <v>-80539</v>
      </c>
      <c r="P526" s="7">
        <v>0</v>
      </c>
      <c r="Q526" s="7">
        <v>-80539</v>
      </c>
      <c r="R526" s="7">
        <v>0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5" t="s">
        <v>548</v>
      </c>
      <c r="Z526" s="6"/>
      <c r="AA526" s="5" t="s">
        <v>55</v>
      </c>
      <c r="AB526" s="5" t="s">
        <v>51</v>
      </c>
      <c r="AC526" s="5" t="s">
        <v>51</v>
      </c>
      <c r="AD526" s="5" t="s">
        <v>51</v>
      </c>
      <c r="AE526" s="5" t="s">
        <v>51</v>
      </c>
      <c r="AF526" s="5" t="s">
        <v>567</v>
      </c>
    </row>
    <row r="527" spans="1:32" ht="15.65" customHeight="1" x14ac:dyDescent="0.35">
      <c r="A527" s="5" t="s">
        <v>498</v>
      </c>
      <c r="B527" s="5" t="s">
        <v>546</v>
      </c>
      <c r="C527" s="5" t="s">
        <v>47</v>
      </c>
      <c r="D527" s="5">
        <v>3000405</v>
      </c>
      <c r="E527" s="11">
        <v>3001364</v>
      </c>
      <c r="F527" s="11" t="s">
        <v>547</v>
      </c>
      <c r="G527" s="5" t="s">
        <v>547</v>
      </c>
      <c r="H527" s="5" t="s">
        <v>54</v>
      </c>
      <c r="I527" s="5">
        <v>6958232</v>
      </c>
      <c r="J527" s="6">
        <v>46120</v>
      </c>
      <c r="K527" s="6">
        <v>46120</v>
      </c>
      <c r="L527" s="6">
        <v>46120</v>
      </c>
      <c r="M527" s="7">
        <v>12</v>
      </c>
      <c r="N527" s="7">
        <v>-110040</v>
      </c>
      <c r="O527" s="7">
        <v>-110040</v>
      </c>
      <c r="P527" s="7">
        <v>0</v>
      </c>
      <c r="Q527" s="7">
        <v>-110040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5" t="s">
        <v>548</v>
      </c>
      <c r="Z527" s="6"/>
      <c r="AA527" s="5" t="s">
        <v>55</v>
      </c>
      <c r="AB527" s="5" t="s">
        <v>51</v>
      </c>
      <c r="AC527" s="5" t="s">
        <v>51</v>
      </c>
      <c r="AD527" s="5" t="s">
        <v>51</v>
      </c>
      <c r="AE527" s="5" t="s">
        <v>51</v>
      </c>
      <c r="AF527" s="5" t="s">
        <v>567</v>
      </c>
    </row>
    <row r="528" spans="1:32" ht="15.65" customHeight="1" x14ac:dyDescent="0.35">
      <c r="A528" s="5" t="s">
        <v>498</v>
      </c>
      <c r="B528" s="5" t="s">
        <v>546</v>
      </c>
      <c r="C528" s="5" t="s">
        <v>47</v>
      </c>
      <c r="D528" s="5">
        <v>3000405</v>
      </c>
      <c r="E528" s="11">
        <v>3001364</v>
      </c>
      <c r="F528" s="11" t="s">
        <v>547</v>
      </c>
      <c r="G528" s="5" t="s">
        <v>547</v>
      </c>
      <c r="H528" s="5" t="s">
        <v>54</v>
      </c>
      <c r="I528" s="5">
        <v>6958239</v>
      </c>
      <c r="J528" s="6">
        <v>46120</v>
      </c>
      <c r="K528" s="6">
        <v>46120</v>
      </c>
      <c r="L528" s="6">
        <v>46120</v>
      </c>
      <c r="M528" s="7">
        <v>12</v>
      </c>
      <c r="N528" s="7">
        <v>-470387</v>
      </c>
      <c r="O528" s="7">
        <v>-470387</v>
      </c>
      <c r="P528" s="7">
        <v>0</v>
      </c>
      <c r="Q528" s="7">
        <v>-470387</v>
      </c>
      <c r="R528" s="7">
        <v>0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  <c r="X528" s="7">
        <v>0</v>
      </c>
      <c r="Y528" s="5" t="s">
        <v>548</v>
      </c>
      <c r="Z528" s="6"/>
      <c r="AA528" s="5" t="s">
        <v>55</v>
      </c>
      <c r="AB528" s="5" t="s">
        <v>51</v>
      </c>
      <c r="AC528" s="5" t="s">
        <v>51</v>
      </c>
      <c r="AD528" s="5" t="s">
        <v>51</v>
      </c>
      <c r="AE528" s="5" t="s">
        <v>51</v>
      </c>
      <c r="AF528" s="5" t="s">
        <v>568</v>
      </c>
    </row>
    <row r="529" spans="1:32" ht="15.65" customHeight="1" x14ac:dyDescent="0.35">
      <c r="A529" s="5" t="s">
        <v>498</v>
      </c>
      <c r="B529" s="5" t="s">
        <v>546</v>
      </c>
      <c r="C529" s="5" t="s">
        <v>47</v>
      </c>
      <c r="D529" s="5">
        <v>3000405</v>
      </c>
      <c r="E529" s="11">
        <v>3001364</v>
      </c>
      <c r="F529" s="11" t="s">
        <v>547</v>
      </c>
      <c r="G529" s="5" t="s">
        <v>547</v>
      </c>
      <c r="H529" s="5" t="s">
        <v>54</v>
      </c>
      <c r="I529" s="5">
        <v>6958240</v>
      </c>
      <c r="J529" s="6">
        <v>46120</v>
      </c>
      <c r="K529" s="6">
        <v>46120</v>
      </c>
      <c r="L529" s="6">
        <v>46120</v>
      </c>
      <c r="M529" s="7">
        <v>12</v>
      </c>
      <c r="N529" s="7">
        <v>-246878</v>
      </c>
      <c r="O529" s="7">
        <v>-246878</v>
      </c>
      <c r="P529" s="7">
        <v>0</v>
      </c>
      <c r="Q529" s="7">
        <v>-246878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5" t="s">
        <v>548</v>
      </c>
      <c r="Z529" s="6"/>
      <c r="AA529" s="5" t="s">
        <v>55</v>
      </c>
      <c r="AB529" s="5" t="s">
        <v>51</v>
      </c>
      <c r="AC529" s="5" t="s">
        <v>51</v>
      </c>
      <c r="AD529" s="5" t="s">
        <v>51</v>
      </c>
      <c r="AE529" s="5" t="s">
        <v>51</v>
      </c>
      <c r="AF529" s="5" t="s">
        <v>569</v>
      </c>
    </row>
    <row r="530" spans="1:32" ht="15.65" customHeight="1" x14ac:dyDescent="0.35">
      <c r="A530" s="5" t="s">
        <v>498</v>
      </c>
      <c r="B530" s="5" t="s">
        <v>546</v>
      </c>
      <c r="C530" s="5" t="s">
        <v>47</v>
      </c>
      <c r="D530" s="5">
        <v>3000405</v>
      </c>
      <c r="E530" s="11">
        <v>3001364</v>
      </c>
      <c r="F530" s="11" t="s">
        <v>547</v>
      </c>
      <c r="G530" s="5" t="s">
        <v>547</v>
      </c>
      <c r="H530" s="5" t="s">
        <v>54</v>
      </c>
      <c r="I530" s="5">
        <v>6958241</v>
      </c>
      <c r="J530" s="6">
        <v>46120</v>
      </c>
      <c r="K530" s="6">
        <v>46120</v>
      </c>
      <c r="L530" s="6">
        <v>46120</v>
      </c>
      <c r="M530" s="7">
        <v>12</v>
      </c>
      <c r="N530" s="7">
        <v>-107794</v>
      </c>
      <c r="O530" s="7">
        <v>-107794</v>
      </c>
      <c r="P530" s="7">
        <v>0</v>
      </c>
      <c r="Q530" s="7">
        <v>-107794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5" t="s">
        <v>548</v>
      </c>
      <c r="Z530" s="6"/>
      <c r="AA530" s="5" t="s">
        <v>55</v>
      </c>
      <c r="AB530" s="5" t="s">
        <v>51</v>
      </c>
      <c r="AC530" s="5" t="s">
        <v>51</v>
      </c>
      <c r="AD530" s="5" t="s">
        <v>51</v>
      </c>
      <c r="AE530" s="5" t="s">
        <v>51</v>
      </c>
      <c r="AF530" s="5" t="s">
        <v>570</v>
      </c>
    </row>
    <row r="531" spans="1:32" ht="15.65" customHeight="1" x14ac:dyDescent="0.35">
      <c r="A531" s="5" t="s">
        <v>498</v>
      </c>
      <c r="B531" s="5" t="s">
        <v>546</v>
      </c>
      <c r="C531" s="5" t="s">
        <v>47</v>
      </c>
      <c r="D531" s="5">
        <v>3000405</v>
      </c>
      <c r="E531" s="11">
        <v>3001364</v>
      </c>
      <c r="F531" s="11" t="s">
        <v>547</v>
      </c>
      <c r="G531" s="5" t="s">
        <v>547</v>
      </c>
      <c r="H531" s="5" t="s">
        <v>54</v>
      </c>
      <c r="I531" s="5">
        <v>6958242</v>
      </c>
      <c r="J531" s="6">
        <v>46120</v>
      </c>
      <c r="K531" s="6">
        <v>46120</v>
      </c>
      <c r="L531" s="6">
        <v>46120</v>
      </c>
      <c r="M531" s="7">
        <v>12</v>
      </c>
      <c r="N531" s="7">
        <v>-103357</v>
      </c>
      <c r="O531" s="7">
        <v>-103357</v>
      </c>
      <c r="P531" s="7">
        <v>0</v>
      </c>
      <c r="Q531" s="7">
        <v>-103357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5" t="s">
        <v>548</v>
      </c>
      <c r="Z531" s="6"/>
      <c r="AA531" s="5" t="s">
        <v>55</v>
      </c>
      <c r="AB531" s="5" t="s">
        <v>51</v>
      </c>
      <c r="AC531" s="5" t="s">
        <v>51</v>
      </c>
      <c r="AD531" s="5" t="s">
        <v>51</v>
      </c>
      <c r="AE531" s="5" t="s">
        <v>51</v>
      </c>
      <c r="AF531" s="5" t="s">
        <v>570</v>
      </c>
    </row>
    <row r="532" spans="1:32" ht="15.65" customHeight="1" x14ac:dyDescent="0.35">
      <c r="A532" s="5" t="s">
        <v>498</v>
      </c>
      <c r="B532" s="5" t="s">
        <v>546</v>
      </c>
      <c r="C532" s="5" t="s">
        <v>47</v>
      </c>
      <c r="D532" s="5">
        <v>3000405</v>
      </c>
      <c r="E532" s="11">
        <v>3001364</v>
      </c>
      <c r="F532" s="11" t="s">
        <v>547</v>
      </c>
      <c r="G532" s="5" t="s">
        <v>547</v>
      </c>
      <c r="H532" s="5" t="s">
        <v>54</v>
      </c>
      <c r="I532" s="5">
        <v>6958252</v>
      </c>
      <c r="J532" s="6">
        <v>46120</v>
      </c>
      <c r="K532" s="6">
        <v>46120</v>
      </c>
      <c r="L532" s="6">
        <v>46120</v>
      </c>
      <c r="M532" s="7">
        <v>12</v>
      </c>
      <c r="N532" s="7">
        <v>-433588</v>
      </c>
      <c r="O532" s="7">
        <v>-433588</v>
      </c>
      <c r="P532" s="7">
        <v>0</v>
      </c>
      <c r="Q532" s="7">
        <v>-433588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5" t="s">
        <v>548</v>
      </c>
      <c r="Z532" s="6"/>
      <c r="AA532" s="5" t="s">
        <v>55</v>
      </c>
      <c r="AB532" s="5" t="s">
        <v>51</v>
      </c>
      <c r="AC532" s="5" t="s">
        <v>51</v>
      </c>
      <c r="AD532" s="5" t="s">
        <v>51</v>
      </c>
      <c r="AE532" s="5" t="s">
        <v>51</v>
      </c>
      <c r="AF532" s="5" t="s">
        <v>571</v>
      </c>
    </row>
    <row r="533" spans="1:32" ht="15.65" customHeight="1" x14ac:dyDescent="0.35">
      <c r="A533" s="5" t="s">
        <v>498</v>
      </c>
      <c r="B533" s="5" t="s">
        <v>546</v>
      </c>
      <c r="C533" s="5" t="s">
        <v>47</v>
      </c>
      <c r="D533" s="5">
        <v>3000405</v>
      </c>
      <c r="E533" s="11">
        <v>3001364</v>
      </c>
      <c r="F533" s="11" t="s">
        <v>547</v>
      </c>
      <c r="G533" s="5" t="s">
        <v>547</v>
      </c>
      <c r="H533" s="5" t="s">
        <v>54</v>
      </c>
      <c r="I533" s="5">
        <v>6958253</v>
      </c>
      <c r="J533" s="6">
        <v>46120</v>
      </c>
      <c r="K533" s="6">
        <v>46120</v>
      </c>
      <c r="L533" s="6">
        <v>46120</v>
      </c>
      <c r="M533" s="7">
        <v>12</v>
      </c>
      <c r="N533" s="7">
        <v>-317857</v>
      </c>
      <c r="O533" s="7">
        <v>-317857</v>
      </c>
      <c r="P533" s="7">
        <v>0</v>
      </c>
      <c r="Q533" s="7">
        <v>-317857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5" t="s">
        <v>548</v>
      </c>
      <c r="Z533" s="6"/>
      <c r="AA533" s="5" t="s">
        <v>55</v>
      </c>
      <c r="AB533" s="5" t="s">
        <v>51</v>
      </c>
      <c r="AC533" s="5" t="s">
        <v>51</v>
      </c>
      <c r="AD533" s="5" t="s">
        <v>51</v>
      </c>
      <c r="AE533" s="5" t="s">
        <v>51</v>
      </c>
      <c r="AF533" s="5" t="s">
        <v>572</v>
      </c>
    </row>
    <row r="534" spans="1:32" ht="15.65" customHeight="1" x14ac:dyDescent="0.35">
      <c r="A534" s="5" t="s">
        <v>498</v>
      </c>
      <c r="B534" s="5" t="s">
        <v>546</v>
      </c>
      <c r="C534" s="5" t="s">
        <v>47</v>
      </c>
      <c r="D534" s="5">
        <v>3000405</v>
      </c>
      <c r="E534" s="5">
        <v>3001364</v>
      </c>
      <c r="F534" s="5" t="s">
        <v>547</v>
      </c>
      <c r="G534" s="5" t="s">
        <v>547</v>
      </c>
      <c r="H534" s="5" t="s">
        <v>54</v>
      </c>
      <c r="I534" s="5">
        <v>6958254</v>
      </c>
      <c r="J534" s="6">
        <v>46120</v>
      </c>
      <c r="K534" s="6">
        <v>46120</v>
      </c>
      <c r="L534" s="6">
        <v>46120</v>
      </c>
      <c r="M534" s="7">
        <v>12</v>
      </c>
      <c r="N534" s="7">
        <v>-242548</v>
      </c>
      <c r="O534" s="7">
        <v>-242548</v>
      </c>
      <c r="P534" s="7">
        <v>0</v>
      </c>
      <c r="Q534" s="7">
        <v>-242548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5" t="s">
        <v>548</v>
      </c>
      <c r="Z534" s="6"/>
      <c r="AA534" s="5" t="s">
        <v>55</v>
      </c>
      <c r="AB534" s="5" t="s">
        <v>51</v>
      </c>
      <c r="AC534" s="5" t="s">
        <v>51</v>
      </c>
      <c r="AD534" s="5" t="s">
        <v>51</v>
      </c>
      <c r="AE534" s="5" t="s">
        <v>51</v>
      </c>
      <c r="AF534" s="5" t="s">
        <v>573</v>
      </c>
    </row>
    <row r="535" spans="1:32" ht="15.65" customHeight="1" x14ac:dyDescent="0.35">
      <c r="A535" s="5" t="s">
        <v>498</v>
      </c>
      <c r="B535" s="5" t="s">
        <v>546</v>
      </c>
      <c r="C535" s="5" t="s">
        <v>47</v>
      </c>
      <c r="D535" s="5">
        <v>3000405</v>
      </c>
      <c r="E535" s="11">
        <v>3001364</v>
      </c>
      <c r="F535" s="11" t="s">
        <v>547</v>
      </c>
      <c r="G535" s="5" t="s">
        <v>547</v>
      </c>
      <c r="H535" s="5" t="s">
        <v>54</v>
      </c>
      <c r="I535" s="5">
        <v>6958263</v>
      </c>
      <c r="J535" s="6">
        <v>46120</v>
      </c>
      <c r="K535" s="6">
        <v>46120</v>
      </c>
      <c r="L535" s="6">
        <v>46120</v>
      </c>
      <c r="M535" s="7">
        <v>12</v>
      </c>
      <c r="N535" s="7">
        <v>-367197</v>
      </c>
      <c r="O535" s="7">
        <v>-367197</v>
      </c>
      <c r="P535" s="7">
        <v>0</v>
      </c>
      <c r="Q535" s="7">
        <v>-367197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5" t="s">
        <v>548</v>
      </c>
      <c r="Z535" s="6"/>
      <c r="AA535" s="5" t="s">
        <v>55</v>
      </c>
      <c r="AB535" s="5" t="s">
        <v>51</v>
      </c>
      <c r="AC535" s="5" t="s">
        <v>51</v>
      </c>
      <c r="AD535" s="5" t="s">
        <v>51</v>
      </c>
      <c r="AE535" s="5" t="s">
        <v>51</v>
      </c>
      <c r="AF535" s="5" t="s">
        <v>574</v>
      </c>
    </row>
    <row r="536" spans="1:32" ht="15.65" customHeight="1" x14ac:dyDescent="0.35">
      <c r="A536" s="5" t="s">
        <v>498</v>
      </c>
      <c r="B536" s="5" t="s">
        <v>546</v>
      </c>
      <c r="C536" s="5" t="s">
        <v>47</v>
      </c>
      <c r="D536" s="5">
        <v>3000405</v>
      </c>
      <c r="E536" s="11">
        <v>3001364</v>
      </c>
      <c r="F536" s="11" t="s">
        <v>547</v>
      </c>
      <c r="G536" s="5" t="s">
        <v>547</v>
      </c>
      <c r="H536" s="5" t="s">
        <v>54</v>
      </c>
      <c r="I536" s="5">
        <v>6958264</v>
      </c>
      <c r="J536" s="6">
        <v>46120</v>
      </c>
      <c r="K536" s="6">
        <v>46120</v>
      </c>
      <c r="L536" s="6">
        <v>46120</v>
      </c>
      <c r="M536" s="7">
        <v>12</v>
      </c>
      <c r="N536" s="7">
        <v>-490353</v>
      </c>
      <c r="O536" s="7">
        <v>-490353</v>
      </c>
      <c r="P536" s="7">
        <v>0</v>
      </c>
      <c r="Q536" s="7">
        <v>-490353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5" t="s">
        <v>548</v>
      </c>
      <c r="Z536" s="6"/>
      <c r="AA536" s="5" t="s">
        <v>55</v>
      </c>
      <c r="AB536" s="5" t="s">
        <v>51</v>
      </c>
      <c r="AC536" s="5" t="s">
        <v>51</v>
      </c>
      <c r="AD536" s="5" t="s">
        <v>51</v>
      </c>
      <c r="AE536" s="5" t="s">
        <v>51</v>
      </c>
      <c r="AF536" s="5" t="s">
        <v>574</v>
      </c>
    </row>
    <row r="537" spans="1:32" ht="15.65" customHeight="1" x14ac:dyDescent="0.35">
      <c r="A537" s="5" t="s">
        <v>498</v>
      </c>
      <c r="B537" s="5" t="s">
        <v>546</v>
      </c>
      <c r="C537" s="5" t="s">
        <v>47</v>
      </c>
      <c r="D537" s="5">
        <v>3000405</v>
      </c>
      <c r="E537" s="11">
        <v>3001364</v>
      </c>
      <c r="F537" s="11" t="s">
        <v>547</v>
      </c>
      <c r="G537" s="5" t="s">
        <v>547</v>
      </c>
      <c r="H537" s="5" t="s">
        <v>54</v>
      </c>
      <c r="I537" s="5">
        <v>6958265</v>
      </c>
      <c r="J537" s="6">
        <v>46120</v>
      </c>
      <c r="K537" s="6">
        <v>46120</v>
      </c>
      <c r="L537" s="6">
        <v>46120</v>
      </c>
      <c r="M537" s="7">
        <v>12</v>
      </c>
      <c r="N537" s="7">
        <v>-550759</v>
      </c>
      <c r="O537" s="7">
        <v>-550759</v>
      </c>
      <c r="P537" s="7">
        <v>0</v>
      </c>
      <c r="Q537" s="7">
        <v>-550759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5" t="s">
        <v>548</v>
      </c>
      <c r="Z537" s="6"/>
      <c r="AA537" s="5" t="s">
        <v>55</v>
      </c>
      <c r="AB537" s="5" t="s">
        <v>51</v>
      </c>
      <c r="AC537" s="5" t="s">
        <v>51</v>
      </c>
      <c r="AD537" s="5" t="s">
        <v>51</v>
      </c>
      <c r="AE537" s="5" t="s">
        <v>51</v>
      </c>
      <c r="AF537" s="5" t="s">
        <v>575</v>
      </c>
    </row>
    <row r="538" spans="1:32" ht="15.65" customHeight="1" x14ac:dyDescent="0.35">
      <c r="A538" s="5" t="s">
        <v>498</v>
      </c>
      <c r="B538" s="5" t="s">
        <v>546</v>
      </c>
      <c r="C538" s="5" t="s">
        <v>47</v>
      </c>
      <c r="D538" s="5">
        <v>3000405</v>
      </c>
      <c r="E538" s="11">
        <v>3001364</v>
      </c>
      <c r="F538" s="11" t="s">
        <v>547</v>
      </c>
      <c r="G538" s="5" t="s">
        <v>547</v>
      </c>
      <c r="H538" s="5" t="s">
        <v>54</v>
      </c>
      <c r="I538" s="5">
        <v>6958267</v>
      </c>
      <c r="J538" s="6">
        <v>46120</v>
      </c>
      <c r="K538" s="6">
        <v>46120</v>
      </c>
      <c r="L538" s="6">
        <v>46120</v>
      </c>
      <c r="M538" s="7">
        <v>12</v>
      </c>
      <c r="N538" s="7">
        <v>-262304</v>
      </c>
      <c r="O538" s="7">
        <v>-262304</v>
      </c>
      <c r="P538" s="7">
        <v>0</v>
      </c>
      <c r="Q538" s="7">
        <v>-262304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5" t="s">
        <v>548</v>
      </c>
      <c r="Z538" s="6"/>
      <c r="AA538" s="5" t="s">
        <v>55</v>
      </c>
      <c r="AB538" s="5" t="s">
        <v>51</v>
      </c>
      <c r="AC538" s="5" t="s">
        <v>51</v>
      </c>
      <c r="AD538" s="5" t="s">
        <v>51</v>
      </c>
      <c r="AE538" s="5" t="s">
        <v>51</v>
      </c>
      <c r="AF538" s="5" t="s">
        <v>576</v>
      </c>
    </row>
    <row r="539" spans="1:32" ht="15.65" customHeight="1" x14ac:dyDescent="0.35">
      <c r="A539" s="5" t="s">
        <v>498</v>
      </c>
      <c r="B539" s="5" t="s">
        <v>546</v>
      </c>
      <c r="C539" s="5" t="s">
        <v>47</v>
      </c>
      <c r="D539" s="5">
        <v>3000405</v>
      </c>
      <c r="E539" s="5">
        <v>3001364</v>
      </c>
      <c r="F539" s="5" t="s">
        <v>547</v>
      </c>
      <c r="G539" s="5" t="s">
        <v>547</v>
      </c>
      <c r="H539" s="5" t="s">
        <v>54</v>
      </c>
      <c r="I539" s="5">
        <v>6958268</v>
      </c>
      <c r="J539" s="6">
        <v>46120</v>
      </c>
      <c r="K539" s="6">
        <v>46120</v>
      </c>
      <c r="L539" s="6">
        <v>46120</v>
      </c>
      <c r="M539" s="7">
        <v>12</v>
      </c>
      <c r="N539" s="7">
        <v>-437730</v>
      </c>
      <c r="O539" s="7">
        <v>-437730</v>
      </c>
      <c r="P539" s="7">
        <v>0</v>
      </c>
      <c r="Q539" s="7">
        <v>-437730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5" t="s">
        <v>548</v>
      </c>
      <c r="Z539" s="6"/>
      <c r="AA539" s="5" t="s">
        <v>55</v>
      </c>
      <c r="AB539" s="5" t="s">
        <v>51</v>
      </c>
      <c r="AC539" s="5" t="s">
        <v>51</v>
      </c>
      <c r="AD539" s="5" t="s">
        <v>51</v>
      </c>
      <c r="AE539" s="5" t="s">
        <v>51</v>
      </c>
      <c r="AF539" s="5" t="s">
        <v>577</v>
      </c>
    </row>
    <row r="540" spans="1:32" ht="15.65" customHeight="1" x14ac:dyDescent="0.35">
      <c r="A540" s="5" t="s">
        <v>498</v>
      </c>
      <c r="B540" s="5" t="s">
        <v>546</v>
      </c>
      <c r="C540" s="5" t="s">
        <v>47</v>
      </c>
      <c r="D540" s="5">
        <v>3000405</v>
      </c>
      <c r="E540" s="11">
        <v>3001364</v>
      </c>
      <c r="F540" s="11" t="s">
        <v>547</v>
      </c>
      <c r="G540" s="5" t="s">
        <v>547</v>
      </c>
      <c r="H540" s="5" t="s">
        <v>54</v>
      </c>
      <c r="I540" s="5">
        <v>6959447</v>
      </c>
      <c r="J540" s="6">
        <v>46127</v>
      </c>
      <c r="K540" s="6">
        <v>46127</v>
      </c>
      <c r="L540" s="6">
        <v>46127</v>
      </c>
      <c r="M540" s="7">
        <v>5</v>
      </c>
      <c r="N540" s="7">
        <v>-19876995</v>
      </c>
      <c r="O540" s="7">
        <v>-19876995</v>
      </c>
      <c r="P540" s="7">
        <v>0</v>
      </c>
      <c r="Q540" s="7">
        <v>-19876995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5" t="s">
        <v>548</v>
      </c>
      <c r="Z540" s="6"/>
      <c r="AA540" s="5" t="s">
        <v>55</v>
      </c>
      <c r="AB540" s="5" t="s">
        <v>51</v>
      </c>
      <c r="AC540" s="5" t="s">
        <v>51</v>
      </c>
      <c r="AD540" s="5" t="s">
        <v>51</v>
      </c>
      <c r="AE540" s="5" t="s">
        <v>51</v>
      </c>
      <c r="AF540" s="5" t="s">
        <v>578</v>
      </c>
    </row>
    <row r="541" spans="1:32" ht="15.65" customHeight="1" x14ac:dyDescent="0.35">
      <c r="A541" s="5" t="s">
        <v>498</v>
      </c>
      <c r="B541" s="5" t="s">
        <v>546</v>
      </c>
      <c r="C541" s="5" t="s">
        <v>47</v>
      </c>
      <c r="D541" s="5">
        <v>3000405</v>
      </c>
      <c r="E541" s="11">
        <v>3000405</v>
      </c>
      <c r="F541" s="11" t="s">
        <v>547</v>
      </c>
      <c r="G541" s="5" t="s">
        <v>547</v>
      </c>
      <c r="H541" s="5" t="s">
        <v>111</v>
      </c>
      <c r="I541" s="5">
        <v>6959678</v>
      </c>
      <c r="J541" s="6">
        <v>46128</v>
      </c>
      <c r="K541" s="6">
        <v>46128</v>
      </c>
      <c r="L541" s="6">
        <v>46128</v>
      </c>
      <c r="M541" s="7">
        <v>4</v>
      </c>
      <c r="N541" s="7">
        <v>-130070</v>
      </c>
      <c r="O541" s="7">
        <v>-130070</v>
      </c>
      <c r="P541" s="7">
        <v>0</v>
      </c>
      <c r="Q541" s="7">
        <v>-130070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5" t="s">
        <v>47</v>
      </c>
      <c r="Z541" s="6"/>
      <c r="AA541" s="5" t="s">
        <v>55</v>
      </c>
      <c r="AB541" s="5" t="s">
        <v>51</v>
      </c>
      <c r="AC541" s="5" t="s">
        <v>51</v>
      </c>
      <c r="AD541" s="5" t="s">
        <v>51</v>
      </c>
      <c r="AE541" s="5" t="s">
        <v>51</v>
      </c>
      <c r="AF541" s="5" t="s">
        <v>579</v>
      </c>
    </row>
    <row r="542" spans="1:32" ht="15.65" customHeight="1" x14ac:dyDescent="0.35">
      <c r="A542" s="5" t="s">
        <v>498</v>
      </c>
      <c r="B542" s="5" t="s">
        <v>546</v>
      </c>
      <c r="C542" s="5" t="s">
        <v>47</v>
      </c>
      <c r="D542" s="5">
        <v>3000405</v>
      </c>
      <c r="E542" s="11">
        <v>3001364</v>
      </c>
      <c r="F542" s="11" t="s">
        <v>547</v>
      </c>
      <c r="G542" s="5" t="s">
        <v>547</v>
      </c>
      <c r="H542" s="5" t="s">
        <v>54</v>
      </c>
      <c r="I542" s="5">
        <v>6959822</v>
      </c>
      <c r="J542" s="6">
        <v>46128</v>
      </c>
      <c r="K542" s="6">
        <v>46128</v>
      </c>
      <c r="L542" s="6">
        <v>46128</v>
      </c>
      <c r="M542" s="7">
        <v>4</v>
      </c>
      <c r="N542" s="7">
        <v>-376999</v>
      </c>
      <c r="O542" s="7">
        <v>-376999</v>
      </c>
      <c r="P542" s="7">
        <v>0</v>
      </c>
      <c r="Q542" s="7">
        <v>-376999</v>
      </c>
      <c r="R542" s="7">
        <v>0</v>
      </c>
      <c r="S542" s="7">
        <v>0</v>
      </c>
      <c r="T542" s="7">
        <v>0</v>
      </c>
      <c r="U542" s="7">
        <v>0</v>
      </c>
      <c r="V542" s="7">
        <v>0</v>
      </c>
      <c r="W542" s="7">
        <v>0</v>
      </c>
      <c r="X542" s="7">
        <v>0</v>
      </c>
      <c r="Y542" s="5" t="s">
        <v>548</v>
      </c>
      <c r="Z542" s="6"/>
      <c r="AA542" s="5" t="s">
        <v>55</v>
      </c>
      <c r="AB542" s="5" t="s">
        <v>51</v>
      </c>
      <c r="AC542" s="5" t="s">
        <v>51</v>
      </c>
      <c r="AD542" s="5" t="s">
        <v>51</v>
      </c>
      <c r="AE542" s="5" t="s">
        <v>51</v>
      </c>
      <c r="AF542" s="5" t="s">
        <v>580</v>
      </c>
    </row>
    <row r="543" spans="1:32" ht="15.65" customHeight="1" x14ac:dyDescent="0.35">
      <c r="A543" s="5" t="s">
        <v>498</v>
      </c>
      <c r="B543" s="5" t="s">
        <v>546</v>
      </c>
      <c r="C543" s="5" t="s">
        <v>47</v>
      </c>
      <c r="D543" s="5">
        <v>3000405</v>
      </c>
      <c r="E543" s="5">
        <v>3001364</v>
      </c>
      <c r="F543" s="5" t="s">
        <v>547</v>
      </c>
      <c r="G543" s="5" t="s">
        <v>547</v>
      </c>
      <c r="H543" s="5" t="s">
        <v>54</v>
      </c>
      <c r="I543" s="5">
        <v>6959824</v>
      </c>
      <c r="J543" s="6">
        <v>46128</v>
      </c>
      <c r="K543" s="6">
        <v>46128</v>
      </c>
      <c r="L543" s="6">
        <v>46128</v>
      </c>
      <c r="M543" s="7">
        <v>4</v>
      </c>
      <c r="N543" s="7">
        <v>-283560</v>
      </c>
      <c r="O543" s="7">
        <v>-283560</v>
      </c>
      <c r="P543" s="7">
        <v>0</v>
      </c>
      <c r="Q543" s="7">
        <v>-283560</v>
      </c>
      <c r="R543" s="7">
        <v>0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5" t="s">
        <v>548</v>
      </c>
      <c r="Z543" s="6"/>
      <c r="AA543" s="5" t="s">
        <v>55</v>
      </c>
      <c r="AB543" s="5" t="s">
        <v>51</v>
      </c>
      <c r="AC543" s="5" t="s">
        <v>51</v>
      </c>
      <c r="AD543" s="5" t="s">
        <v>51</v>
      </c>
      <c r="AE543" s="5" t="s">
        <v>51</v>
      </c>
      <c r="AF543" s="5" t="s">
        <v>581</v>
      </c>
    </row>
    <row r="544" spans="1:32" ht="15.65" customHeight="1" x14ac:dyDescent="0.35">
      <c r="A544" s="5" t="s">
        <v>498</v>
      </c>
      <c r="B544" s="5" t="s">
        <v>546</v>
      </c>
      <c r="C544" s="5" t="s">
        <v>47</v>
      </c>
      <c r="D544" s="5">
        <v>3000405</v>
      </c>
      <c r="E544" s="11">
        <v>3001364</v>
      </c>
      <c r="F544" s="11" t="s">
        <v>547</v>
      </c>
      <c r="G544" s="5" t="s">
        <v>547</v>
      </c>
      <c r="H544" s="5" t="s">
        <v>54</v>
      </c>
      <c r="I544" s="5">
        <v>6959848</v>
      </c>
      <c r="J544" s="6">
        <v>46129</v>
      </c>
      <c r="K544" s="6">
        <v>46129</v>
      </c>
      <c r="L544" s="6">
        <v>46129</v>
      </c>
      <c r="M544" s="7">
        <v>3</v>
      </c>
      <c r="N544" s="7">
        <v>-274864</v>
      </c>
      <c r="O544" s="7">
        <v>-274864</v>
      </c>
      <c r="P544" s="7">
        <v>0</v>
      </c>
      <c r="Q544" s="7">
        <v>-274864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5" t="s">
        <v>548</v>
      </c>
      <c r="Z544" s="6"/>
      <c r="AA544" s="5" t="s">
        <v>55</v>
      </c>
      <c r="AB544" s="5" t="s">
        <v>51</v>
      </c>
      <c r="AC544" s="5" t="s">
        <v>51</v>
      </c>
      <c r="AD544" s="5" t="s">
        <v>51</v>
      </c>
      <c r="AE544" s="5" t="s">
        <v>51</v>
      </c>
      <c r="AF544" s="5" t="s">
        <v>582</v>
      </c>
    </row>
    <row r="545" spans="1:32" ht="15.65" customHeight="1" x14ac:dyDescent="0.35">
      <c r="A545" s="5" t="s">
        <v>498</v>
      </c>
      <c r="B545" s="5" t="s">
        <v>546</v>
      </c>
      <c r="C545" s="5" t="s">
        <v>47</v>
      </c>
      <c r="D545" s="5">
        <v>3000405</v>
      </c>
      <c r="E545" s="11">
        <v>3001364</v>
      </c>
      <c r="F545" s="11" t="s">
        <v>547</v>
      </c>
      <c r="G545" s="5" t="s">
        <v>547</v>
      </c>
      <c r="H545" s="5" t="s">
        <v>54</v>
      </c>
      <c r="I545" s="5">
        <v>6959849</v>
      </c>
      <c r="J545" s="6">
        <v>46129</v>
      </c>
      <c r="K545" s="6">
        <v>46129</v>
      </c>
      <c r="L545" s="6">
        <v>46129</v>
      </c>
      <c r="M545" s="7">
        <v>3</v>
      </c>
      <c r="N545" s="7">
        <v>-192692</v>
      </c>
      <c r="O545" s="7">
        <v>-192692</v>
      </c>
      <c r="P545" s="7">
        <v>0</v>
      </c>
      <c r="Q545" s="7">
        <v>-192692</v>
      </c>
      <c r="R545" s="7">
        <v>0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  <c r="X545" s="7">
        <v>0</v>
      </c>
      <c r="Y545" s="5" t="s">
        <v>548</v>
      </c>
      <c r="Z545" s="6"/>
      <c r="AA545" s="5" t="s">
        <v>55</v>
      </c>
      <c r="AB545" s="5" t="s">
        <v>51</v>
      </c>
      <c r="AC545" s="5" t="s">
        <v>51</v>
      </c>
      <c r="AD545" s="5" t="s">
        <v>51</v>
      </c>
      <c r="AE545" s="5" t="s">
        <v>51</v>
      </c>
      <c r="AF545" s="5" t="s">
        <v>583</v>
      </c>
    </row>
    <row r="546" spans="1:32" ht="15.65" customHeight="1" x14ac:dyDescent="0.35">
      <c r="A546" s="5" t="s">
        <v>498</v>
      </c>
      <c r="B546" s="5" t="s">
        <v>546</v>
      </c>
      <c r="C546" s="5" t="s">
        <v>47</v>
      </c>
      <c r="D546" s="5">
        <v>3000405</v>
      </c>
      <c r="E546" s="11">
        <v>3001364</v>
      </c>
      <c r="F546" s="11" t="s">
        <v>547</v>
      </c>
      <c r="G546" s="5" t="s">
        <v>547</v>
      </c>
      <c r="H546" s="5" t="s">
        <v>54</v>
      </c>
      <c r="I546" s="5">
        <v>6959854</v>
      </c>
      <c r="J546" s="6">
        <v>46129</v>
      </c>
      <c r="K546" s="6">
        <v>46129</v>
      </c>
      <c r="L546" s="6">
        <v>46129</v>
      </c>
      <c r="M546" s="7">
        <v>3</v>
      </c>
      <c r="N546" s="7">
        <v>-448626</v>
      </c>
      <c r="O546" s="7">
        <v>-448626</v>
      </c>
      <c r="P546" s="7">
        <v>0</v>
      </c>
      <c r="Q546" s="7">
        <v>-448626</v>
      </c>
      <c r="R546" s="7">
        <v>0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5" t="s">
        <v>548</v>
      </c>
      <c r="Z546" s="6"/>
      <c r="AA546" s="5" t="s">
        <v>55</v>
      </c>
      <c r="AB546" s="5" t="s">
        <v>51</v>
      </c>
      <c r="AC546" s="5" t="s">
        <v>51</v>
      </c>
      <c r="AD546" s="5" t="s">
        <v>51</v>
      </c>
      <c r="AE546" s="5" t="s">
        <v>51</v>
      </c>
      <c r="AF546" s="5" t="s">
        <v>568</v>
      </c>
    </row>
    <row r="547" spans="1:32" ht="15.65" customHeight="1" x14ac:dyDescent="0.35">
      <c r="A547" s="5" t="s">
        <v>498</v>
      </c>
      <c r="B547" s="5" t="s">
        <v>546</v>
      </c>
      <c r="C547" s="5" t="s">
        <v>47</v>
      </c>
      <c r="D547" s="5">
        <v>3000405</v>
      </c>
      <c r="E547" s="11">
        <v>3001364</v>
      </c>
      <c r="F547" s="11" t="s">
        <v>547</v>
      </c>
      <c r="G547" s="5" t="s">
        <v>547</v>
      </c>
      <c r="H547" s="5" t="s">
        <v>54</v>
      </c>
      <c r="I547" s="5">
        <v>6959856</v>
      </c>
      <c r="J547" s="6">
        <v>46129</v>
      </c>
      <c r="K547" s="6">
        <v>46129</v>
      </c>
      <c r="L547" s="6">
        <v>46129</v>
      </c>
      <c r="M547" s="7">
        <v>3</v>
      </c>
      <c r="N547" s="7">
        <v>-1375635</v>
      </c>
      <c r="O547" s="7">
        <v>-1375635</v>
      </c>
      <c r="P547" s="7">
        <v>0</v>
      </c>
      <c r="Q547" s="7">
        <v>-1375635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5" t="s">
        <v>548</v>
      </c>
      <c r="Z547" s="6"/>
      <c r="AA547" s="5" t="s">
        <v>55</v>
      </c>
      <c r="AB547" s="5" t="s">
        <v>51</v>
      </c>
      <c r="AC547" s="5" t="s">
        <v>51</v>
      </c>
      <c r="AD547" s="5" t="s">
        <v>51</v>
      </c>
      <c r="AE547" s="5" t="s">
        <v>51</v>
      </c>
      <c r="AF547" s="5" t="s">
        <v>569</v>
      </c>
    </row>
    <row r="548" spans="1:32" ht="15.65" customHeight="1" x14ac:dyDescent="0.35">
      <c r="A548" s="5" t="s">
        <v>498</v>
      </c>
      <c r="B548" s="5" t="s">
        <v>546</v>
      </c>
      <c r="C548" s="5" t="s">
        <v>47</v>
      </c>
      <c r="D548" s="5">
        <v>3000405</v>
      </c>
      <c r="E548" s="11">
        <v>3001364</v>
      </c>
      <c r="F548" s="11" t="s">
        <v>547</v>
      </c>
      <c r="G548" s="5" t="s">
        <v>547</v>
      </c>
      <c r="H548" s="5" t="s">
        <v>54</v>
      </c>
      <c r="I548" s="5">
        <v>6959857</v>
      </c>
      <c r="J548" s="6">
        <v>46129</v>
      </c>
      <c r="K548" s="6">
        <v>46129</v>
      </c>
      <c r="L548" s="6">
        <v>46129</v>
      </c>
      <c r="M548" s="7">
        <v>3</v>
      </c>
      <c r="N548" s="7">
        <v>-2998759</v>
      </c>
      <c r="O548" s="7">
        <v>-2998759</v>
      </c>
      <c r="P548" s="7">
        <v>0</v>
      </c>
      <c r="Q548" s="7">
        <v>-2998759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5" t="s">
        <v>548</v>
      </c>
      <c r="Z548" s="6"/>
      <c r="AA548" s="5" t="s">
        <v>55</v>
      </c>
      <c r="AB548" s="5" t="s">
        <v>51</v>
      </c>
      <c r="AC548" s="5" t="s">
        <v>51</v>
      </c>
      <c r="AD548" s="5" t="s">
        <v>51</v>
      </c>
      <c r="AE548" s="5" t="s">
        <v>51</v>
      </c>
      <c r="AF548" s="5" t="s">
        <v>574</v>
      </c>
    </row>
    <row r="549" spans="1:32" ht="15.65" customHeight="1" x14ac:dyDescent="0.35">
      <c r="A549" s="5" t="s">
        <v>498</v>
      </c>
      <c r="B549" s="5" t="s">
        <v>546</v>
      </c>
      <c r="C549" s="5" t="s">
        <v>47</v>
      </c>
      <c r="D549" s="5">
        <v>3000405</v>
      </c>
      <c r="E549" s="11">
        <v>3001364</v>
      </c>
      <c r="F549" s="11" t="s">
        <v>547</v>
      </c>
      <c r="G549" s="5" t="s">
        <v>547</v>
      </c>
      <c r="H549" s="5" t="s">
        <v>54</v>
      </c>
      <c r="I549" s="5">
        <v>6959858</v>
      </c>
      <c r="J549" s="6">
        <v>46129</v>
      </c>
      <c r="K549" s="6">
        <v>46129</v>
      </c>
      <c r="L549" s="6">
        <v>46129</v>
      </c>
      <c r="M549" s="7">
        <v>3</v>
      </c>
      <c r="N549" s="7">
        <v>-3240428</v>
      </c>
      <c r="O549" s="7">
        <v>-3240428</v>
      </c>
      <c r="P549" s="7">
        <v>0</v>
      </c>
      <c r="Q549" s="7">
        <v>-3240428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5" t="s">
        <v>548</v>
      </c>
      <c r="Z549" s="6"/>
      <c r="AA549" s="5" t="s">
        <v>55</v>
      </c>
      <c r="AB549" s="5" t="s">
        <v>51</v>
      </c>
      <c r="AC549" s="5" t="s">
        <v>51</v>
      </c>
      <c r="AD549" s="5" t="s">
        <v>51</v>
      </c>
      <c r="AE549" s="5" t="s">
        <v>51</v>
      </c>
      <c r="AF549" s="5" t="s">
        <v>574</v>
      </c>
    </row>
    <row r="550" spans="1:32" ht="15.65" customHeight="1" x14ac:dyDescent="0.35">
      <c r="A550" s="5" t="s">
        <v>498</v>
      </c>
      <c r="B550" s="5" t="s">
        <v>546</v>
      </c>
      <c r="C550" s="5" t="s">
        <v>47</v>
      </c>
      <c r="D550" s="5">
        <v>3000405</v>
      </c>
      <c r="E550" s="11">
        <v>3001364</v>
      </c>
      <c r="F550" s="11" t="s">
        <v>547</v>
      </c>
      <c r="G550" s="5" t="s">
        <v>547</v>
      </c>
      <c r="H550" s="5" t="s">
        <v>54</v>
      </c>
      <c r="I550" s="5">
        <v>6959859</v>
      </c>
      <c r="J550" s="6">
        <v>46129</v>
      </c>
      <c r="K550" s="6">
        <v>46129</v>
      </c>
      <c r="L550" s="6">
        <v>46129</v>
      </c>
      <c r="M550" s="7">
        <v>3</v>
      </c>
      <c r="N550" s="7">
        <v>-1829438</v>
      </c>
      <c r="O550" s="7">
        <v>-1829438</v>
      </c>
      <c r="P550" s="7">
        <v>0</v>
      </c>
      <c r="Q550" s="7">
        <v>-1829438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5" t="s">
        <v>548</v>
      </c>
      <c r="Z550" s="6"/>
      <c r="AA550" s="5" t="s">
        <v>55</v>
      </c>
      <c r="AB550" s="5" t="s">
        <v>51</v>
      </c>
      <c r="AC550" s="5" t="s">
        <v>51</v>
      </c>
      <c r="AD550" s="5" t="s">
        <v>51</v>
      </c>
      <c r="AE550" s="5" t="s">
        <v>51</v>
      </c>
      <c r="AF550" s="5" t="s">
        <v>576</v>
      </c>
    </row>
    <row r="551" spans="1:32" ht="15.65" customHeight="1" x14ac:dyDescent="0.35">
      <c r="A551" s="5" t="s">
        <v>498</v>
      </c>
      <c r="B551" s="5" t="s">
        <v>546</v>
      </c>
      <c r="C551" s="5" t="s">
        <v>47</v>
      </c>
      <c r="D551" s="5">
        <v>3000405</v>
      </c>
      <c r="E551" s="11">
        <v>3001364</v>
      </c>
      <c r="F551" s="11" t="s">
        <v>547</v>
      </c>
      <c r="G551" s="5" t="s">
        <v>547</v>
      </c>
      <c r="H551" s="5" t="s">
        <v>54</v>
      </c>
      <c r="I551" s="5">
        <v>6959860</v>
      </c>
      <c r="J551" s="6">
        <v>46129</v>
      </c>
      <c r="K551" s="6">
        <v>46129</v>
      </c>
      <c r="L551" s="6">
        <v>46129</v>
      </c>
      <c r="M551" s="7">
        <v>3</v>
      </c>
      <c r="N551" s="7">
        <v>-243848</v>
      </c>
      <c r="O551" s="7">
        <v>-243848</v>
      </c>
      <c r="P551" s="7">
        <v>0</v>
      </c>
      <c r="Q551" s="7">
        <v>-243848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5" t="s">
        <v>548</v>
      </c>
      <c r="Z551" s="6"/>
      <c r="AA551" s="5" t="s">
        <v>55</v>
      </c>
      <c r="AB551" s="5" t="s">
        <v>51</v>
      </c>
      <c r="AC551" s="5" t="s">
        <v>51</v>
      </c>
      <c r="AD551" s="5" t="s">
        <v>51</v>
      </c>
      <c r="AE551" s="5" t="s">
        <v>51</v>
      </c>
      <c r="AF551" s="5" t="s">
        <v>576</v>
      </c>
    </row>
    <row r="552" spans="1:32" ht="15.65" customHeight="1" x14ac:dyDescent="0.35">
      <c r="A552" s="5" t="s">
        <v>498</v>
      </c>
      <c r="B552" s="5" t="s">
        <v>546</v>
      </c>
      <c r="C552" s="5" t="s">
        <v>47</v>
      </c>
      <c r="D552" s="5">
        <v>3000405</v>
      </c>
      <c r="E552" s="11">
        <v>3001364</v>
      </c>
      <c r="F552" s="11" t="s">
        <v>547</v>
      </c>
      <c r="G552" s="5" t="s">
        <v>547</v>
      </c>
      <c r="H552" s="5" t="s">
        <v>54</v>
      </c>
      <c r="I552" s="5">
        <v>6959861</v>
      </c>
      <c r="J552" s="6">
        <v>46129</v>
      </c>
      <c r="K552" s="6">
        <v>46129</v>
      </c>
      <c r="L552" s="6">
        <v>46129</v>
      </c>
      <c r="M552" s="7">
        <v>3</v>
      </c>
      <c r="N552" s="7">
        <v>-1893185</v>
      </c>
      <c r="O552" s="7">
        <v>-1893185</v>
      </c>
      <c r="P552" s="7">
        <v>0</v>
      </c>
      <c r="Q552" s="7">
        <v>-1893185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  <c r="Y552" s="5" t="s">
        <v>548</v>
      </c>
      <c r="Z552" s="6"/>
      <c r="AA552" s="5" t="s">
        <v>55</v>
      </c>
      <c r="AB552" s="5" t="s">
        <v>51</v>
      </c>
      <c r="AC552" s="5" t="s">
        <v>51</v>
      </c>
      <c r="AD552" s="5" t="s">
        <v>51</v>
      </c>
      <c r="AE552" s="5" t="s">
        <v>51</v>
      </c>
      <c r="AF552" s="5" t="s">
        <v>576</v>
      </c>
    </row>
    <row r="553" spans="1:32" ht="15.65" customHeight="1" x14ac:dyDescent="0.35">
      <c r="A553" s="5" t="s">
        <v>498</v>
      </c>
      <c r="B553" s="5" t="s">
        <v>546</v>
      </c>
      <c r="C553" s="5" t="s">
        <v>47</v>
      </c>
      <c r="D553" s="5">
        <v>3000405</v>
      </c>
      <c r="E553" s="11">
        <v>3001364</v>
      </c>
      <c r="F553" s="11" t="s">
        <v>547</v>
      </c>
      <c r="G553" s="5" t="s">
        <v>547</v>
      </c>
      <c r="H553" s="5" t="s">
        <v>54</v>
      </c>
      <c r="I553" s="5">
        <v>6959864</v>
      </c>
      <c r="J553" s="6">
        <v>46129</v>
      </c>
      <c r="K553" s="6">
        <v>46129</v>
      </c>
      <c r="L553" s="6">
        <v>46129</v>
      </c>
      <c r="M553" s="7">
        <v>3</v>
      </c>
      <c r="N553" s="7">
        <v>-265785</v>
      </c>
      <c r="O553" s="7">
        <v>-265785</v>
      </c>
      <c r="P553" s="7">
        <v>0</v>
      </c>
      <c r="Q553" s="7">
        <v>-265785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5" t="s">
        <v>548</v>
      </c>
      <c r="Z553" s="6"/>
      <c r="AA553" s="5" t="s">
        <v>55</v>
      </c>
      <c r="AB553" s="5" t="s">
        <v>51</v>
      </c>
      <c r="AC553" s="5" t="s">
        <v>51</v>
      </c>
      <c r="AD553" s="5" t="s">
        <v>51</v>
      </c>
      <c r="AE553" s="5" t="s">
        <v>51</v>
      </c>
      <c r="AF553" s="5" t="s">
        <v>576</v>
      </c>
    </row>
    <row r="554" spans="1:32" ht="15.65" customHeight="1" x14ac:dyDescent="0.35">
      <c r="A554" s="5" t="s">
        <v>498</v>
      </c>
      <c r="B554" s="5" t="s">
        <v>546</v>
      </c>
      <c r="C554" s="5" t="s">
        <v>47</v>
      </c>
      <c r="D554" s="5">
        <v>3000405</v>
      </c>
      <c r="E554" s="11">
        <v>3001364</v>
      </c>
      <c r="F554" s="11" t="s">
        <v>547</v>
      </c>
      <c r="G554" s="5" t="s">
        <v>547</v>
      </c>
      <c r="H554" s="5" t="s">
        <v>54</v>
      </c>
      <c r="I554" s="5">
        <v>6959888</v>
      </c>
      <c r="J554" s="6">
        <v>46129</v>
      </c>
      <c r="K554" s="6">
        <v>46129</v>
      </c>
      <c r="L554" s="6">
        <v>46129</v>
      </c>
      <c r="M554" s="7">
        <v>3</v>
      </c>
      <c r="N554" s="7">
        <v>-1174920</v>
      </c>
      <c r="O554" s="7">
        <v>-1174920</v>
      </c>
      <c r="P554" s="7">
        <v>0</v>
      </c>
      <c r="Q554" s="7">
        <v>-1174920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5" t="s">
        <v>548</v>
      </c>
      <c r="Z554" s="6"/>
      <c r="AA554" s="5" t="s">
        <v>55</v>
      </c>
      <c r="AB554" s="5" t="s">
        <v>51</v>
      </c>
      <c r="AC554" s="5" t="s">
        <v>51</v>
      </c>
      <c r="AD554" s="5" t="s">
        <v>51</v>
      </c>
      <c r="AE554" s="5" t="s">
        <v>51</v>
      </c>
      <c r="AF554" s="5" t="s">
        <v>584</v>
      </c>
    </row>
    <row r="555" spans="1:32" ht="15.65" customHeight="1" x14ac:dyDescent="0.35">
      <c r="A555" s="5" t="s">
        <v>498</v>
      </c>
      <c r="B555" s="5" t="s">
        <v>546</v>
      </c>
      <c r="C555" s="5" t="s">
        <v>47</v>
      </c>
      <c r="D555" s="5">
        <v>3000405</v>
      </c>
      <c r="E555" s="11">
        <v>3001364</v>
      </c>
      <c r="F555" s="11" t="s">
        <v>547</v>
      </c>
      <c r="G555" s="5" t="s">
        <v>547</v>
      </c>
      <c r="H555" s="5" t="s">
        <v>54</v>
      </c>
      <c r="I555" s="5">
        <v>6959959</v>
      </c>
      <c r="J555" s="6">
        <v>46129</v>
      </c>
      <c r="K555" s="6">
        <v>46129</v>
      </c>
      <c r="L555" s="6">
        <v>46129</v>
      </c>
      <c r="M555" s="7">
        <v>3</v>
      </c>
      <c r="N555" s="7">
        <v>-311268</v>
      </c>
      <c r="O555" s="7">
        <v>-311268</v>
      </c>
      <c r="P555" s="7">
        <v>0</v>
      </c>
      <c r="Q555" s="7">
        <v>-311268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5" t="s">
        <v>548</v>
      </c>
      <c r="Z555" s="6"/>
      <c r="AA555" s="5" t="s">
        <v>55</v>
      </c>
      <c r="AB555" s="5" t="s">
        <v>51</v>
      </c>
      <c r="AC555" s="5" t="s">
        <v>51</v>
      </c>
      <c r="AD555" s="5" t="s">
        <v>51</v>
      </c>
      <c r="AE555" s="5" t="s">
        <v>51</v>
      </c>
      <c r="AF555" s="5" t="s">
        <v>585</v>
      </c>
    </row>
    <row r="556" spans="1:32" ht="15.65" customHeight="1" x14ac:dyDescent="0.35">
      <c r="A556" s="5" t="s">
        <v>498</v>
      </c>
      <c r="B556" s="5" t="s">
        <v>546</v>
      </c>
      <c r="C556" s="5" t="s">
        <v>47</v>
      </c>
      <c r="D556" s="5">
        <v>3000405</v>
      </c>
      <c r="E556" s="11">
        <v>3001364</v>
      </c>
      <c r="F556" s="11" t="s">
        <v>547</v>
      </c>
      <c r="G556" s="5" t="s">
        <v>547</v>
      </c>
      <c r="H556" s="5" t="s">
        <v>54</v>
      </c>
      <c r="I556" s="5">
        <v>6959960</v>
      </c>
      <c r="J556" s="6">
        <v>46129</v>
      </c>
      <c r="K556" s="6">
        <v>46129</v>
      </c>
      <c r="L556" s="6">
        <v>46129</v>
      </c>
      <c r="M556" s="7">
        <v>3</v>
      </c>
      <c r="N556" s="7">
        <v>-294000</v>
      </c>
      <c r="O556" s="7">
        <v>-294000</v>
      </c>
      <c r="P556" s="7">
        <v>0</v>
      </c>
      <c r="Q556" s="7">
        <v>-294000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5" t="s">
        <v>548</v>
      </c>
      <c r="Z556" s="6"/>
      <c r="AA556" s="5" t="s">
        <v>55</v>
      </c>
      <c r="AB556" s="5" t="s">
        <v>51</v>
      </c>
      <c r="AC556" s="5" t="s">
        <v>51</v>
      </c>
      <c r="AD556" s="5" t="s">
        <v>51</v>
      </c>
      <c r="AE556" s="5" t="s">
        <v>51</v>
      </c>
      <c r="AF556" s="5" t="s">
        <v>586</v>
      </c>
    </row>
    <row r="557" spans="1:32" ht="15.65" customHeight="1" x14ac:dyDescent="0.35">
      <c r="A557" s="5" t="s">
        <v>498</v>
      </c>
      <c r="B557" s="5" t="s">
        <v>546</v>
      </c>
      <c r="C557" s="5" t="s">
        <v>47</v>
      </c>
      <c r="D557" s="5">
        <v>3000405</v>
      </c>
      <c r="E557" s="11">
        <v>3001364</v>
      </c>
      <c r="F557" s="11" t="s">
        <v>547</v>
      </c>
      <c r="G557" s="5" t="s">
        <v>547</v>
      </c>
      <c r="H557" s="5" t="s">
        <v>54</v>
      </c>
      <c r="I557" s="5">
        <v>6959961</v>
      </c>
      <c r="J557" s="6">
        <v>46129</v>
      </c>
      <c r="K557" s="6">
        <v>46129</v>
      </c>
      <c r="L557" s="6">
        <v>46129</v>
      </c>
      <c r="M557" s="7">
        <v>3</v>
      </c>
      <c r="N557" s="7">
        <v>-196000</v>
      </c>
      <c r="O557" s="7">
        <v>-196000</v>
      </c>
      <c r="P557" s="7">
        <v>0</v>
      </c>
      <c r="Q557" s="7">
        <v>-196000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5" t="s">
        <v>548</v>
      </c>
      <c r="Z557" s="6"/>
      <c r="AA557" s="5" t="s">
        <v>55</v>
      </c>
      <c r="AB557" s="5" t="s">
        <v>51</v>
      </c>
      <c r="AC557" s="5" t="s">
        <v>51</v>
      </c>
      <c r="AD557" s="5" t="s">
        <v>51</v>
      </c>
      <c r="AE557" s="5" t="s">
        <v>51</v>
      </c>
      <c r="AF557" s="5" t="s">
        <v>587</v>
      </c>
    </row>
    <row r="558" spans="1:32" ht="15.65" customHeight="1" x14ac:dyDescent="0.35">
      <c r="A558" s="5" t="s">
        <v>498</v>
      </c>
      <c r="B558" s="5" t="s">
        <v>546</v>
      </c>
      <c r="C558" s="5" t="s">
        <v>47</v>
      </c>
      <c r="D558" s="5">
        <v>3000405</v>
      </c>
      <c r="E558" s="11">
        <v>3000405</v>
      </c>
      <c r="F558" s="11" t="s">
        <v>547</v>
      </c>
      <c r="G558" s="5" t="s">
        <v>547</v>
      </c>
      <c r="H558" s="5" t="s">
        <v>54</v>
      </c>
      <c r="I558" s="5">
        <v>9907270</v>
      </c>
      <c r="J558" s="6">
        <v>46074</v>
      </c>
      <c r="K558" s="6">
        <v>46074</v>
      </c>
      <c r="L558" s="6">
        <v>46140</v>
      </c>
      <c r="M558" s="7">
        <v>-8</v>
      </c>
      <c r="N558" s="7">
        <v>333692693</v>
      </c>
      <c r="O558" s="7">
        <v>0</v>
      </c>
      <c r="P558" s="7">
        <v>333692693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5" t="s">
        <v>47</v>
      </c>
      <c r="Z558" s="6"/>
      <c r="AA558" s="5" t="s">
        <v>55</v>
      </c>
      <c r="AB558" s="5" t="s">
        <v>51</v>
      </c>
      <c r="AC558" s="5" t="s">
        <v>51</v>
      </c>
      <c r="AD558" s="5" t="s">
        <v>588</v>
      </c>
      <c r="AE558" s="5" t="s">
        <v>51</v>
      </c>
      <c r="AF558" s="5" t="s">
        <v>195</v>
      </c>
    </row>
    <row r="559" spans="1:32" ht="15.65" customHeight="1" x14ac:dyDescent="0.35">
      <c r="A559" s="5" t="s">
        <v>498</v>
      </c>
      <c r="B559" s="5" t="s">
        <v>546</v>
      </c>
      <c r="C559" s="5" t="s">
        <v>47</v>
      </c>
      <c r="D559" s="5">
        <v>3000405</v>
      </c>
      <c r="E559" s="11">
        <v>3000405</v>
      </c>
      <c r="F559" s="11" t="s">
        <v>547</v>
      </c>
      <c r="G559" s="5" t="s">
        <v>547</v>
      </c>
      <c r="H559" s="5" t="s">
        <v>54</v>
      </c>
      <c r="I559" s="5">
        <v>9907335</v>
      </c>
      <c r="J559" s="6">
        <v>46075</v>
      </c>
      <c r="K559" s="6">
        <v>46075</v>
      </c>
      <c r="L559" s="6">
        <v>46141</v>
      </c>
      <c r="M559" s="7">
        <v>-9</v>
      </c>
      <c r="N559" s="7">
        <v>312381353</v>
      </c>
      <c r="O559" s="7">
        <v>0</v>
      </c>
      <c r="P559" s="7">
        <v>312381353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5" t="s">
        <v>47</v>
      </c>
      <c r="Z559" s="6"/>
      <c r="AA559" s="5" t="s">
        <v>55</v>
      </c>
      <c r="AB559" s="5" t="s">
        <v>51</v>
      </c>
      <c r="AC559" s="5" t="s">
        <v>51</v>
      </c>
      <c r="AD559" s="5" t="s">
        <v>589</v>
      </c>
      <c r="AE559" s="5" t="s">
        <v>51</v>
      </c>
      <c r="AF559" s="5" t="s">
        <v>195</v>
      </c>
    </row>
    <row r="560" spans="1:32" ht="15.65" customHeight="1" x14ac:dyDescent="0.35">
      <c r="A560" s="5" t="s">
        <v>498</v>
      </c>
      <c r="B560" s="5" t="s">
        <v>546</v>
      </c>
      <c r="C560" s="5" t="s">
        <v>47</v>
      </c>
      <c r="D560" s="5">
        <v>3000405</v>
      </c>
      <c r="E560" s="11">
        <v>3000405</v>
      </c>
      <c r="F560" s="11" t="s">
        <v>547</v>
      </c>
      <c r="G560" s="5" t="s">
        <v>547</v>
      </c>
      <c r="H560" s="5" t="s">
        <v>54</v>
      </c>
      <c r="I560" s="5">
        <v>9907336</v>
      </c>
      <c r="J560" s="6">
        <v>46075</v>
      </c>
      <c r="K560" s="6">
        <v>46075</v>
      </c>
      <c r="L560" s="6">
        <v>46141</v>
      </c>
      <c r="M560" s="7">
        <v>-9</v>
      </c>
      <c r="N560" s="7">
        <v>353905514</v>
      </c>
      <c r="O560" s="7">
        <v>0</v>
      </c>
      <c r="P560" s="7">
        <v>353905514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5" t="s">
        <v>47</v>
      </c>
      <c r="Z560" s="6"/>
      <c r="AA560" s="5" t="s">
        <v>55</v>
      </c>
      <c r="AB560" s="5" t="s">
        <v>51</v>
      </c>
      <c r="AC560" s="5" t="s">
        <v>51</v>
      </c>
      <c r="AD560" s="5" t="s">
        <v>590</v>
      </c>
      <c r="AE560" s="5" t="s">
        <v>51</v>
      </c>
      <c r="AF560" s="5" t="s">
        <v>579</v>
      </c>
    </row>
    <row r="561" spans="1:32" ht="15.65" customHeight="1" x14ac:dyDescent="0.35">
      <c r="A561" s="5" t="s">
        <v>498</v>
      </c>
      <c r="B561" s="5" t="s">
        <v>546</v>
      </c>
      <c r="C561" s="5" t="s">
        <v>47</v>
      </c>
      <c r="D561" s="5">
        <v>3000405</v>
      </c>
      <c r="E561" s="11">
        <v>3000405</v>
      </c>
      <c r="F561" s="11" t="s">
        <v>547</v>
      </c>
      <c r="G561" s="5" t="s">
        <v>547</v>
      </c>
      <c r="H561" s="5" t="s">
        <v>54</v>
      </c>
      <c r="I561" s="5">
        <v>9908982</v>
      </c>
      <c r="J561" s="6">
        <v>46079</v>
      </c>
      <c r="K561" s="6">
        <v>46079</v>
      </c>
      <c r="L561" s="6">
        <v>46145</v>
      </c>
      <c r="M561" s="7">
        <v>-13</v>
      </c>
      <c r="N561" s="7">
        <v>278574773</v>
      </c>
      <c r="O561" s="7">
        <v>0</v>
      </c>
      <c r="P561" s="7">
        <v>278574773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5" t="s">
        <v>47</v>
      </c>
      <c r="Z561" s="6"/>
      <c r="AA561" s="5" t="s">
        <v>55</v>
      </c>
      <c r="AB561" s="5" t="s">
        <v>51</v>
      </c>
      <c r="AC561" s="5" t="s">
        <v>51</v>
      </c>
      <c r="AD561" s="5" t="s">
        <v>591</v>
      </c>
      <c r="AE561" s="5" t="s">
        <v>51</v>
      </c>
      <c r="AF561" s="5" t="s">
        <v>457</v>
      </c>
    </row>
    <row r="562" spans="1:32" ht="15.65" customHeight="1" x14ac:dyDescent="0.35">
      <c r="A562" s="5" t="s">
        <v>498</v>
      </c>
      <c r="B562" s="5" t="s">
        <v>546</v>
      </c>
      <c r="C562" s="5" t="s">
        <v>47</v>
      </c>
      <c r="D562" s="5">
        <v>3000405</v>
      </c>
      <c r="E562" s="11">
        <v>3000405</v>
      </c>
      <c r="F562" s="11" t="s">
        <v>547</v>
      </c>
      <c r="G562" s="5" t="s">
        <v>547</v>
      </c>
      <c r="H562" s="5" t="s">
        <v>54</v>
      </c>
      <c r="I562" s="5">
        <v>9910631</v>
      </c>
      <c r="J562" s="6">
        <v>46081</v>
      </c>
      <c r="K562" s="6">
        <v>46081</v>
      </c>
      <c r="L562" s="6">
        <v>46147</v>
      </c>
      <c r="M562" s="7">
        <v>-15</v>
      </c>
      <c r="N562" s="7">
        <v>330782047</v>
      </c>
      <c r="O562" s="7">
        <v>0</v>
      </c>
      <c r="P562" s="7">
        <v>330782047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5" t="s">
        <v>47</v>
      </c>
      <c r="Z562" s="6"/>
      <c r="AA562" s="5" t="s">
        <v>55</v>
      </c>
      <c r="AB562" s="5" t="s">
        <v>51</v>
      </c>
      <c r="AC562" s="5" t="s">
        <v>51</v>
      </c>
      <c r="AD562" s="5" t="s">
        <v>51</v>
      </c>
      <c r="AE562" s="5" t="s">
        <v>592</v>
      </c>
      <c r="AF562" s="5" t="s">
        <v>593</v>
      </c>
    </row>
    <row r="563" spans="1:32" ht="15.65" customHeight="1" x14ac:dyDescent="0.35">
      <c r="A563" s="5" t="s">
        <v>498</v>
      </c>
      <c r="B563" s="5" t="s">
        <v>546</v>
      </c>
      <c r="C563" s="5" t="s">
        <v>47</v>
      </c>
      <c r="D563" s="5">
        <v>3000405</v>
      </c>
      <c r="E563" s="5">
        <v>3000405</v>
      </c>
      <c r="F563" s="5" t="s">
        <v>547</v>
      </c>
      <c r="G563" s="5" t="s">
        <v>547</v>
      </c>
      <c r="H563" s="5" t="s">
        <v>54</v>
      </c>
      <c r="I563" s="5">
        <v>9910916</v>
      </c>
      <c r="J563" s="6">
        <v>46084</v>
      </c>
      <c r="K563" s="6">
        <v>46084</v>
      </c>
      <c r="L563" s="6">
        <v>46150</v>
      </c>
      <c r="M563" s="7">
        <v>-18</v>
      </c>
      <c r="N563" s="7">
        <v>314336422</v>
      </c>
      <c r="O563" s="7">
        <v>0</v>
      </c>
      <c r="P563" s="7">
        <v>314336422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5" t="s">
        <v>47</v>
      </c>
      <c r="Z563" s="6"/>
      <c r="AA563" s="5" t="s">
        <v>55</v>
      </c>
      <c r="AB563" s="5" t="s">
        <v>51</v>
      </c>
      <c r="AC563" s="5" t="s">
        <v>51</v>
      </c>
      <c r="AD563" s="5" t="s">
        <v>51</v>
      </c>
      <c r="AE563" s="5" t="s">
        <v>594</v>
      </c>
      <c r="AF563" s="5" t="s">
        <v>595</v>
      </c>
    </row>
    <row r="564" spans="1:32" ht="15.65" customHeight="1" x14ac:dyDescent="0.35">
      <c r="A564" s="5" t="s">
        <v>498</v>
      </c>
      <c r="B564" s="5" t="s">
        <v>546</v>
      </c>
      <c r="C564" s="5" t="s">
        <v>596</v>
      </c>
      <c r="D564" s="5">
        <v>3000405</v>
      </c>
      <c r="E564" s="11">
        <v>3100717</v>
      </c>
      <c r="F564" s="11" t="s">
        <v>547</v>
      </c>
      <c r="G564" s="5" t="s">
        <v>547</v>
      </c>
      <c r="H564" s="5" t="s">
        <v>54</v>
      </c>
      <c r="I564" s="5">
        <v>9915621</v>
      </c>
      <c r="J564" s="6">
        <v>46096</v>
      </c>
      <c r="K564" s="6">
        <v>46096</v>
      </c>
      <c r="L564" s="6">
        <v>46143</v>
      </c>
      <c r="M564" s="7">
        <v>-11</v>
      </c>
      <c r="N564" s="7">
        <v>222253124</v>
      </c>
      <c r="O564" s="7">
        <v>0</v>
      </c>
      <c r="P564" s="7">
        <v>222253124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0</v>
      </c>
      <c r="Y564" s="5" t="s">
        <v>596</v>
      </c>
      <c r="Z564" s="6"/>
      <c r="AA564" s="5" t="s">
        <v>55</v>
      </c>
      <c r="AB564" s="5" t="s">
        <v>51</v>
      </c>
      <c r="AC564" s="5" t="s">
        <v>51</v>
      </c>
      <c r="AD564" s="5" t="s">
        <v>597</v>
      </c>
      <c r="AE564" s="5" t="s">
        <v>51</v>
      </c>
      <c r="AF564" s="5" t="s">
        <v>243</v>
      </c>
    </row>
    <row r="565" spans="1:32" ht="15.65" customHeight="1" x14ac:dyDescent="0.35">
      <c r="A565" s="5" t="s">
        <v>498</v>
      </c>
      <c r="B565" s="5" t="s">
        <v>546</v>
      </c>
      <c r="C565" s="5" t="s">
        <v>47</v>
      </c>
      <c r="D565" s="5">
        <v>3000405</v>
      </c>
      <c r="E565" s="11">
        <v>3000405</v>
      </c>
      <c r="F565" s="11" t="s">
        <v>547</v>
      </c>
      <c r="G565" s="5" t="s">
        <v>547</v>
      </c>
      <c r="H565" s="5" t="s">
        <v>54</v>
      </c>
      <c r="I565" s="5">
        <v>9916432</v>
      </c>
      <c r="J565" s="6">
        <v>46098</v>
      </c>
      <c r="K565" s="6">
        <v>46098</v>
      </c>
      <c r="L565" s="6">
        <v>46164</v>
      </c>
      <c r="M565" s="7">
        <v>-32</v>
      </c>
      <c r="N565" s="7">
        <v>418065116</v>
      </c>
      <c r="O565" s="7">
        <v>0</v>
      </c>
      <c r="P565" s="7">
        <v>418065116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5" t="s">
        <v>47</v>
      </c>
      <c r="Z565" s="6"/>
      <c r="AA565" s="5" t="s">
        <v>55</v>
      </c>
      <c r="AB565" s="5" t="s">
        <v>51</v>
      </c>
      <c r="AC565" s="5" t="s">
        <v>51</v>
      </c>
      <c r="AD565" s="5" t="s">
        <v>51</v>
      </c>
      <c r="AE565" s="5" t="s">
        <v>598</v>
      </c>
      <c r="AF565" s="5" t="s">
        <v>67</v>
      </c>
    </row>
    <row r="566" spans="1:32" ht="15.65" customHeight="1" x14ac:dyDescent="0.35">
      <c r="A566" s="5" t="s">
        <v>498</v>
      </c>
      <c r="B566" s="5" t="s">
        <v>546</v>
      </c>
      <c r="C566" s="5" t="s">
        <v>47</v>
      </c>
      <c r="D566" s="5">
        <v>3000405</v>
      </c>
      <c r="E566" s="11">
        <v>3000405</v>
      </c>
      <c r="F566" s="11" t="s">
        <v>547</v>
      </c>
      <c r="G566" s="5" t="s">
        <v>547</v>
      </c>
      <c r="H566" s="5" t="s">
        <v>54</v>
      </c>
      <c r="I566" s="5">
        <v>9916439</v>
      </c>
      <c r="J566" s="6">
        <v>46098</v>
      </c>
      <c r="K566" s="6">
        <v>46098</v>
      </c>
      <c r="L566" s="6">
        <v>46164</v>
      </c>
      <c r="M566" s="7">
        <v>-32</v>
      </c>
      <c r="N566" s="7">
        <v>425683877</v>
      </c>
      <c r="O566" s="7">
        <v>0</v>
      </c>
      <c r="P566" s="7">
        <v>425683877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5" t="s">
        <v>47</v>
      </c>
      <c r="Z566" s="6"/>
      <c r="AA566" s="5" t="s">
        <v>55</v>
      </c>
      <c r="AB566" s="5" t="s">
        <v>51</v>
      </c>
      <c r="AC566" s="5" t="s">
        <v>51</v>
      </c>
      <c r="AD566" s="5" t="s">
        <v>51</v>
      </c>
      <c r="AE566" s="5" t="s">
        <v>599</v>
      </c>
      <c r="AF566" s="5" t="s">
        <v>172</v>
      </c>
    </row>
    <row r="567" spans="1:32" ht="15.65" customHeight="1" x14ac:dyDescent="0.35">
      <c r="A567" s="5" t="s">
        <v>498</v>
      </c>
      <c r="B567" s="5" t="s">
        <v>546</v>
      </c>
      <c r="C567" s="5" t="s">
        <v>47</v>
      </c>
      <c r="D567" s="5">
        <v>3000405</v>
      </c>
      <c r="E567" s="11">
        <v>3000405</v>
      </c>
      <c r="F567" s="11" t="s">
        <v>547</v>
      </c>
      <c r="G567" s="5" t="s">
        <v>547</v>
      </c>
      <c r="H567" s="5" t="s">
        <v>54</v>
      </c>
      <c r="I567" s="5">
        <v>9916455</v>
      </c>
      <c r="J567" s="6">
        <v>46098</v>
      </c>
      <c r="K567" s="6">
        <v>46098</v>
      </c>
      <c r="L567" s="6">
        <v>46164</v>
      </c>
      <c r="M567" s="7">
        <v>-32</v>
      </c>
      <c r="N567" s="7">
        <v>423506510</v>
      </c>
      <c r="O567" s="7">
        <v>0</v>
      </c>
      <c r="P567" s="7">
        <v>423506510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5" t="s">
        <v>47</v>
      </c>
      <c r="Z567" s="6"/>
      <c r="AA567" s="5" t="s">
        <v>55</v>
      </c>
      <c r="AB567" s="5" t="s">
        <v>51</v>
      </c>
      <c r="AC567" s="5" t="s">
        <v>51</v>
      </c>
      <c r="AD567" s="5" t="s">
        <v>51</v>
      </c>
      <c r="AE567" s="5" t="s">
        <v>600</v>
      </c>
      <c r="AF567" s="5" t="s">
        <v>153</v>
      </c>
    </row>
    <row r="568" spans="1:32" ht="15.65" customHeight="1" x14ac:dyDescent="0.35">
      <c r="A568" s="5" t="s">
        <v>498</v>
      </c>
      <c r="B568" s="5" t="s">
        <v>546</v>
      </c>
      <c r="C568" s="5" t="s">
        <v>47</v>
      </c>
      <c r="D568" s="5">
        <v>3000405</v>
      </c>
      <c r="E568" s="11">
        <v>3000405</v>
      </c>
      <c r="F568" s="11" t="s">
        <v>547</v>
      </c>
      <c r="G568" s="5" t="s">
        <v>547</v>
      </c>
      <c r="H568" s="5" t="s">
        <v>54</v>
      </c>
      <c r="I568" s="5">
        <v>9921355</v>
      </c>
      <c r="J568" s="6">
        <v>46112</v>
      </c>
      <c r="K568" s="6">
        <v>46112</v>
      </c>
      <c r="L568" s="6">
        <v>46178</v>
      </c>
      <c r="M568" s="7">
        <v>-46</v>
      </c>
      <c r="N568" s="7">
        <v>374980950</v>
      </c>
      <c r="O568" s="7">
        <v>0</v>
      </c>
      <c r="P568" s="7">
        <v>374980950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5" t="s">
        <v>47</v>
      </c>
      <c r="Z568" s="6"/>
      <c r="AA568" s="5" t="s">
        <v>55</v>
      </c>
      <c r="AB568" s="5" t="s">
        <v>51</v>
      </c>
      <c r="AC568" s="5" t="s">
        <v>51</v>
      </c>
      <c r="AD568" s="5" t="s">
        <v>51</v>
      </c>
      <c r="AE568" s="5" t="s">
        <v>601</v>
      </c>
      <c r="AF568" s="5" t="s">
        <v>330</v>
      </c>
    </row>
    <row r="569" spans="1:32" ht="15.65" customHeight="1" x14ac:dyDescent="0.35">
      <c r="A569" s="5" t="s">
        <v>498</v>
      </c>
      <c r="B569" s="5" t="s">
        <v>546</v>
      </c>
      <c r="C569" s="5" t="s">
        <v>47</v>
      </c>
      <c r="D569" s="5">
        <v>3000405</v>
      </c>
      <c r="E569" s="11">
        <v>3000405</v>
      </c>
      <c r="F569" s="11" t="s">
        <v>547</v>
      </c>
      <c r="G569" s="5" t="s">
        <v>547</v>
      </c>
      <c r="H569" s="5" t="s">
        <v>54</v>
      </c>
      <c r="I569" s="5">
        <v>9921385</v>
      </c>
      <c r="J569" s="6">
        <v>46112</v>
      </c>
      <c r="K569" s="6">
        <v>46112</v>
      </c>
      <c r="L569" s="6">
        <v>46178</v>
      </c>
      <c r="M569" s="7">
        <v>-46</v>
      </c>
      <c r="N569" s="7">
        <v>364404098</v>
      </c>
      <c r="O569" s="7">
        <v>0</v>
      </c>
      <c r="P569" s="7">
        <v>364404098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5" t="s">
        <v>47</v>
      </c>
      <c r="Z569" s="6"/>
      <c r="AA569" s="5" t="s">
        <v>55</v>
      </c>
      <c r="AB569" s="5" t="s">
        <v>51</v>
      </c>
      <c r="AC569" s="5" t="s">
        <v>51</v>
      </c>
      <c r="AD569" s="5" t="s">
        <v>51</v>
      </c>
      <c r="AE569" s="5" t="s">
        <v>602</v>
      </c>
      <c r="AF569" s="5" t="s">
        <v>330</v>
      </c>
    </row>
    <row r="570" spans="1:32" ht="15.65" customHeight="1" x14ac:dyDescent="0.35">
      <c r="A570" s="5" t="s">
        <v>498</v>
      </c>
      <c r="B570" s="5" t="s">
        <v>546</v>
      </c>
      <c r="C570" s="5" t="s">
        <v>47</v>
      </c>
      <c r="D570" s="5">
        <v>3000405</v>
      </c>
      <c r="E570" s="5">
        <v>3000405</v>
      </c>
      <c r="F570" s="5" t="s">
        <v>547</v>
      </c>
      <c r="G570" s="5" t="s">
        <v>547</v>
      </c>
      <c r="H570" s="5" t="s">
        <v>54</v>
      </c>
      <c r="I570" s="5">
        <v>9921391</v>
      </c>
      <c r="J570" s="6">
        <v>46112</v>
      </c>
      <c r="K570" s="6">
        <v>46112</v>
      </c>
      <c r="L570" s="6">
        <v>46178</v>
      </c>
      <c r="M570" s="7">
        <v>-46</v>
      </c>
      <c r="N570" s="7">
        <v>348466032</v>
      </c>
      <c r="O570" s="7">
        <v>0</v>
      </c>
      <c r="P570" s="7">
        <v>348466032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5" t="s">
        <v>47</v>
      </c>
      <c r="Z570" s="6"/>
      <c r="AA570" s="5" t="s">
        <v>55</v>
      </c>
      <c r="AB570" s="5" t="s">
        <v>51</v>
      </c>
      <c r="AC570" s="5" t="s">
        <v>51</v>
      </c>
      <c r="AD570" s="5" t="s">
        <v>51</v>
      </c>
      <c r="AE570" s="5" t="s">
        <v>603</v>
      </c>
      <c r="AF570" s="5" t="s">
        <v>330</v>
      </c>
    </row>
    <row r="571" spans="1:32" ht="15.65" customHeight="1" x14ac:dyDescent="0.35">
      <c r="A571" s="5" t="s">
        <v>498</v>
      </c>
      <c r="B571" s="5" t="s">
        <v>546</v>
      </c>
      <c r="C571" s="5" t="s">
        <v>47</v>
      </c>
      <c r="D571" s="5">
        <v>3000405</v>
      </c>
      <c r="E571" s="11">
        <v>3000405</v>
      </c>
      <c r="F571" s="11" t="s">
        <v>547</v>
      </c>
      <c r="G571" s="5" t="s">
        <v>547</v>
      </c>
      <c r="H571" s="5" t="s">
        <v>54</v>
      </c>
      <c r="I571" s="5">
        <v>9921392</v>
      </c>
      <c r="J571" s="6">
        <v>46112</v>
      </c>
      <c r="K571" s="6">
        <v>46112</v>
      </c>
      <c r="L571" s="6">
        <v>46178</v>
      </c>
      <c r="M571" s="7">
        <v>-46</v>
      </c>
      <c r="N571" s="7">
        <v>365459122</v>
      </c>
      <c r="O571" s="7">
        <v>0</v>
      </c>
      <c r="P571" s="7">
        <v>365459122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5" t="s">
        <v>47</v>
      </c>
      <c r="Z571" s="6"/>
      <c r="AA571" s="5" t="s">
        <v>55</v>
      </c>
      <c r="AB571" s="5" t="s">
        <v>51</v>
      </c>
      <c r="AC571" s="5" t="s">
        <v>51</v>
      </c>
      <c r="AD571" s="5" t="s">
        <v>51</v>
      </c>
      <c r="AE571" s="5" t="s">
        <v>604</v>
      </c>
      <c r="AF571" s="5" t="s">
        <v>452</v>
      </c>
    </row>
    <row r="572" spans="1:32" ht="15.65" customHeight="1" x14ac:dyDescent="0.35">
      <c r="A572" s="5" t="s">
        <v>498</v>
      </c>
      <c r="B572" s="5" t="s">
        <v>546</v>
      </c>
      <c r="C572" s="5" t="s">
        <v>47</v>
      </c>
      <c r="D572" s="5">
        <v>3000405</v>
      </c>
      <c r="E572" s="11">
        <v>3001364</v>
      </c>
      <c r="F572" s="11" t="s">
        <v>547</v>
      </c>
      <c r="G572" s="5" t="s">
        <v>547</v>
      </c>
      <c r="H572" s="5" t="s">
        <v>140</v>
      </c>
      <c r="I572" s="5">
        <v>9922620</v>
      </c>
      <c r="J572" s="6">
        <v>46119</v>
      </c>
      <c r="K572" s="6">
        <v>46119</v>
      </c>
      <c r="L572" s="6">
        <v>46164</v>
      </c>
      <c r="M572" s="7">
        <v>-32</v>
      </c>
      <c r="N572" s="7">
        <v>130539</v>
      </c>
      <c r="O572" s="7">
        <v>0</v>
      </c>
      <c r="P572" s="7">
        <v>130539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5" t="s">
        <v>548</v>
      </c>
      <c r="Z572" s="6"/>
      <c r="AA572" s="5" t="s">
        <v>55</v>
      </c>
      <c r="AB572" s="5" t="s">
        <v>51</v>
      </c>
      <c r="AC572" s="5" t="s">
        <v>51</v>
      </c>
      <c r="AD572" s="5" t="s">
        <v>51</v>
      </c>
      <c r="AE572" s="5" t="s">
        <v>605</v>
      </c>
      <c r="AF572" s="5" t="s">
        <v>461</v>
      </c>
    </row>
    <row r="573" spans="1:32" ht="15.65" customHeight="1" x14ac:dyDescent="0.35">
      <c r="A573" s="5" t="s">
        <v>45</v>
      </c>
      <c r="B573" s="5" t="s">
        <v>606</v>
      </c>
      <c r="C573" s="5" t="s">
        <v>47</v>
      </c>
      <c r="D573" s="5">
        <v>3000469</v>
      </c>
      <c r="E573" s="11">
        <v>3000469</v>
      </c>
      <c r="F573" s="11" t="s">
        <v>607</v>
      </c>
      <c r="G573" s="5" t="s">
        <v>607</v>
      </c>
      <c r="H573" s="5" t="s">
        <v>54</v>
      </c>
      <c r="I573" s="5">
        <v>6957267</v>
      </c>
      <c r="J573" s="6">
        <v>46106</v>
      </c>
      <c r="K573" s="6">
        <v>46106</v>
      </c>
      <c r="L573" s="6">
        <v>46106</v>
      </c>
      <c r="M573" s="7">
        <v>26</v>
      </c>
      <c r="N573" s="7">
        <v>-3601630</v>
      </c>
      <c r="O573" s="7">
        <v>-3601630</v>
      </c>
      <c r="P573" s="7">
        <v>0</v>
      </c>
      <c r="Q573" s="7">
        <v>-3601630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5" t="s">
        <v>47</v>
      </c>
      <c r="Z573" s="6"/>
      <c r="AA573" s="5" t="s">
        <v>55</v>
      </c>
      <c r="AB573" s="5" t="s">
        <v>51</v>
      </c>
      <c r="AC573" s="5" t="s">
        <v>51</v>
      </c>
      <c r="AD573" s="5" t="s">
        <v>51</v>
      </c>
      <c r="AE573" s="5" t="s">
        <v>51</v>
      </c>
      <c r="AF573" s="5" t="s">
        <v>608</v>
      </c>
    </row>
    <row r="574" spans="1:32" ht="15.65" customHeight="1" x14ac:dyDescent="0.35">
      <c r="A574" s="5" t="s">
        <v>45</v>
      </c>
      <c r="B574" s="5" t="s">
        <v>606</v>
      </c>
      <c r="C574" s="5" t="s">
        <v>47</v>
      </c>
      <c r="D574" s="5">
        <v>3000469</v>
      </c>
      <c r="E574" s="11">
        <v>3000469</v>
      </c>
      <c r="F574" s="11" t="s">
        <v>607</v>
      </c>
      <c r="G574" s="5" t="s">
        <v>607</v>
      </c>
      <c r="H574" s="5" t="s">
        <v>54</v>
      </c>
      <c r="I574" s="5">
        <v>6959242</v>
      </c>
      <c r="J574" s="6">
        <v>46126</v>
      </c>
      <c r="K574" s="6">
        <v>46126</v>
      </c>
      <c r="L574" s="6">
        <v>46126</v>
      </c>
      <c r="M574" s="7">
        <v>6</v>
      </c>
      <c r="N574" s="7">
        <v>-51220094</v>
      </c>
      <c r="O574" s="7">
        <v>-51220094</v>
      </c>
      <c r="P574" s="7">
        <v>0</v>
      </c>
      <c r="Q574" s="7">
        <v>-51220094</v>
      </c>
      <c r="R574" s="7">
        <v>0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  <c r="X574" s="7">
        <v>0</v>
      </c>
      <c r="Y574" s="5" t="s">
        <v>47</v>
      </c>
      <c r="Z574" s="6"/>
      <c r="AA574" s="5" t="s">
        <v>55</v>
      </c>
      <c r="AB574" s="5" t="s">
        <v>51</v>
      </c>
      <c r="AC574" s="5" t="s">
        <v>51</v>
      </c>
      <c r="AD574" s="5" t="s">
        <v>51</v>
      </c>
      <c r="AE574" s="5" t="s">
        <v>51</v>
      </c>
      <c r="AF574" s="5" t="s">
        <v>56</v>
      </c>
    </row>
    <row r="575" spans="1:32" ht="15.65" customHeight="1" x14ac:dyDescent="0.35">
      <c r="A575" s="5" t="s">
        <v>45</v>
      </c>
      <c r="B575" s="5" t="s">
        <v>606</v>
      </c>
      <c r="C575" s="5" t="s">
        <v>47</v>
      </c>
      <c r="D575" s="5">
        <v>3000469</v>
      </c>
      <c r="E575" s="11">
        <v>3000469</v>
      </c>
      <c r="F575" s="11" t="s">
        <v>607</v>
      </c>
      <c r="G575" s="5" t="s">
        <v>607</v>
      </c>
      <c r="H575" s="5" t="s">
        <v>54</v>
      </c>
      <c r="I575" s="5">
        <v>6960034</v>
      </c>
      <c r="J575" s="6">
        <v>46130</v>
      </c>
      <c r="K575" s="6">
        <v>46130</v>
      </c>
      <c r="L575" s="6">
        <v>46130</v>
      </c>
      <c r="M575" s="7">
        <v>2</v>
      </c>
      <c r="N575" s="7">
        <v>-440556</v>
      </c>
      <c r="O575" s="7">
        <v>-440556</v>
      </c>
      <c r="P575" s="7">
        <v>0</v>
      </c>
      <c r="Q575" s="7">
        <v>-440556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0</v>
      </c>
      <c r="Y575" s="5" t="s">
        <v>47</v>
      </c>
      <c r="Z575" s="6"/>
      <c r="AA575" s="5" t="s">
        <v>55</v>
      </c>
      <c r="AB575" s="5" t="s">
        <v>51</v>
      </c>
      <c r="AC575" s="5" t="s">
        <v>51</v>
      </c>
      <c r="AD575" s="5" t="s">
        <v>51</v>
      </c>
      <c r="AE575" s="5" t="s">
        <v>51</v>
      </c>
      <c r="AF575" s="5" t="s">
        <v>609</v>
      </c>
    </row>
    <row r="576" spans="1:32" ht="15.65" customHeight="1" x14ac:dyDescent="0.35">
      <c r="A576" s="5" t="s">
        <v>45</v>
      </c>
      <c r="B576" s="5" t="s">
        <v>606</v>
      </c>
      <c r="C576" s="5" t="s">
        <v>47</v>
      </c>
      <c r="D576" s="5">
        <v>3000469</v>
      </c>
      <c r="E576" s="11">
        <v>3000469</v>
      </c>
      <c r="F576" s="11" t="s">
        <v>607</v>
      </c>
      <c r="G576" s="5" t="s">
        <v>607</v>
      </c>
      <c r="H576" s="5" t="s">
        <v>54</v>
      </c>
      <c r="I576" s="5">
        <v>6960035</v>
      </c>
      <c r="J576" s="6">
        <v>46130</v>
      </c>
      <c r="K576" s="6">
        <v>46130</v>
      </c>
      <c r="L576" s="6">
        <v>46130</v>
      </c>
      <c r="M576" s="7">
        <v>2</v>
      </c>
      <c r="N576" s="7">
        <v>-357900</v>
      </c>
      <c r="O576" s="7">
        <v>-357900</v>
      </c>
      <c r="P576" s="7">
        <v>0</v>
      </c>
      <c r="Q576" s="7">
        <v>-357900</v>
      </c>
      <c r="R576" s="7">
        <v>0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0</v>
      </c>
      <c r="Y576" s="5" t="s">
        <v>47</v>
      </c>
      <c r="Z576" s="6"/>
      <c r="AA576" s="5" t="s">
        <v>55</v>
      </c>
      <c r="AB576" s="5" t="s">
        <v>51</v>
      </c>
      <c r="AC576" s="5" t="s">
        <v>51</v>
      </c>
      <c r="AD576" s="5" t="s">
        <v>51</v>
      </c>
      <c r="AE576" s="5" t="s">
        <v>51</v>
      </c>
      <c r="AF576" s="5" t="s">
        <v>610</v>
      </c>
    </row>
    <row r="577" spans="1:32" ht="15.65" customHeight="1" x14ac:dyDescent="0.35">
      <c r="A577" s="5" t="s">
        <v>45</v>
      </c>
      <c r="B577" s="5" t="s">
        <v>606</v>
      </c>
      <c r="C577" s="5" t="s">
        <v>47</v>
      </c>
      <c r="D577" s="5">
        <v>3000469</v>
      </c>
      <c r="E577" s="11">
        <v>3000469</v>
      </c>
      <c r="F577" s="11" t="s">
        <v>607</v>
      </c>
      <c r="G577" s="5" t="s">
        <v>607</v>
      </c>
      <c r="H577" s="5" t="s">
        <v>54</v>
      </c>
      <c r="I577" s="5">
        <v>6960036</v>
      </c>
      <c r="J577" s="6">
        <v>46130</v>
      </c>
      <c r="K577" s="6">
        <v>46130</v>
      </c>
      <c r="L577" s="6">
        <v>46130</v>
      </c>
      <c r="M577" s="7">
        <v>2</v>
      </c>
      <c r="N577" s="7">
        <v>-404258</v>
      </c>
      <c r="O577" s="7">
        <v>-404258</v>
      </c>
      <c r="P577" s="7">
        <v>0</v>
      </c>
      <c r="Q577" s="7">
        <v>-404258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5" t="s">
        <v>47</v>
      </c>
      <c r="Z577" s="6"/>
      <c r="AA577" s="5" t="s">
        <v>55</v>
      </c>
      <c r="AB577" s="5" t="s">
        <v>51</v>
      </c>
      <c r="AC577" s="5" t="s">
        <v>51</v>
      </c>
      <c r="AD577" s="5" t="s">
        <v>51</v>
      </c>
      <c r="AE577" s="5" t="s">
        <v>51</v>
      </c>
      <c r="AF577" s="5" t="s">
        <v>611</v>
      </c>
    </row>
    <row r="578" spans="1:32" ht="15.65" customHeight="1" x14ac:dyDescent="0.35">
      <c r="A578" s="5" t="s">
        <v>45</v>
      </c>
      <c r="B578" s="5" t="s">
        <v>606</v>
      </c>
      <c r="C578" s="5" t="s">
        <v>47</v>
      </c>
      <c r="D578" s="5">
        <v>3000469</v>
      </c>
      <c r="E578" s="5">
        <v>3000469</v>
      </c>
      <c r="F578" s="5" t="s">
        <v>607</v>
      </c>
      <c r="G578" s="5" t="s">
        <v>607</v>
      </c>
      <c r="H578" s="5" t="s">
        <v>140</v>
      </c>
      <c r="I578" s="5">
        <v>9913656</v>
      </c>
      <c r="J578" s="6">
        <v>46092</v>
      </c>
      <c r="K578" s="6">
        <v>46092</v>
      </c>
      <c r="L578" s="6">
        <v>46137</v>
      </c>
      <c r="M578" s="7">
        <v>-5</v>
      </c>
      <c r="N578" s="7">
        <v>75921</v>
      </c>
      <c r="O578" s="7">
        <v>0</v>
      </c>
      <c r="P578" s="7">
        <v>75921</v>
      </c>
      <c r="Q578" s="7">
        <v>0</v>
      </c>
      <c r="R578" s="7">
        <v>0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0</v>
      </c>
      <c r="Y578" s="5" t="s">
        <v>47</v>
      </c>
      <c r="Z578" s="6"/>
      <c r="AA578" s="5" t="s">
        <v>55</v>
      </c>
      <c r="AB578" s="5" t="s">
        <v>51</v>
      </c>
      <c r="AC578" s="5" t="s">
        <v>612</v>
      </c>
      <c r="AD578" s="5" t="s">
        <v>51</v>
      </c>
      <c r="AE578" s="5" t="s">
        <v>51</v>
      </c>
      <c r="AF578" s="5" t="s">
        <v>525</v>
      </c>
    </row>
    <row r="579" spans="1:32" ht="15.65" customHeight="1" x14ac:dyDescent="0.35">
      <c r="A579" s="5" t="s">
        <v>45</v>
      </c>
      <c r="B579" s="5" t="s">
        <v>606</v>
      </c>
      <c r="C579" s="5" t="s">
        <v>430</v>
      </c>
      <c r="D579" s="5">
        <v>3000469</v>
      </c>
      <c r="E579" s="11">
        <v>3100549</v>
      </c>
      <c r="F579" s="11" t="s">
        <v>607</v>
      </c>
      <c r="G579" s="5" t="s">
        <v>607</v>
      </c>
      <c r="H579" s="5" t="s">
        <v>54</v>
      </c>
      <c r="I579" s="5">
        <v>9917305</v>
      </c>
      <c r="J579" s="6">
        <v>46105</v>
      </c>
      <c r="K579" s="6">
        <v>46105</v>
      </c>
      <c r="L579" s="6">
        <v>46151</v>
      </c>
      <c r="M579" s="7">
        <v>-19</v>
      </c>
      <c r="N579" s="7">
        <v>243610766</v>
      </c>
      <c r="O579" s="7">
        <v>0</v>
      </c>
      <c r="P579" s="7">
        <v>243610766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7">
        <v>0</v>
      </c>
      <c r="Y579" s="5" t="s">
        <v>430</v>
      </c>
      <c r="Z579" s="6"/>
      <c r="AA579" s="5" t="s">
        <v>55</v>
      </c>
      <c r="AB579" s="5" t="s">
        <v>51</v>
      </c>
      <c r="AC579" s="5" t="s">
        <v>51</v>
      </c>
      <c r="AD579" s="5" t="s">
        <v>51</v>
      </c>
      <c r="AE579" s="5" t="s">
        <v>613</v>
      </c>
      <c r="AF579" s="5" t="s">
        <v>62</v>
      </c>
    </row>
    <row r="580" spans="1:32" ht="15.65" customHeight="1" x14ac:dyDescent="0.35">
      <c r="A580" s="5" t="s">
        <v>45</v>
      </c>
      <c r="B580" s="5" t="s">
        <v>606</v>
      </c>
      <c r="C580" s="5" t="s">
        <v>430</v>
      </c>
      <c r="D580" s="5">
        <v>3000469</v>
      </c>
      <c r="E580" s="11">
        <v>3100549</v>
      </c>
      <c r="F580" s="11" t="s">
        <v>607</v>
      </c>
      <c r="G580" s="5" t="s">
        <v>607</v>
      </c>
      <c r="H580" s="5" t="s">
        <v>54</v>
      </c>
      <c r="I580" s="5">
        <v>9921113</v>
      </c>
      <c r="J580" s="6">
        <v>46112</v>
      </c>
      <c r="K580" s="6">
        <v>46112</v>
      </c>
      <c r="L580" s="6">
        <v>46158</v>
      </c>
      <c r="M580" s="7">
        <v>-26</v>
      </c>
      <c r="N580" s="7">
        <v>183388488</v>
      </c>
      <c r="O580" s="7">
        <v>0</v>
      </c>
      <c r="P580" s="7">
        <v>183388488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5" t="s">
        <v>430</v>
      </c>
      <c r="Z580" s="6"/>
      <c r="AA580" s="5" t="s">
        <v>55</v>
      </c>
      <c r="AB580" s="5" t="s">
        <v>51</v>
      </c>
      <c r="AC580" s="5" t="s">
        <v>51</v>
      </c>
      <c r="AD580" s="5" t="s">
        <v>51</v>
      </c>
      <c r="AE580" s="5" t="s">
        <v>614</v>
      </c>
      <c r="AF580" s="5" t="s">
        <v>62</v>
      </c>
    </row>
    <row r="581" spans="1:32" ht="15.65" customHeight="1" x14ac:dyDescent="0.35">
      <c r="A581" s="5" t="s">
        <v>45</v>
      </c>
      <c r="B581" s="5" t="s">
        <v>606</v>
      </c>
      <c r="C581" s="5" t="s">
        <v>47</v>
      </c>
      <c r="D581" s="5">
        <v>3000469</v>
      </c>
      <c r="E581" s="11">
        <v>3000469</v>
      </c>
      <c r="F581" s="11" t="s">
        <v>607</v>
      </c>
      <c r="G581" s="5" t="s">
        <v>607</v>
      </c>
      <c r="H581" s="5" t="s">
        <v>140</v>
      </c>
      <c r="I581" s="5">
        <v>9925149</v>
      </c>
      <c r="J581" s="6">
        <v>46126</v>
      </c>
      <c r="K581" s="6">
        <v>46126</v>
      </c>
      <c r="L581" s="6">
        <v>46171</v>
      </c>
      <c r="M581" s="7">
        <v>-39</v>
      </c>
      <c r="N581" s="7">
        <v>115138</v>
      </c>
      <c r="O581" s="7">
        <v>0</v>
      </c>
      <c r="P581" s="7">
        <v>115138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5" t="s">
        <v>47</v>
      </c>
      <c r="Z581" s="6"/>
      <c r="AA581" s="5" t="s">
        <v>55</v>
      </c>
      <c r="AB581" s="5" t="s">
        <v>51</v>
      </c>
      <c r="AC581" s="5" t="s">
        <v>51</v>
      </c>
      <c r="AD581" s="5" t="s">
        <v>51</v>
      </c>
      <c r="AE581" s="5" t="s">
        <v>615</v>
      </c>
      <c r="AF581" s="5" t="s">
        <v>616</v>
      </c>
    </row>
    <row r="582" spans="1:32" ht="15.65" customHeight="1" x14ac:dyDescent="0.35">
      <c r="A582" s="5" t="s">
        <v>45</v>
      </c>
      <c r="B582" s="5" t="s">
        <v>606</v>
      </c>
      <c r="C582" s="5" t="s">
        <v>430</v>
      </c>
      <c r="D582" s="5">
        <v>3000469</v>
      </c>
      <c r="E582" s="11">
        <v>3100549</v>
      </c>
      <c r="F582" s="11" t="s">
        <v>607</v>
      </c>
      <c r="G582" s="5" t="s">
        <v>607</v>
      </c>
      <c r="H582" s="5" t="s">
        <v>54</v>
      </c>
      <c r="I582" s="5">
        <v>9925715</v>
      </c>
      <c r="J582" s="6">
        <v>46127</v>
      </c>
      <c r="K582" s="6">
        <v>46127</v>
      </c>
      <c r="L582" s="6">
        <v>46173</v>
      </c>
      <c r="M582" s="7">
        <v>-41</v>
      </c>
      <c r="N582" s="7">
        <v>150912654</v>
      </c>
      <c r="O582" s="7">
        <v>0</v>
      </c>
      <c r="P582" s="7">
        <v>150912654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5" t="s">
        <v>430</v>
      </c>
      <c r="Z582" s="6"/>
      <c r="AA582" s="5" t="s">
        <v>55</v>
      </c>
      <c r="AB582" s="5" t="s">
        <v>51</v>
      </c>
      <c r="AC582" s="5" t="s">
        <v>51</v>
      </c>
      <c r="AD582" s="5" t="s">
        <v>51</v>
      </c>
      <c r="AE582" s="5" t="s">
        <v>617</v>
      </c>
      <c r="AF582" s="5" t="s">
        <v>69</v>
      </c>
    </row>
    <row r="583" spans="1:32" ht="15.65" customHeight="1" x14ac:dyDescent="0.35">
      <c r="A583" s="5" t="s">
        <v>175</v>
      </c>
      <c r="B583" s="5" t="s">
        <v>176</v>
      </c>
      <c r="C583" s="5" t="s">
        <v>47</v>
      </c>
      <c r="D583" s="5">
        <v>3000552</v>
      </c>
      <c r="E583" s="11">
        <v>3000552</v>
      </c>
      <c r="F583" s="11" t="s">
        <v>618</v>
      </c>
      <c r="G583" s="5" t="s">
        <v>618</v>
      </c>
      <c r="H583" s="5" t="s">
        <v>54</v>
      </c>
      <c r="I583" s="5">
        <v>6955562</v>
      </c>
      <c r="J583" s="6">
        <v>46095</v>
      </c>
      <c r="K583" s="6">
        <v>46095</v>
      </c>
      <c r="L583" s="6">
        <v>46095</v>
      </c>
      <c r="M583" s="7">
        <v>37</v>
      </c>
      <c r="N583" s="7">
        <v>-70076510</v>
      </c>
      <c r="O583" s="7">
        <v>-70076510</v>
      </c>
      <c r="P583" s="7">
        <v>0</v>
      </c>
      <c r="Q583" s="7">
        <v>0</v>
      </c>
      <c r="R583" s="7">
        <v>-70076510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5" t="s">
        <v>47</v>
      </c>
      <c r="Z583" s="6"/>
      <c r="AA583" s="5" t="s">
        <v>55</v>
      </c>
      <c r="AB583" s="5" t="s">
        <v>51</v>
      </c>
      <c r="AC583" s="5" t="s">
        <v>51</v>
      </c>
      <c r="AD583" s="5" t="s">
        <v>51</v>
      </c>
      <c r="AE583" s="5" t="s">
        <v>51</v>
      </c>
      <c r="AF583" s="5" t="s">
        <v>56</v>
      </c>
    </row>
    <row r="584" spans="1:32" ht="15.65" customHeight="1" x14ac:dyDescent="0.35">
      <c r="A584" s="5" t="s">
        <v>175</v>
      </c>
      <c r="B584" s="5" t="s">
        <v>176</v>
      </c>
      <c r="C584" s="5" t="s">
        <v>47</v>
      </c>
      <c r="D584" s="5">
        <v>3000552</v>
      </c>
      <c r="E584" s="11">
        <v>3000552</v>
      </c>
      <c r="F584" s="11" t="s">
        <v>618</v>
      </c>
      <c r="G584" s="5" t="s">
        <v>618</v>
      </c>
      <c r="H584" s="5" t="s">
        <v>54</v>
      </c>
      <c r="I584" s="5">
        <v>6955576</v>
      </c>
      <c r="J584" s="6">
        <v>46095</v>
      </c>
      <c r="K584" s="6">
        <v>46095</v>
      </c>
      <c r="L584" s="6">
        <v>46095</v>
      </c>
      <c r="M584" s="7">
        <v>37</v>
      </c>
      <c r="N584" s="7">
        <v>-510000</v>
      </c>
      <c r="O584" s="7">
        <v>-510000</v>
      </c>
      <c r="P584" s="7">
        <v>0</v>
      </c>
      <c r="Q584" s="7">
        <v>0</v>
      </c>
      <c r="R584" s="7">
        <v>-510000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5" t="s">
        <v>47</v>
      </c>
      <c r="Z584" s="6"/>
      <c r="AA584" s="5" t="s">
        <v>55</v>
      </c>
      <c r="AB584" s="5" t="s">
        <v>51</v>
      </c>
      <c r="AC584" s="5" t="s">
        <v>51</v>
      </c>
      <c r="AD584" s="5" t="s">
        <v>51</v>
      </c>
      <c r="AE584" s="5" t="s">
        <v>51</v>
      </c>
      <c r="AF584" s="5" t="s">
        <v>619</v>
      </c>
    </row>
    <row r="585" spans="1:32" ht="15.65" customHeight="1" x14ac:dyDescent="0.35">
      <c r="A585" s="5" t="s">
        <v>175</v>
      </c>
      <c r="B585" s="5" t="s">
        <v>176</v>
      </c>
      <c r="C585" s="5" t="s">
        <v>47</v>
      </c>
      <c r="D585" s="5">
        <v>3000552</v>
      </c>
      <c r="E585" s="11">
        <v>3000552</v>
      </c>
      <c r="F585" s="11" t="s">
        <v>618</v>
      </c>
      <c r="G585" s="5" t="s">
        <v>618</v>
      </c>
      <c r="H585" s="5" t="s">
        <v>54</v>
      </c>
      <c r="I585" s="5">
        <v>6959753</v>
      </c>
      <c r="J585" s="6">
        <v>46128</v>
      </c>
      <c r="K585" s="6">
        <v>46128</v>
      </c>
      <c r="L585" s="6">
        <v>46128</v>
      </c>
      <c r="M585" s="7">
        <v>4</v>
      </c>
      <c r="N585" s="7">
        <v>-7171407</v>
      </c>
      <c r="O585" s="7">
        <v>-7171407</v>
      </c>
      <c r="P585" s="7">
        <v>0</v>
      </c>
      <c r="Q585" s="7">
        <v>-7171407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5" t="s">
        <v>47</v>
      </c>
      <c r="Z585" s="6"/>
      <c r="AA585" s="5" t="s">
        <v>55</v>
      </c>
      <c r="AB585" s="5" t="s">
        <v>51</v>
      </c>
      <c r="AC585" s="5" t="s">
        <v>51</v>
      </c>
      <c r="AD585" s="5" t="s">
        <v>51</v>
      </c>
      <c r="AE585" s="5" t="s">
        <v>51</v>
      </c>
      <c r="AF585" s="5" t="s">
        <v>620</v>
      </c>
    </row>
    <row r="586" spans="1:32" ht="15.65" customHeight="1" x14ac:dyDescent="0.35">
      <c r="A586" s="5" t="s">
        <v>175</v>
      </c>
      <c r="B586" s="5" t="s">
        <v>176</v>
      </c>
      <c r="C586" s="5" t="s">
        <v>47</v>
      </c>
      <c r="D586" s="5">
        <v>3000552</v>
      </c>
      <c r="E586" s="11">
        <v>3000552</v>
      </c>
      <c r="F586" s="11" t="s">
        <v>618</v>
      </c>
      <c r="G586" s="5" t="s">
        <v>618</v>
      </c>
      <c r="H586" s="5" t="s">
        <v>54</v>
      </c>
      <c r="I586" s="5">
        <v>6959791</v>
      </c>
      <c r="J586" s="6">
        <v>46128</v>
      </c>
      <c r="K586" s="6">
        <v>46128</v>
      </c>
      <c r="L586" s="6">
        <v>46128</v>
      </c>
      <c r="M586" s="7">
        <v>4</v>
      </c>
      <c r="N586" s="7">
        <v>-2545767</v>
      </c>
      <c r="O586" s="7">
        <v>-2545767</v>
      </c>
      <c r="P586" s="7">
        <v>0</v>
      </c>
      <c r="Q586" s="7">
        <v>-2545767</v>
      </c>
      <c r="R586" s="7">
        <v>0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5" t="s">
        <v>47</v>
      </c>
      <c r="Z586" s="6"/>
      <c r="AA586" s="5" t="s">
        <v>55</v>
      </c>
      <c r="AB586" s="5" t="s">
        <v>51</v>
      </c>
      <c r="AC586" s="5" t="s">
        <v>51</v>
      </c>
      <c r="AD586" s="5" t="s">
        <v>51</v>
      </c>
      <c r="AE586" s="5" t="s">
        <v>51</v>
      </c>
      <c r="AF586" s="5" t="s">
        <v>620</v>
      </c>
    </row>
    <row r="587" spans="1:32" ht="15.65" customHeight="1" x14ac:dyDescent="0.35">
      <c r="A587" s="5" t="s">
        <v>175</v>
      </c>
      <c r="B587" s="5" t="s">
        <v>176</v>
      </c>
      <c r="C587" s="5" t="s">
        <v>47</v>
      </c>
      <c r="D587" s="5">
        <v>3000552</v>
      </c>
      <c r="E587" s="11">
        <v>3000552</v>
      </c>
      <c r="F587" s="11" t="s">
        <v>618</v>
      </c>
      <c r="G587" s="5" t="s">
        <v>618</v>
      </c>
      <c r="H587" s="5" t="s">
        <v>54</v>
      </c>
      <c r="I587" s="5">
        <v>6959894</v>
      </c>
      <c r="J587" s="6">
        <v>46129</v>
      </c>
      <c r="K587" s="6">
        <v>46129</v>
      </c>
      <c r="L587" s="6">
        <v>46129</v>
      </c>
      <c r="M587" s="7">
        <v>3</v>
      </c>
      <c r="N587" s="7">
        <v>-4250000</v>
      </c>
      <c r="O587" s="7">
        <v>-4250000</v>
      </c>
      <c r="P587" s="7">
        <v>0</v>
      </c>
      <c r="Q587" s="7">
        <v>-4250000</v>
      </c>
      <c r="R587" s="7">
        <v>0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5" t="s">
        <v>47</v>
      </c>
      <c r="Z587" s="6"/>
      <c r="AA587" s="5" t="s">
        <v>55</v>
      </c>
      <c r="AB587" s="5" t="s">
        <v>51</v>
      </c>
      <c r="AC587" s="5" t="s">
        <v>51</v>
      </c>
      <c r="AD587" s="5" t="s">
        <v>51</v>
      </c>
      <c r="AE587" s="5" t="s">
        <v>51</v>
      </c>
      <c r="AF587" s="5" t="s">
        <v>621</v>
      </c>
    </row>
    <row r="588" spans="1:32" ht="15.65" customHeight="1" x14ac:dyDescent="0.35">
      <c r="A588" s="5" t="s">
        <v>175</v>
      </c>
      <c r="B588" s="5" t="s">
        <v>176</v>
      </c>
      <c r="C588" s="5" t="s">
        <v>47</v>
      </c>
      <c r="D588" s="5">
        <v>3000552</v>
      </c>
      <c r="E588" s="11">
        <v>3000552</v>
      </c>
      <c r="F588" s="11" t="s">
        <v>618</v>
      </c>
      <c r="G588" s="5" t="s">
        <v>618</v>
      </c>
      <c r="H588" s="5" t="s">
        <v>54</v>
      </c>
      <c r="I588" s="5">
        <v>9908995</v>
      </c>
      <c r="J588" s="6">
        <v>46079</v>
      </c>
      <c r="K588" s="6">
        <v>46079</v>
      </c>
      <c r="L588" s="6">
        <v>46137</v>
      </c>
      <c r="M588" s="7">
        <v>-5</v>
      </c>
      <c r="N588" s="7">
        <v>35468822</v>
      </c>
      <c r="O588" s="7">
        <v>0</v>
      </c>
      <c r="P588" s="7">
        <v>35468822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  <c r="X588" s="7">
        <v>0</v>
      </c>
      <c r="Y588" s="5" t="s">
        <v>47</v>
      </c>
      <c r="Z588" s="6"/>
      <c r="AA588" s="5" t="s">
        <v>55</v>
      </c>
      <c r="AB588" s="5" t="s">
        <v>51</v>
      </c>
      <c r="AC588" s="5" t="s">
        <v>622</v>
      </c>
      <c r="AD588" s="5" t="s">
        <v>51</v>
      </c>
      <c r="AE588" s="5" t="s">
        <v>51</v>
      </c>
      <c r="AF588" s="5" t="s">
        <v>623</v>
      </c>
    </row>
    <row r="589" spans="1:32" ht="15.65" customHeight="1" x14ac:dyDescent="0.35">
      <c r="A589" s="5" t="s">
        <v>175</v>
      </c>
      <c r="B589" s="5" t="s">
        <v>176</v>
      </c>
      <c r="C589" s="5" t="s">
        <v>47</v>
      </c>
      <c r="D589" s="5">
        <v>3000552</v>
      </c>
      <c r="E589" s="11">
        <v>3000552</v>
      </c>
      <c r="F589" s="11" t="s">
        <v>618</v>
      </c>
      <c r="G589" s="5" t="s">
        <v>618</v>
      </c>
      <c r="H589" s="5" t="s">
        <v>54</v>
      </c>
      <c r="I589" s="5">
        <v>9908998</v>
      </c>
      <c r="J589" s="6">
        <v>46079</v>
      </c>
      <c r="K589" s="6">
        <v>46079</v>
      </c>
      <c r="L589" s="6">
        <v>46137</v>
      </c>
      <c r="M589" s="7">
        <v>-5</v>
      </c>
      <c r="N589" s="7">
        <v>333914558</v>
      </c>
      <c r="O589" s="7">
        <v>0</v>
      </c>
      <c r="P589" s="7">
        <v>333914558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5" t="s">
        <v>47</v>
      </c>
      <c r="Z589" s="6"/>
      <c r="AA589" s="5" t="s">
        <v>55</v>
      </c>
      <c r="AB589" s="5" t="s">
        <v>51</v>
      </c>
      <c r="AC589" s="5" t="s">
        <v>624</v>
      </c>
      <c r="AD589" s="5" t="s">
        <v>51</v>
      </c>
      <c r="AE589" s="5" t="s">
        <v>51</v>
      </c>
      <c r="AF589" s="5" t="s">
        <v>69</v>
      </c>
    </row>
    <row r="590" spans="1:32" ht="15.65" customHeight="1" x14ac:dyDescent="0.35">
      <c r="A590" s="5" t="s">
        <v>175</v>
      </c>
      <c r="B590" s="5" t="s">
        <v>176</v>
      </c>
      <c r="C590" s="5" t="s">
        <v>47</v>
      </c>
      <c r="D590" s="5">
        <v>3000552</v>
      </c>
      <c r="E590" s="11">
        <v>3000552</v>
      </c>
      <c r="F590" s="11" t="s">
        <v>618</v>
      </c>
      <c r="G590" s="5" t="s">
        <v>618</v>
      </c>
      <c r="H590" s="5" t="s">
        <v>54</v>
      </c>
      <c r="I590" s="5">
        <v>9908999</v>
      </c>
      <c r="J590" s="6">
        <v>46079</v>
      </c>
      <c r="K590" s="6">
        <v>46079</v>
      </c>
      <c r="L590" s="6">
        <v>46137</v>
      </c>
      <c r="M590" s="7">
        <v>-5</v>
      </c>
      <c r="N590" s="7">
        <v>456223</v>
      </c>
      <c r="O590" s="7">
        <v>0</v>
      </c>
      <c r="P590" s="7">
        <v>456223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  <c r="Y590" s="5" t="s">
        <v>47</v>
      </c>
      <c r="Z590" s="6"/>
      <c r="AA590" s="5" t="s">
        <v>55</v>
      </c>
      <c r="AB590" s="5" t="s">
        <v>51</v>
      </c>
      <c r="AC590" s="5" t="s">
        <v>625</v>
      </c>
      <c r="AD590" s="5" t="s">
        <v>51</v>
      </c>
      <c r="AE590" s="5" t="s">
        <v>51</v>
      </c>
      <c r="AF590" s="5" t="s">
        <v>64</v>
      </c>
    </row>
    <row r="591" spans="1:32" ht="15.65" customHeight="1" x14ac:dyDescent="0.35">
      <c r="A591" s="5" t="s">
        <v>175</v>
      </c>
      <c r="B591" s="5" t="s">
        <v>176</v>
      </c>
      <c r="C591" s="5" t="s">
        <v>47</v>
      </c>
      <c r="D591" s="5">
        <v>3000552</v>
      </c>
      <c r="E591" s="11">
        <v>3000552</v>
      </c>
      <c r="F591" s="11" t="s">
        <v>618</v>
      </c>
      <c r="G591" s="5" t="s">
        <v>618</v>
      </c>
      <c r="H591" s="5" t="s">
        <v>54</v>
      </c>
      <c r="I591" s="5">
        <v>9910527</v>
      </c>
      <c r="J591" s="6">
        <v>46081</v>
      </c>
      <c r="K591" s="6">
        <v>46081</v>
      </c>
      <c r="L591" s="6">
        <v>46139</v>
      </c>
      <c r="M591" s="7">
        <v>-7</v>
      </c>
      <c r="N591" s="7">
        <v>305590234</v>
      </c>
      <c r="O591" s="7">
        <v>0</v>
      </c>
      <c r="P591" s="7">
        <v>305590234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  <c r="Y591" s="5" t="s">
        <v>47</v>
      </c>
      <c r="Z591" s="6"/>
      <c r="AA591" s="5" t="s">
        <v>55</v>
      </c>
      <c r="AB591" s="5" t="s">
        <v>51</v>
      </c>
      <c r="AC591" s="5" t="s">
        <v>626</v>
      </c>
      <c r="AD591" s="5" t="s">
        <v>51</v>
      </c>
      <c r="AE591" s="5" t="s">
        <v>51</v>
      </c>
      <c r="AF591" s="5" t="s">
        <v>627</v>
      </c>
    </row>
    <row r="592" spans="1:32" ht="15.65" customHeight="1" x14ac:dyDescent="0.35">
      <c r="A592" s="5" t="s">
        <v>175</v>
      </c>
      <c r="B592" s="5" t="s">
        <v>176</v>
      </c>
      <c r="C592" s="5" t="s">
        <v>47</v>
      </c>
      <c r="D592" s="5">
        <v>3000552</v>
      </c>
      <c r="E592" s="11">
        <v>3000552</v>
      </c>
      <c r="F592" s="11" t="s">
        <v>618</v>
      </c>
      <c r="G592" s="5" t="s">
        <v>618</v>
      </c>
      <c r="H592" s="5" t="s">
        <v>54</v>
      </c>
      <c r="I592" s="5">
        <v>9910533</v>
      </c>
      <c r="J592" s="6">
        <v>46081</v>
      </c>
      <c r="K592" s="6">
        <v>46081</v>
      </c>
      <c r="L592" s="6">
        <v>46139</v>
      </c>
      <c r="M592" s="7">
        <v>-7</v>
      </c>
      <c r="N592" s="7">
        <v>281433615</v>
      </c>
      <c r="O592" s="7">
        <v>0</v>
      </c>
      <c r="P592" s="7">
        <v>281433615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5" t="s">
        <v>47</v>
      </c>
      <c r="Z592" s="6"/>
      <c r="AA592" s="5" t="s">
        <v>55</v>
      </c>
      <c r="AB592" s="5" t="s">
        <v>51</v>
      </c>
      <c r="AC592" s="5" t="s">
        <v>628</v>
      </c>
      <c r="AD592" s="5" t="s">
        <v>51</v>
      </c>
      <c r="AE592" s="5" t="s">
        <v>51</v>
      </c>
      <c r="AF592" s="5" t="s">
        <v>183</v>
      </c>
    </row>
    <row r="593" spans="1:32" ht="15.65" customHeight="1" x14ac:dyDescent="0.35">
      <c r="A593" s="5" t="s">
        <v>175</v>
      </c>
      <c r="B593" s="5" t="s">
        <v>176</v>
      </c>
      <c r="C593" s="5" t="s">
        <v>187</v>
      </c>
      <c r="D593" s="5">
        <v>3000552</v>
      </c>
      <c r="E593" s="11">
        <v>3100625</v>
      </c>
      <c r="F593" s="11" t="s">
        <v>618</v>
      </c>
      <c r="G593" s="5" t="s">
        <v>618</v>
      </c>
      <c r="H593" s="5" t="s">
        <v>54</v>
      </c>
      <c r="I593" s="5">
        <v>9911602</v>
      </c>
      <c r="J593" s="6">
        <v>46086</v>
      </c>
      <c r="K593" s="6">
        <v>46086</v>
      </c>
      <c r="L593" s="6">
        <v>46132</v>
      </c>
      <c r="M593" s="7">
        <v>0</v>
      </c>
      <c r="N593" s="7">
        <v>4562233</v>
      </c>
      <c r="O593" s="7">
        <v>0</v>
      </c>
      <c r="P593" s="7">
        <v>4562233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0</v>
      </c>
      <c r="Y593" s="5" t="s">
        <v>187</v>
      </c>
      <c r="Z593" s="6"/>
      <c r="AA593" s="5" t="s">
        <v>55</v>
      </c>
      <c r="AB593" s="5" t="s">
        <v>629</v>
      </c>
      <c r="AC593" s="5" t="s">
        <v>51</v>
      </c>
      <c r="AD593" s="5" t="s">
        <v>51</v>
      </c>
      <c r="AE593" s="5" t="s">
        <v>51</v>
      </c>
      <c r="AF593" s="5" t="s">
        <v>64</v>
      </c>
    </row>
    <row r="594" spans="1:32" ht="15.65" customHeight="1" x14ac:dyDescent="0.35">
      <c r="A594" s="5" t="s">
        <v>175</v>
      </c>
      <c r="B594" s="5" t="s">
        <v>176</v>
      </c>
      <c r="C594" s="5" t="s">
        <v>47</v>
      </c>
      <c r="D594" s="5">
        <v>3000552</v>
      </c>
      <c r="E594" s="11">
        <v>3000552</v>
      </c>
      <c r="F594" s="11" t="s">
        <v>618</v>
      </c>
      <c r="G594" s="5" t="s">
        <v>618</v>
      </c>
      <c r="H594" s="5" t="s">
        <v>54</v>
      </c>
      <c r="I594" s="5">
        <v>9921091</v>
      </c>
      <c r="J594" s="6">
        <v>46112</v>
      </c>
      <c r="K594" s="6">
        <v>46112</v>
      </c>
      <c r="L594" s="6">
        <v>46170</v>
      </c>
      <c r="M594" s="7">
        <v>-38</v>
      </c>
      <c r="N594" s="7">
        <v>499800702</v>
      </c>
      <c r="O594" s="7">
        <v>0</v>
      </c>
      <c r="P594" s="7">
        <v>499800702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5" t="s">
        <v>47</v>
      </c>
      <c r="Z594" s="6"/>
      <c r="AA594" s="5" t="s">
        <v>55</v>
      </c>
      <c r="AB594" s="5" t="s">
        <v>51</v>
      </c>
      <c r="AC594" s="5" t="s">
        <v>51</v>
      </c>
      <c r="AD594" s="5" t="s">
        <v>51</v>
      </c>
      <c r="AE594" s="5" t="s">
        <v>630</v>
      </c>
      <c r="AF594" s="5" t="s">
        <v>631</v>
      </c>
    </row>
    <row r="595" spans="1:32" ht="15.65" customHeight="1" x14ac:dyDescent="0.35">
      <c r="A595" s="5" t="s">
        <v>175</v>
      </c>
      <c r="B595" s="5" t="s">
        <v>176</v>
      </c>
      <c r="C595" s="5" t="s">
        <v>47</v>
      </c>
      <c r="D595" s="5">
        <v>3000552</v>
      </c>
      <c r="E595" s="11">
        <v>3000552</v>
      </c>
      <c r="F595" s="11" t="s">
        <v>618</v>
      </c>
      <c r="G595" s="5" t="s">
        <v>618</v>
      </c>
      <c r="H595" s="5" t="s">
        <v>54</v>
      </c>
      <c r="I595" s="5">
        <v>9921093</v>
      </c>
      <c r="J595" s="6">
        <v>46112</v>
      </c>
      <c r="K595" s="6">
        <v>46112</v>
      </c>
      <c r="L595" s="6">
        <v>46170</v>
      </c>
      <c r="M595" s="7">
        <v>-38</v>
      </c>
      <c r="N595" s="7">
        <v>1579539</v>
      </c>
      <c r="O595" s="7">
        <v>0</v>
      </c>
      <c r="P595" s="7">
        <v>1579539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  <c r="Y595" s="5" t="s">
        <v>47</v>
      </c>
      <c r="Z595" s="6"/>
      <c r="AA595" s="5" t="s">
        <v>55</v>
      </c>
      <c r="AB595" s="5" t="s">
        <v>51</v>
      </c>
      <c r="AC595" s="5" t="s">
        <v>51</v>
      </c>
      <c r="AD595" s="5" t="s">
        <v>51</v>
      </c>
      <c r="AE595" s="5" t="s">
        <v>632</v>
      </c>
      <c r="AF595" s="5" t="s">
        <v>155</v>
      </c>
    </row>
    <row r="596" spans="1:32" ht="15.65" customHeight="1" x14ac:dyDescent="0.35">
      <c r="A596" s="5" t="s">
        <v>175</v>
      </c>
      <c r="B596" s="5" t="s">
        <v>176</v>
      </c>
      <c r="C596" s="5" t="s">
        <v>187</v>
      </c>
      <c r="D596" s="5">
        <v>3000552</v>
      </c>
      <c r="E596" s="11">
        <v>3100625</v>
      </c>
      <c r="F596" s="11" t="s">
        <v>618</v>
      </c>
      <c r="G596" s="5" t="s">
        <v>618</v>
      </c>
      <c r="H596" s="5" t="s">
        <v>54</v>
      </c>
      <c r="I596" s="5">
        <v>9925416</v>
      </c>
      <c r="J596" s="6">
        <v>46126</v>
      </c>
      <c r="K596" s="6">
        <v>46126</v>
      </c>
      <c r="L596" s="6">
        <v>46172</v>
      </c>
      <c r="M596" s="7">
        <v>-40</v>
      </c>
      <c r="N596" s="7">
        <v>72877831</v>
      </c>
      <c r="O596" s="7">
        <v>0</v>
      </c>
      <c r="P596" s="7">
        <v>72877831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7">
        <v>0</v>
      </c>
      <c r="W596" s="7">
        <v>0</v>
      </c>
      <c r="X596" s="7">
        <v>0</v>
      </c>
      <c r="Y596" s="5" t="s">
        <v>187</v>
      </c>
      <c r="Z596" s="6"/>
      <c r="AA596" s="5" t="s">
        <v>55</v>
      </c>
      <c r="AB596" s="5" t="s">
        <v>51</v>
      </c>
      <c r="AC596" s="5" t="s">
        <v>51</v>
      </c>
      <c r="AD596" s="5" t="s">
        <v>51</v>
      </c>
      <c r="AE596" s="5" t="s">
        <v>633</v>
      </c>
      <c r="AF596" s="5" t="s">
        <v>62</v>
      </c>
    </row>
    <row r="597" spans="1:32" ht="15.65" customHeight="1" x14ac:dyDescent="0.35">
      <c r="A597" s="5" t="s">
        <v>73</v>
      </c>
      <c r="B597" s="5" t="s">
        <v>74</v>
      </c>
      <c r="C597" s="5" t="s">
        <v>47</v>
      </c>
      <c r="D597" s="5">
        <v>3000904</v>
      </c>
      <c r="E597" s="11">
        <v>3000913</v>
      </c>
      <c r="F597" s="11" t="s">
        <v>634</v>
      </c>
      <c r="G597" s="5" t="s">
        <v>635</v>
      </c>
      <c r="H597" s="5" t="s">
        <v>54</v>
      </c>
      <c r="I597" s="5">
        <v>6959357</v>
      </c>
      <c r="J597" s="6">
        <v>46127</v>
      </c>
      <c r="K597" s="6">
        <v>46127</v>
      </c>
      <c r="L597" s="6">
        <v>46127</v>
      </c>
      <c r="M597" s="7">
        <v>5</v>
      </c>
      <c r="N597" s="7">
        <v>-2520963</v>
      </c>
      <c r="O597" s="7">
        <v>-2520963</v>
      </c>
      <c r="P597" s="7">
        <v>0</v>
      </c>
      <c r="Q597" s="7">
        <v>-2520963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5" t="s">
        <v>47</v>
      </c>
      <c r="Z597" s="6"/>
      <c r="AA597" s="5" t="s">
        <v>76</v>
      </c>
      <c r="AB597" s="5" t="s">
        <v>51</v>
      </c>
      <c r="AC597" s="5" t="s">
        <v>51</v>
      </c>
      <c r="AD597" s="5" t="s">
        <v>51</v>
      </c>
      <c r="AE597" s="5" t="s">
        <v>51</v>
      </c>
      <c r="AF597" s="5" t="s">
        <v>636</v>
      </c>
    </row>
    <row r="598" spans="1:32" ht="15.65" customHeight="1" x14ac:dyDescent="0.35">
      <c r="A598" s="5" t="s">
        <v>73</v>
      </c>
      <c r="B598" s="5" t="s">
        <v>74</v>
      </c>
      <c r="C598" s="5" t="s">
        <v>47</v>
      </c>
      <c r="D598" s="5">
        <v>3000904</v>
      </c>
      <c r="E598" s="11">
        <v>3000913</v>
      </c>
      <c r="F598" s="11" t="s">
        <v>634</v>
      </c>
      <c r="G598" s="5" t="s">
        <v>635</v>
      </c>
      <c r="H598" s="5" t="s">
        <v>54</v>
      </c>
      <c r="I598" s="5">
        <v>6959358</v>
      </c>
      <c r="J598" s="6">
        <v>46127</v>
      </c>
      <c r="K598" s="6">
        <v>46127</v>
      </c>
      <c r="L598" s="6">
        <v>46127</v>
      </c>
      <c r="M598" s="7">
        <v>5</v>
      </c>
      <c r="N598" s="7">
        <v>-2400000</v>
      </c>
      <c r="O598" s="7">
        <v>-2400000</v>
      </c>
      <c r="P598" s="7">
        <v>0</v>
      </c>
      <c r="Q598" s="7">
        <v>-2400000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5" t="s">
        <v>47</v>
      </c>
      <c r="Z598" s="6"/>
      <c r="AA598" s="5" t="s">
        <v>76</v>
      </c>
      <c r="AB598" s="5" t="s">
        <v>51</v>
      </c>
      <c r="AC598" s="5" t="s">
        <v>51</v>
      </c>
      <c r="AD598" s="5" t="s">
        <v>51</v>
      </c>
      <c r="AE598" s="5" t="s">
        <v>51</v>
      </c>
      <c r="AF598" s="5" t="s">
        <v>637</v>
      </c>
    </row>
    <row r="599" spans="1:32" ht="15.65" customHeight="1" x14ac:dyDescent="0.35">
      <c r="A599" s="5" t="s">
        <v>73</v>
      </c>
      <c r="B599" s="5" t="s">
        <v>74</v>
      </c>
      <c r="C599" s="5" t="s">
        <v>47</v>
      </c>
      <c r="D599" s="5">
        <v>3000904</v>
      </c>
      <c r="E599" s="11">
        <v>3000913</v>
      </c>
      <c r="F599" s="11" t="s">
        <v>634</v>
      </c>
      <c r="G599" s="5" t="s">
        <v>635</v>
      </c>
      <c r="H599" s="5" t="s">
        <v>54</v>
      </c>
      <c r="I599" s="5">
        <v>6959359</v>
      </c>
      <c r="J599" s="6">
        <v>46127</v>
      </c>
      <c r="K599" s="6">
        <v>46127</v>
      </c>
      <c r="L599" s="6">
        <v>46127</v>
      </c>
      <c r="M599" s="7">
        <v>5</v>
      </c>
      <c r="N599" s="7">
        <v>-2250000</v>
      </c>
      <c r="O599" s="7">
        <v>-2250000</v>
      </c>
      <c r="P599" s="7">
        <v>0</v>
      </c>
      <c r="Q599" s="7">
        <v>-2250000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5" t="s">
        <v>47</v>
      </c>
      <c r="Z599" s="6"/>
      <c r="AA599" s="5" t="s">
        <v>76</v>
      </c>
      <c r="AB599" s="5" t="s">
        <v>51</v>
      </c>
      <c r="AC599" s="5" t="s">
        <v>51</v>
      </c>
      <c r="AD599" s="5" t="s">
        <v>51</v>
      </c>
      <c r="AE599" s="5" t="s">
        <v>51</v>
      </c>
      <c r="AF599" s="5" t="s">
        <v>638</v>
      </c>
    </row>
    <row r="600" spans="1:32" ht="15.65" customHeight="1" x14ac:dyDescent="0.35">
      <c r="A600" s="5" t="s">
        <v>73</v>
      </c>
      <c r="B600" s="5" t="s">
        <v>74</v>
      </c>
      <c r="C600" s="5" t="s">
        <v>47</v>
      </c>
      <c r="D600" s="5">
        <v>3000904</v>
      </c>
      <c r="E600" s="11">
        <v>3000913</v>
      </c>
      <c r="F600" s="11" t="s">
        <v>634</v>
      </c>
      <c r="G600" s="5" t="s">
        <v>635</v>
      </c>
      <c r="H600" s="5" t="s">
        <v>54</v>
      </c>
      <c r="I600" s="5">
        <v>6959360</v>
      </c>
      <c r="J600" s="6">
        <v>46127</v>
      </c>
      <c r="K600" s="6">
        <v>46127</v>
      </c>
      <c r="L600" s="6">
        <v>46127</v>
      </c>
      <c r="M600" s="7">
        <v>5</v>
      </c>
      <c r="N600" s="7">
        <v>-6750000</v>
      </c>
      <c r="O600" s="7">
        <v>-6750000</v>
      </c>
      <c r="P600" s="7">
        <v>0</v>
      </c>
      <c r="Q600" s="7">
        <v>-6750000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5" t="s">
        <v>47</v>
      </c>
      <c r="Z600" s="6"/>
      <c r="AA600" s="5" t="s">
        <v>76</v>
      </c>
      <c r="AB600" s="5" t="s">
        <v>51</v>
      </c>
      <c r="AC600" s="5" t="s">
        <v>51</v>
      </c>
      <c r="AD600" s="5" t="s">
        <v>51</v>
      </c>
      <c r="AE600" s="5" t="s">
        <v>51</v>
      </c>
      <c r="AF600" s="5" t="s">
        <v>639</v>
      </c>
    </row>
    <row r="601" spans="1:32" ht="15.65" customHeight="1" x14ac:dyDescent="0.35">
      <c r="A601" s="5" t="s">
        <v>73</v>
      </c>
      <c r="B601" s="5" t="s">
        <v>74</v>
      </c>
      <c r="C601" s="5" t="s">
        <v>47</v>
      </c>
      <c r="D601" s="5">
        <v>3000904</v>
      </c>
      <c r="E601" s="11">
        <v>3000913</v>
      </c>
      <c r="F601" s="11" t="s">
        <v>634</v>
      </c>
      <c r="G601" s="5" t="s">
        <v>635</v>
      </c>
      <c r="H601" s="5" t="s">
        <v>54</v>
      </c>
      <c r="I601" s="5">
        <v>6959361</v>
      </c>
      <c r="J601" s="6">
        <v>46127</v>
      </c>
      <c r="K601" s="6">
        <v>46127</v>
      </c>
      <c r="L601" s="6">
        <v>46127</v>
      </c>
      <c r="M601" s="7">
        <v>5</v>
      </c>
      <c r="N601" s="7">
        <v>-6750000</v>
      </c>
      <c r="O601" s="7">
        <v>-6750000</v>
      </c>
      <c r="P601" s="7">
        <v>0</v>
      </c>
      <c r="Q601" s="7">
        <v>-6750000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5" t="s">
        <v>47</v>
      </c>
      <c r="Z601" s="6"/>
      <c r="AA601" s="5" t="s">
        <v>76</v>
      </c>
      <c r="AB601" s="5" t="s">
        <v>51</v>
      </c>
      <c r="AC601" s="5" t="s">
        <v>51</v>
      </c>
      <c r="AD601" s="5" t="s">
        <v>51</v>
      </c>
      <c r="AE601" s="5" t="s">
        <v>51</v>
      </c>
      <c r="AF601" s="5" t="s">
        <v>640</v>
      </c>
    </row>
    <row r="602" spans="1:32" ht="15.65" customHeight="1" x14ac:dyDescent="0.35">
      <c r="A602" s="5" t="s">
        <v>73</v>
      </c>
      <c r="B602" s="5" t="s">
        <v>74</v>
      </c>
      <c r="C602" s="5" t="s">
        <v>47</v>
      </c>
      <c r="D602" s="5">
        <v>3000904</v>
      </c>
      <c r="E602" s="11">
        <v>3000913</v>
      </c>
      <c r="F602" s="11" t="s">
        <v>634</v>
      </c>
      <c r="G602" s="5" t="s">
        <v>635</v>
      </c>
      <c r="H602" s="5" t="s">
        <v>54</v>
      </c>
      <c r="I602" s="5">
        <v>6959866</v>
      </c>
      <c r="J602" s="6">
        <v>46129</v>
      </c>
      <c r="K602" s="6">
        <v>46129</v>
      </c>
      <c r="L602" s="6">
        <v>46129</v>
      </c>
      <c r="M602" s="7">
        <v>3</v>
      </c>
      <c r="N602" s="7">
        <v>-153738619</v>
      </c>
      <c r="O602" s="7">
        <v>-153738619</v>
      </c>
      <c r="P602" s="7">
        <v>0</v>
      </c>
      <c r="Q602" s="7">
        <v>-153738619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5" t="s">
        <v>47</v>
      </c>
      <c r="Z602" s="6"/>
      <c r="AA602" s="5" t="s">
        <v>76</v>
      </c>
      <c r="AB602" s="5" t="s">
        <v>51</v>
      </c>
      <c r="AC602" s="5" t="s">
        <v>51</v>
      </c>
      <c r="AD602" s="5" t="s">
        <v>51</v>
      </c>
      <c r="AE602" s="5" t="s">
        <v>51</v>
      </c>
      <c r="AF602" s="5" t="s">
        <v>312</v>
      </c>
    </row>
    <row r="603" spans="1:32" ht="15.65" customHeight="1" x14ac:dyDescent="0.35">
      <c r="A603" s="5" t="s">
        <v>73</v>
      </c>
      <c r="B603" s="5" t="s">
        <v>74</v>
      </c>
      <c r="C603" s="5" t="s">
        <v>47</v>
      </c>
      <c r="D603" s="5">
        <v>3000904</v>
      </c>
      <c r="E603" s="11">
        <v>3000913</v>
      </c>
      <c r="F603" s="11" t="s">
        <v>634</v>
      </c>
      <c r="G603" s="5" t="s">
        <v>635</v>
      </c>
      <c r="H603" s="5" t="s">
        <v>54</v>
      </c>
      <c r="I603" s="5">
        <v>6960010</v>
      </c>
      <c r="J603" s="6">
        <v>46130</v>
      </c>
      <c r="K603" s="6">
        <v>46130</v>
      </c>
      <c r="L603" s="6">
        <v>46130</v>
      </c>
      <c r="M603" s="7">
        <v>2</v>
      </c>
      <c r="N603" s="7">
        <v>-1496473</v>
      </c>
      <c r="O603" s="7">
        <v>-1496473</v>
      </c>
      <c r="P603" s="7">
        <v>0</v>
      </c>
      <c r="Q603" s="7">
        <v>-1496473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5" t="s">
        <v>47</v>
      </c>
      <c r="Z603" s="6"/>
      <c r="AA603" s="5" t="s">
        <v>76</v>
      </c>
      <c r="AB603" s="5" t="s">
        <v>51</v>
      </c>
      <c r="AC603" s="5" t="s">
        <v>51</v>
      </c>
      <c r="AD603" s="5" t="s">
        <v>51</v>
      </c>
      <c r="AE603" s="5" t="s">
        <v>51</v>
      </c>
      <c r="AF603" s="5" t="s">
        <v>636</v>
      </c>
    </row>
    <row r="604" spans="1:32" ht="15.65" customHeight="1" x14ac:dyDescent="0.35">
      <c r="A604" s="5" t="s">
        <v>73</v>
      </c>
      <c r="B604" s="5" t="s">
        <v>74</v>
      </c>
      <c r="C604" s="5" t="s">
        <v>47</v>
      </c>
      <c r="D604" s="5">
        <v>3000904</v>
      </c>
      <c r="E604" s="11">
        <v>3000913</v>
      </c>
      <c r="F604" s="11" t="s">
        <v>634</v>
      </c>
      <c r="G604" s="5" t="s">
        <v>635</v>
      </c>
      <c r="H604" s="5" t="s">
        <v>54</v>
      </c>
      <c r="I604" s="5">
        <v>9920143</v>
      </c>
      <c r="J604" s="6">
        <v>46111</v>
      </c>
      <c r="K604" s="6">
        <v>46111</v>
      </c>
      <c r="L604" s="6">
        <v>46147</v>
      </c>
      <c r="M604" s="7">
        <v>-15</v>
      </c>
      <c r="N604" s="7">
        <v>515030757</v>
      </c>
      <c r="O604" s="7">
        <v>0</v>
      </c>
      <c r="P604" s="7">
        <v>515030757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5" t="s">
        <v>47</v>
      </c>
      <c r="Z604" s="6"/>
      <c r="AA604" s="5" t="s">
        <v>76</v>
      </c>
      <c r="AB604" s="5" t="s">
        <v>51</v>
      </c>
      <c r="AC604" s="5" t="s">
        <v>51</v>
      </c>
      <c r="AD604" s="5" t="s">
        <v>51</v>
      </c>
      <c r="AE604" s="5" t="s">
        <v>641</v>
      </c>
      <c r="AF604" s="5" t="s">
        <v>642</v>
      </c>
    </row>
    <row r="605" spans="1:32" ht="15.65" customHeight="1" x14ac:dyDescent="0.35">
      <c r="A605" s="5" t="s">
        <v>73</v>
      </c>
      <c r="B605" s="5" t="s">
        <v>74</v>
      </c>
      <c r="C605" s="5" t="s">
        <v>47</v>
      </c>
      <c r="D605" s="5">
        <v>3000904</v>
      </c>
      <c r="E605" s="5">
        <v>3000913</v>
      </c>
      <c r="F605" s="5" t="s">
        <v>634</v>
      </c>
      <c r="G605" s="5" t="s">
        <v>635</v>
      </c>
      <c r="H605" s="5" t="s">
        <v>54</v>
      </c>
      <c r="I605" s="5">
        <v>9920157</v>
      </c>
      <c r="J605" s="6">
        <v>46111</v>
      </c>
      <c r="K605" s="6">
        <v>46111</v>
      </c>
      <c r="L605" s="6">
        <v>46147</v>
      </c>
      <c r="M605" s="7">
        <v>-15</v>
      </c>
      <c r="N605" s="7">
        <v>137518451</v>
      </c>
      <c r="O605" s="7">
        <v>0</v>
      </c>
      <c r="P605" s="7">
        <v>137518451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0</v>
      </c>
      <c r="Y605" s="5" t="s">
        <v>47</v>
      </c>
      <c r="Z605" s="6"/>
      <c r="AA605" s="5" t="s">
        <v>76</v>
      </c>
      <c r="AB605" s="5" t="s">
        <v>51</v>
      </c>
      <c r="AC605" s="5" t="s">
        <v>51</v>
      </c>
      <c r="AD605" s="5" t="s">
        <v>51</v>
      </c>
      <c r="AE605" s="5" t="s">
        <v>643</v>
      </c>
      <c r="AF605" s="5" t="s">
        <v>334</v>
      </c>
    </row>
    <row r="606" spans="1:32" ht="15.65" customHeight="1" x14ac:dyDescent="0.35">
      <c r="A606" s="5" t="s">
        <v>73</v>
      </c>
      <c r="B606" s="5" t="s">
        <v>74</v>
      </c>
      <c r="C606" s="5" t="s">
        <v>47</v>
      </c>
      <c r="D606" s="5">
        <v>3000904</v>
      </c>
      <c r="E606" s="11">
        <v>3000913</v>
      </c>
      <c r="F606" s="11" t="s">
        <v>634</v>
      </c>
      <c r="G606" s="5" t="s">
        <v>635</v>
      </c>
      <c r="H606" s="5" t="s">
        <v>54</v>
      </c>
      <c r="I606" s="5">
        <v>9920158</v>
      </c>
      <c r="J606" s="6">
        <v>46111</v>
      </c>
      <c r="K606" s="6">
        <v>46111</v>
      </c>
      <c r="L606" s="6">
        <v>46147</v>
      </c>
      <c r="M606" s="7">
        <v>-15</v>
      </c>
      <c r="N606" s="7">
        <v>3948847</v>
      </c>
      <c r="O606" s="7">
        <v>0</v>
      </c>
      <c r="P606" s="7">
        <v>3948847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5" t="s">
        <v>47</v>
      </c>
      <c r="Z606" s="6"/>
      <c r="AA606" s="5" t="s">
        <v>76</v>
      </c>
      <c r="AB606" s="5" t="s">
        <v>51</v>
      </c>
      <c r="AC606" s="5" t="s">
        <v>51</v>
      </c>
      <c r="AD606" s="5" t="s">
        <v>51</v>
      </c>
      <c r="AE606" s="5" t="s">
        <v>644</v>
      </c>
      <c r="AF606" s="5" t="s">
        <v>320</v>
      </c>
    </row>
    <row r="607" spans="1:32" ht="15.65" customHeight="1" x14ac:dyDescent="0.35">
      <c r="A607" s="5" t="s">
        <v>73</v>
      </c>
      <c r="B607" s="5" t="s">
        <v>74</v>
      </c>
      <c r="C607" s="5" t="s">
        <v>47</v>
      </c>
      <c r="D607" s="5">
        <v>3000904</v>
      </c>
      <c r="E607" s="11">
        <v>3000913</v>
      </c>
      <c r="F607" s="11" t="s">
        <v>634</v>
      </c>
      <c r="G607" s="5" t="s">
        <v>635</v>
      </c>
      <c r="H607" s="5" t="s">
        <v>54</v>
      </c>
      <c r="I607" s="5">
        <v>9922179</v>
      </c>
      <c r="J607" s="6">
        <v>46116</v>
      </c>
      <c r="K607" s="6">
        <v>46116</v>
      </c>
      <c r="L607" s="6">
        <v>46152</v>
      </c>
      <c r="M607" s="7">
        <v>-20</v>
      </c>
      <c r="N607" s="7">
        <v>483100993</v>
      </c>
      <c r="O607" s="7">
        <v>0</v>
      </c>
      <c r="P607" s="7">
        <v>483100993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0</v>
      </c>
      <c r="Y607" s="5" t="s">
        <v>47</v>
      </c>
      <c r="Z607" s="6"/>
      <c r="AA607" s="5" t="s">
        <v>76</v>
      </c>
      <c r="AB607" s="5" t="s">
        <v>51</v>
      </c>
      <c r="AC607" s="5" t="s">
        <v>51</v>
      </c>
      <c r="AD607" s="5" t="s">
        <v>51</v>
      </c>
      <c r="AE607" s="5" t="s">
        <v>645</v>
      </c>
      <c r="AF607" s="5" t="s">
        <v>646</v>
      </c>
    </row>
    <row r="608" spans="1:32" ht="15.65" customHeight="1" x14ac:dyDescent="0.35">
      <c r="A608" s="5" t="s">
        <v>73</v>
      </c>
      <c r="B608" s="5" t="s">
        <v>74</v>
      </c>
      <c r="C608" s="5" t="s">
        <v>47</v>
      </c>
      <c r="D608" s="5">
        <v>3000904</v>
      </c>
      <c r="E608" s="11">
        <v>3000913</v>
      </c>
      <c r="F608" s="11" t="s">
        <v>634</v>
      </c>
      <c r="G608" s="5" t="s">
        <v>635</v>
      </c>
      <c r="H608" s="5" t="s">
        <v>54</v>
      </c>
      <c r="I608" s="5">
        <v>9922182</v>
      </c>
      <c r="J608" s="6">
        <v>46116</v>
      </c>
      <c r="K608" s="6">
        <v>46116</v>
      </c>
      <c r="L608" s="6">
        <v>46152</v>
      </c>
      <c r="M608" s="7">
        <v>-20</v>
      </c>
      <c r="N608" s="7">
        <v>1088191</v>
      </c>
      <c r="O608" s="7">
        <v>0</v>
      </c>
      <c r="P608" s="7">
        <v>1088191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0</v>
      </c>
      <c r="Y608" s="5" t="s">
        <v>47</v>
      </c>
      <c r="Z608" s="6"/>
      <c r="AA608" s="5" t="s">
        <v>76</v>
      </c>
      <c r="AB608" s="5" t="s">
        <v>51</v>
      </c>
      <c r="AC608" s="5" t="s">
        <v>51</v>
      </c>
      <c r="AD608" s="5" t="s">
        <v>51</v>
      </c>
      <c r="AE608" s="5" t="s">
        <v>157</v>
      </c>
      <c r="AF608" s="5" t="s">
        <v>158</v>
      </c>
    </row>
    <row r="609" spans="1:32" ht="15.65" customHeight="1" x14ac:dyDescent="0.35">
      <c r="A609" s="5" t="s">
        <v>73</v>
      </c>
      <c r="B609" s="5" t="s">
        <v>74</v>
      </c>
      <c r="C609" s="5" t="s">
        <v>47</v>
      </c>
      <c r="D609" s="5">
        <v>3000904</v>
      </c>
      <c r="E609" s="11">
        <v>3000913</v>
      </c>
      <c r="F609" s="11" t="s">
        <v>634</v>
      </c>
      <c r="G609" s="5" t="s">
        <v>635</v>
      </c>
      <c r="H609" s="5" t="s">
        <v>54</v>
      </c>
      <c r="I609" s="5">
        <v>9924268</v>
      </c>
      <c r="J609" s="6">
        <v>46123</v>
      </c>
      <c r="K609" s="6">
        <v>46123</v>
      </c>
      <c r="L609" s="6">
        <v>46159</v>
      </c>
      <c r="M609" s="7">
        <v>-27</v>
      </c>
      <c r="N609" s="7">
        <v>1921916</v>
      </c>
      <c r="O609" s="7">
        <v>0</v>
      </c>
      <c r="P609" s="7">
        <v>1921916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5" t="s">
        <v>47</v>
      </c>
      <c r="Z609" s="6"/>
      <c r="AA609" s="5" t="s">
        <v>76</v>
      </c>
      <c r="AB609" s="5" t="s">
        <v>51</v>
      </c>
      <c r="AC609" s="5" t="s">
        <v>51</v>
      </c>
      <c r="AD609" s="5" t="s">
        <v>51</v>
      </c>
      <c r="AE609" s="5" t="s">
        <v>647</v>
      </c>
      <c r="AF609" s="5" t="s">
        <v>163</v>
      </c>
    </row>
    <row r="610" spans="1:32" ht="15.65" customHeight="1" x14ac:dyDescent="0.35">
      <c r="A610" s="5" t="s">
        <v>73</v>
      </c>
      <c r="B610" s="5" t="s">
        <v>74</v>
      </c>
      <c r="C610" s="5" t="s">
        <v>47</v>
      </c>
      <c r="D610" s="5">
        <v>3000904</v>
      </c>
      <c r="E610" s="11">
        <v>3000913</v>
      </c>
      <c r="F610" s="11" t="s">
        <v>634</v>
      </c>
      <c r="G610" s="5" t="s">
        <v>635</v>
      </c>
      <c r="H610" s="5" t="s">
        <v>54</v>
      </c>
      <c r="I610" s="5">
        <v>9924285</v>
      </c>
      <c r="J610" s="6">
        <v>46123</v>
      </c>
      <c r="K610" s="6">
        <v>46123</v>
      </c>
      <c r="L610" s="6">
        <v>46159</v>
      </c>
      <c r="M610" s="7">
        <v>-27</v>
      </c>
      <c r="N610" s="7">
        <v>484927504</v>
      </c>
      <c r="O610" s="7">
        <v>0</v>
      </c>
      <c r="P610" s="7">
        <v>484927504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5" t="s">
        <v>47</v>
      </c>
      <c r="Z610" s="6"/>
      <c r="AA610" s="5" t="s">
        <v>76</v>
      </c>
      <c r="AB610" s="5" t="s">
        <v>51</v>
      </c>
      <c r="AC610" s="5" t="s">
        <v>51</v>
      </c>
      <c r="AD610" s="5" t="s">
        <v>51</v>
      </c>
      <c r="AE610" s="5" t="s">
        <v>648</v>
      </c>
      <c r="AF610" s="5" t="s">
        <v>165</v>
      </c>
    </row>
    <row r="611" spans="1:32" ht="15.65" customHeight="1" x14ac:dyDescent="0.35">
      <c r="A611" s="5" t="s">
        <v>73</v>
      </c>
      <c r="B611" s="5" t="s">
        <v>74</v>
      </c>
      <c r="C611" s="5" t="s">
        <v>47</v>
      </c>
      <c r="D611" s="5">
        <v>3000904</v>
      </c>
      <c r="E611" s="11">
        <v>3000913</v>
      </c>
      <c r="F611" s="11" t="s">
        <v>634</v>
      </c>
      <c r="G611" s="5" t="s">
        <v>635</v>
      </c>
      <c r="H611" s="5" t="s">
        <v>140</v>
      </c>
      <c r="I611" s="5">
        <v>9926625</v>
      </c>
      <c r="J611" s="6">
        <v>46129</v>
      </c>
      <c r="K611" s="6">
        <v>46129</v>
      </c>
      <c r="L611" s="6">
        <v>46164</v>
      </c>
      <c r="M611" s="7">
        <v>-32</v>
      </c>
      <c r="N611" s="7">
        <v>1019819</v>
      </c>
      <c r="O611" s="7">
        <v>0</v>
      </c>
      <c r="P611" s="7">
        <v>1019819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5" t="s">
        <v>47</v>
      </c>
      <c r="Z611" s="6"/>
      <c r="AA611" s="5" t="s">
        <v>76</v>
      </c>
      <c r="AB611" s="5" t="s">
        <v>51</v>
      </c>
      <c r="AC611" s="5" t="s">
        <v>51</v>
      </c>
      <c r="AD611" s="5" t="s">
        <v>51</v>
      </c>
      <c r="AE611" s="5" t="s">
        <v>649</v>
      </c>
      <c r="AF611" s="5" t="s">
        <v>155</v>
      </c>
    </row>
    <row r="612" spans="1:32" ht="15.65" customHeight="1" x14ac:dyDescent="0.35">
      <c r="A612" s="5" t="s">
        <v>73</v>
      </c>
      <c r="B612" s="5" t="s">
        <v>74</v>
      </c>
      <c r="C612" s="5" t="s">
        <v>47</v>
      </c>
      <c r="D612" s="5">
        <v>3000904</v>
      </c>
      <c r="E612" s="11">
        <v>3000913</v>
      </c>
      <c r="F612" s="11" t="s">
        <v>634</v>
      </c>
      <c r="G612" s="5" t="s">
        <v>635</v>
      </c>
      <c r="H612" s="5" t="s">
        <v>54</v>
      </c>
      <c r="I612" s="5">
        <v>9927516</v>
      </c>
      <c r="J612" s="6">
        <v>46131</v>
      </c>
      <c r="K612" s="6">
        <v>46131</v>
      </c>
      <c r="L612" s="6">
        <v>46167</v>
      </c>
      <c r="M612" s="7">
        <v>-35</v>
      </c>
      <c r="N612" s="7">
        <v>478375237</v>
      </c>
      <c r="O612" s="7">
        <v>0</v>
      </c>
      <c r="P612" s="7">
        <v>478375237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5" t="s">
        <v>47</v>
      </c>
      <c r="Z612" s="6"/>
      <c r="AA612" s="5" t="s">
        <v>76</v>
      </c>
      <c r="AB612" s="5" t="s">
        <v>51</v>
      </c>
      <c r="AC612" s="5" t="s">
        <v>51</v>
      </c>
      <c r="AD612" s="5" t="s">
        <v>51</v>
      </c>
      <c r="AE612" s="5" t="s">
        <v>650</v>
      </c>
      <c r="AF612" s="5" t="s">
        <v>174</v>
      </c>
    </row>
    <row r="613" spans="1:32" ht="15.65" customHeight="1" x14ac:dyDescent="0.35">
      <c r="A613" s="5" t="s">
        <v>651</v>
      </c>
      <c r="B613" s="5" t="s">
        <v>652</v>
      </c>
      <c r="C613" s="5" t="s">
        <v>47</v>
      </c>
      <c r="D613" s="5">
        <v>3000920</v>
      </c>
      <c r="E613" s="11">
        <v>3100452</v>
      </c>
      <c r="F613" s="11" t="s">
        <v>653</v>
      </c>
      <c r="G613" s="5" t="s">
        <v>654</v>
      </c>
      <c r="H613" s="5" t="s">
        <v>54</v>
      </c>
      <c r="I613" s="5">
        <v>6958654</v>
      </c>
      <c r="J613" s="6">
        <v>46122</v>
      </c>
      <c r="K613" s="6">
        <v>46122</v>
      </c>
      <c r="L613" s="6">
        <v>46122</v>
      </c>
      <c r="M613" s="7">
        <v>10</v>
      </c>
      <c r="N613" s="7">
        <v>-1112245</v>
      </c>
      <c r="O613" s="7">
        <v>-1112245</v>
      </c>
      <c r="P613" s="7">
        <v>0</v>
      </c>
      <c r="Q613" s="7">
        <v>-1112245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5" t="s">
        <v>596</v>
      </c>
      <c r="Z613" s="6"/>
      <c r="AA613" s="5" t="s">
        <v>55</v>
      </c>
      <c r="AB613" s="5" t="s">
        <v>51</v>
      </c>
      <c r="AC613" s="5" t="s">
        <v>51</v>
      </c>
      <c r="AD613" s="5" t="s">
        <v>51</v>
      </c>
      <c r="AE613" s="5" t="s">
        <v>51</v>
      </c>
      <c r="AF613" s="5" t="s">
        <v>655</v>
      </c>
    </row>
    <row r="614" spans="1:32" ht="15.65" customHeight="1" x14ac:dyDescent="0.35">
      <c r="A614" s="5" t="s">
        <v>651</v>
      </c>
      <c r="B614" s="5" t="s">
        <v>652</v>
      </c>
      <c r="C614" s="5" t="s">
        <v>47</v>
      </c>
      <c r="D614" s="5">
        <v>3000920</v>
      </c>
      <c r="E614" s="11">
        <v>3100452</v>
      </c>
      <c r="F614" s="11" t="s">
        <v>653</v>
      </c>
      <c r="G614" s="5" t="s">
        <v>654</v>
      </c>
      <c r="H614" s="5" t="s">
        <v>54</v>
      </c>
      <c r="I614" s="5">
        <v>6959344</v>
      </c>
      <c r="J614" s="6">
        <v>46126</v>
      </c>
      <c r="K614" s="6">
        <v>46126</v>
      </c>
      <c r="L614" s="6">
        <v>46126</v>
      </c>
      <c r="M614" s="7">
        <v>6</v>
      </c>
      <c r="N614" s="7">
        <v>-2224490</v>
      </c>
      <c r="O614" s="7">
        <v>-2224490</v>
      </c>
      <c r="P614" s="7">
        <v>0</v>
      </c>
      <c r="Q614" s="7">
        <v>-2224490</v>
      </c>
      <c r="R614" s="7">
        <v>0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5" t="s">
        <v>596</v>
      </c>
      <c r="Z614" s="6"/>
      <c r="AA614" s="5" t="s">
        <v>55</v>
      </c>
      <c r="AB614" s="5" t="s">
        <v>51</v>
      </c>
      <c r="AC614" s="5" t="s">
        <v>51</v>
      </c>
      <c r="AD614" s="5" t="s">
        <v>51</v>
      </c>
      <c r="AE614" s="5" t="s">
        <v>51</v>
      </c>
      <c r="AF614" s="5" t="s">
        <v>655</v>
      </c>
    </row>
    <row r="615" spans="1:32" ht="15.65" customHeight="1" x14ac:dyDescent="0.35">
      <c r="A615" s="5" t="s">
        <v>651</v>
      </c>
      <c r="B615" s="5" t="s">
        <v>652</v>
      </c>
      <c r="C615" s="5" t="s">
        <v>596</v>
      </c>
      <c r="D615" s="5">
        <v>3000920</v>
      </c>
      <c r="E615" s="11">
        <v>3100452</v>
      </c>
      <c r="F615" s="11" t="s">
        <v>653</v>
      </c>
      <c r="G615" s="5" t="s">
        <v>654</v>
      </c>
      <c r="H615" s="5" t="s">
        <v>54</v>
      </c>
      <c r="I615" s="5">
        <v>9914570</v>
      </c>
      <c r="J615" s="6">
        <v>46094</v>
      </c>
      <c r="K615" s="6">
        <v>46094</v>
      </c>
      <c r="L615" s="6">
        <v>46140</v>
      </c>
      <c r="M615" s="7">
        <v>-8</v>
      </c>
      <c r="N615" s="7">
        <v>127178947</v>
      </c>
      <c r="O615" s="7">
        <v>0</v>
      </c>
      <c r="P615" s="7">
        <v>127178947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5" t="s">
        <v>596</v>
      </c>
      <c r="Z615" s="6"/>
      <c r="AA615" s="5" t="s">
        <v>55</v>
      </c>
      <c r="AB615" s="5" t="s">
        <v>51</v>
      </c>
      <c r="AC615" s="5" t="s">
        <v>51</v>
      </c>
      <c r="AD615" s="5" t="s">
        <v>656</v>
      </c>
      <c r="AE615" s="5" t="s">
        <v>51</v>
      </c>
      <c r="AF615" s="5" t="s">
        <v>657</v>
      </c>
    </row>
    <row r="616" spans="1:32" ht="15.65" customHeight="1" x14ac:dyDescent="0.35">
      <c r="A616" s="5" t="s">
        <v>651</v>
      </c>
      <c r="B616" s="5" t="s">
        <v>652</v>
      </c>
      <c r="C616" s="5" t="s">
        <v>596</v>
      </c>
      <c r="D616" s="5">
        <v>3000920</v>
      </c>
      <c r="E616" s="11">
        <v>3100452</v>
      </c>
      <c r="F616" s="11" t="s">
        <v>653</v>
      </c>
      <c r="G616" s="5" t="s">
        <v>654</v>
      </c>
      <c r="H616" s="5" t="s">
        <v>54</v>
      </c>
      <c r="I616" s="5">
        <v>9919657</v>
      </c>
      <c r="J616" s="6">
        <v>46109</v>
      </c>
      <c r="K616" s="6">
        <v>46109</v>
      </c>
      <c r="L616" s="6">
        <v>46155</v>
      </c>
      <c r="M616" s="7">
        <v>-23</v>
      </c>
      <c r="N616" s="7">
        <v>213523106</v>
      </c>
      <c r="O616" s="7">
        <v>0</v>
      </c>
      <c r="P616" s="7">
        <v>213523106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5" t="s">
        <v>596</v>
      </c>
      <c r="Z616" s="6"/>
      <c r="AA616" s="5" t="s">
        <v>55</v>
      </c>
      <c r="AB616" s="5" t="s">
        <v>51</v>
      </c>
      <c r="AC616" s="5" t="s">
        <v>51</v>
      </c>
      <c r="AD616" s="5" t="s">
        <v>51</v>
      </c>
      <c r="AE616" s="5" t="s">
        <v>658</v>
      </c>
      <c r="AF616" s="5" t="s">
        <v>281</v>
      </c>
    </row>
    <row r="617" spans="1:32" ht="15.65" customHeight="1" x14ac:dyDescent="0.35">
      <c r="A617" s="5" t="s">
        <v>651</v>
      </c>
      <c r="B617" s="5" t="s">
        <v>652</v>
      </c>
      <c r="C617" s="5" t="s">
        <v>596</v>
      </c>
      <c r="D617" s="5">
        <v>3000920</v>
      </c>
      <c r="E617" s="11">
        <v>3100452</v>
      </c>
      <c r="F617" s="11" t="s">
        <v>653</v>
      </c>
      <c r="G617" s="5" t="s">
        <v>654</v>
      </c>
      <c r="H617" s="5" t="s">
        <v>54</v>
      </c>
      <c r="I617" s="5">
        <v>9920803</v>
      </c>
      <c r="J617" s="6">
        <v>46112</v>
      </c>
      <c r="K617" s="6">
        <v>46112</v>
      </c>
      <c r="L617" s="6">
        <v>46158</v>
      </c>
      <c r="M617" s="7">
        <v>-26</v>
      </c>
      <c r="N617" s="7">
        <v>298006445</v>
      </c>
      <c r="O617" s="7">
        <v>0</v>
      </c>
      <c r="P617" s="7">
        <v>298006445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5" t="s">
        <v>596</v>
      </c>
      <c r="Z617" s="6"/>
      <c r="AA617" s="5" t="s">
        <v>55</v>
      </c>
      <c r="AB617" s="5" t="s">
        <v>51</v>
      </c>
      <c r="AC617" s="5" t="s">
        <v>51</v>
      </c>
      <c r="AD617" s="5" t="s">
        <v>51</v>
      </c>
      <c r="AE617" s="5" t="s">
        <v>659</v>
      </c>
      <c r="AF617" s="5" t="s">
        <v>660</v>
      </c>
    </row>
    <row r="618" spans="1:32" ht="15.65" customHeight="1" x14ac:dyDescent="0.35">
      <c r="A618" s="5" t="s">
        <v>651</v>
      </c>
      <c r="B618" s="5" t="s">
        <v>652</v>
      </c>
      <c r="C618" s="5" t="s">
        <v>596</v>
      </c>
      <c r="D618" s="5">
        <v>3000920</v>
      </c>
      <c r="E618" s="11">
        <v>3100452</v>
      </c>
      <c r="F618" s="11" t="s">
        <v>653</v>
      </c>
      <c r="G618" s="5" t="s">
        <v>654</v>
      </c>
      <c r="H618" s="5" t="s">
        <v>54</v>
      </c>
      <c r="I618" s="5">
        <v>9920806</v>
      </c>
      <c r="J618" s="6">
        <v>46112</v>
      </c>
      <c r="K618" s="6">
        <v>46112</v>
      </c>
      <c r="L618" s="6">
        <v>46158</v>
      </c>
      <c r="M618" s="7">
        <v>-26</v>
      </c>
      <c r="N618" s="7">
        <v>1579539</v>
      </c>
      <c r="O618" s="7">
        <v>0</v>
      </c>
      <c r="P618" s="7">
        <v>1579539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5" t="s">
        <v>596</v>
      </c>
      <c r="Z618" s="6"/>
      <c r="AA618" s="5" t="s">
        <v>55</v>
      </c>
      <c r="AB618" s="5" t="s">
        <v>51</v>
      </c>
      <c r="AC618" s="5" t="s">
        <v>51</v>
      </c>
      <c r="AD618" s="5" t="s">
        <v>51</v>
      </c>
      <c r="AE618" s="5" t="s">
        <v>632</v>
      </c>
      <c r="AF618" s="5" t="s">
        <v>155</v>
      </c>
    </row>
    <row r="619" spans="1:32" ht="15.65" customHeight="1" x14ac:dyDescent="0.35">
      <c r="A619" s="5" t="s">
        <v>651</v>
      </c>
      <c r="B619" s="5" t="s">
        <v>652</v>
      </c>
      <c r="C619" s="5" t="s">
        <v>596</v>
      </c>
      <c r="D619" s="5">
        <v>3000920</v>
      </c>
      <c r="E619" s="11">
        <v>3100452</v>
      </c>
      <c r="F619" s="11" t="s">
        <v>653</v>
      </c>
      <c r="G619" s="5" t="s">
        <v>654</v>
      </c>
      <c r="H619" s="5" t="s">
        <v>54</v>
      </c>
      <c r="I619" s="5">
        <v>9922530</v>
      </c>
      <c r="J619" s="6">
        <v>46119</v>
      </c>
      <c r="K619" s="6">
        <v>46119</v>
      </c>
      <c r="L619" s="6">
        <v>46165</v>
      </c>
      <c r="M619" s="7">
        <v>-33</v>
      </c>
      <c r="N619" s="7">
        <v>221416859</v>
      </c>
      <c r="O619" s="7">
        <v>0</v>
      </c>
      <c r="P619" s="7">
        <v>221416859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5" t="s">
        <v>596</v>
      </c>
      <c r="Z619" s="6"/>
      <c r="AA619" s="5" t="s">
        <v>55</v>
      </c>
      <c r="AB619" s="5" t="s">
        <v>51</v>
      </c>
      <c r="AC619" s="5" t="s">
        <v>51</v>
      </c>
      <c r="AD619" s="5" t="s">
        <v>51</v>
      </c>
      <c r="AE619" s="5" t="s">
        <v>661</v>
      </c>
      <c r="AF619" s="5" t="s">
        <v>662</v>
      </c>
    </row>
    <row r="620" spans="1:32" ht="15.65" customHeight="1" x14ac:dyDescent="0.35">
      <c r="A620" s="5" t="s">
        <v>651</v>
      </c>
      <c r="B620" s="5" t="s">
        <v>652</v>
      </c>
      <c r="C620" s="5" t="s">
        <v>596</v>
      </c>
      <c r="D620" s="5">
        <v>3000920</v>
      </c>
      <c r="E620" s="11">
        <v>3100452</v>
      </c>
      <c r="F620" s="11" t="s">
        <v>653</v>
      </c>
      <c r="G620" s="5" t="s">
        <v>654</v>
      </c>
      <c r="H620" s="5" t="s">
        <v>54</v>
      </c>
      <c r="I620" s="5">
        <v>9926428</v>
      </c>
      <c r="J620" s="6">
        <v>46128</v>
      </c>
      <c r="K620" s="6">
        <v>46128</v>
      </c>
      <c r="L620" s="6">
        <v>46174</v>
      </c>
      <c r="M620" s="7">
        <v>-42</v>
      </c>
      <c r="N620" s="7">
        <v>199884820</v>
      </c>
      <c r="O620" s="7">
        <v>0</v>
      </c>
      <c r="P620" s="7">
        <v>199884820</v>
      </c>
      <c r="Q620" s="7">
        <v>0</v>
      </c>
      <c r="R620" s="7">
        <v>0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  <c r="Y620" s="5" t="s">
        <v>596</v>
      </c>
      <c r="Z620" s="6"/>
      <c r="AA620" s="5" t="s">
        <v>55</v>
      </c>
      <c r="AB620" s="5" t="s">
        <v>51</v>
      </c>
      <c r="AC620" s="5" t="s">
        <v>51</v>
      </c>
      <c r="AD620" s="5" t="s">
        <v>51</v>
      </c>
      <c r="AE620" s="5" t="s">
        <v>663</v>
      </c>
      <c r="AF620" s="5" t="s">
        <v>69</v>
      </c>
    </row>
    <row r="621" spans="1:32" ht="15.65" customHeight="1" x14ac:dyDescent="0.35">
      <c r="A621" s="5" t="s">
        <v>651</v>
      </c>
      <c r="B621" s="5" t="s">
        <v>652</v>
      </c>
      <c r="C621" s="5" t="s">
        <v>596</v>
      </c>
      <c r="D621" s="5">
        <v>3000920</v>
      </c>
      <c r="E621" s="5">
        <v>3100452</v>
      </c>
      <c r="F621" s="5" t="s">
        <v>653</v>
      </c>
      <c r="G621" s="5" t="s">
        <v>654</v>
      </c>
      <c r="H621" s="5" t="s">
        <v>54</v>
      </c>
      <c r="I621" s="5">
        <v>9926436</v>
      </c>
      <c r="J621" s="6">
        <v>46128</v>
      </c>
      <c r="K621" s="6">
        <v>46128</v>
      </c>
      <c r="L621" s="6">
        <v>46174</v>
      </c>
      <c r="M621" s="7">
        <v>-42</v>
      </c>
      <c r="N621" s="7">
        <v>3159078</v>
      </c>
      <c r="O621" s="7">
        <v>0</v>
      </c>
      <c r="P621" s="7">
        <v>3159078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5" t="s">
        <v>596</v>
      </c>
      <c r="Z621" s="6"/>
      <c r="AA621" s="5" t="s">
        <v>55</v>
      </c>
      <c r="AB621" s="5" t="s">
        <v>51</v>
      </c>
      <c r="AC621" s="5" t="s">
        <v>51</v>
      </c>
      <c r="AD621" s="5" t="s">
        <v>51</v>
      </c>
      <c r="AE621" s="5" t="s">
        <v>664</v>
      </c>
      <c r="AF621" s="5" t="s">
        <v>320</v>
      </c>
    </row>
    <row r="622" spans="1:32" ht="15.65" customHeight="1" x14ac:dyDescent="0.35">
      <c r="A622" s="5" t="s">
        <v>73</v>
      </c>
      <c r="B622" s="5" t="s">
        <v>74</v>
      </c>
      <c r="C622" s="5" t="s">
        <v>47</v>
      </c>
      <c r="D622" s="5">
        <v>3000952</v>
      </c>
      <c r="E622" s="11">
        <v>3000952</v>
      </c>
      <c r="F622" s="11" t="s">
        <v>665</v>
      </c>
      <c r="G622" s="5" t="s">
        <v>665</v>
      </c>
      <c r="H622" s="5" t="s">
        <v>54</v>
      </c>
      <c r="I622" s="5">
        <v>6953946</v>
      </c>
      <c r="J622" s="6">
        <v>46085</v>
      </c>
      <c r="K622" s="6">
        <v>46085</v>
      </c>
      <c r="L622" s="6">
        <v>46085</v>
      </c>
      <c r="M622" s="7">
        <v>47</v>
      </c>
      <c r="N622" s="7">
        <v>-109000</v>
      </c>
      <c r="O622" s="7">
        <v>-109000</v>
      </c>
      <c r="P622" s="7">
        <v>0</v>
      </c>
      <c r="Q622" s="7">
        <v>0</v>
      </c>
      <c r="R622" s="7">
        <v>-109000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  <c r="X622" s="7">
        <v>0</v>
      </c>
      <c r="Y622" s="5" t="s">
        <v>47</v>
      </c>
      <c r="Z622" s="6"/>
      <c r="AA622" s="5" t="s">
        <v>501</v>
      </c>
      <c r="AB622" s="5" t="s">
        <v>51</v>
      </c>
      <c r="AC622" s="5" t="s">
        <v>51</v>
      </c>
      <c r="AD622" s="5" t="s">
        <v>51</v>
      </c>
      <c r="AE622" s="5" t="s">
        <v>51</v>
      </c>
      <c r="AF622" s="5" t="s">
        <v>666</v>
      </c>
    </row>
    <row r="623" spans="1:32" ht="15.65" customHeight="1" x14ac:dyDescent="0.35">
      <c r="A623" s="5" t="s">
        <v>73</v>
      </c>
      <c r="B623" s="5" t="s">
        <v>74</v>
      </c>
      <c r="C623" s="5" t="s">
        <v>47</v>
      </c>
      <c r="D623" s="5">
        <v>3000952</v>
      </c>
      <c r="E623" s="11">
        <v>3000952</v>
      </c>
      <c r="F623" s="11" t="s">
        <v>665</v>
      </c>
      <c r="G623" s="5" t="s">
        <v>665</v>
      </c>
      <c r="H623" s="5" t="s">
        <v>54</v>
      </c>
      <c r="I623" s="5">
        <v>6953947</v>
      </c>
      <c r="J623" s="6">
        <v>46085</v>
      </c>
      <c r="K623" s="6">
        <v>46085</v>
      </c>
      <c r="L623" s="6">
        <v>46085</v>
      </c>
      <c r="M623" s="7">
        <v>47</v>
      </c>
      <c r="N623" s="7">
        <v>-109000</v>
      </c>
      <c r="O623" s="7">
        <v>-109000</v>
      </c>
      <c r="P623" s="7">
        <v>0</v>
      </c>
      <c r="Q623" s="7">
        <v>0</v>
      </c>
      <c r="R623" s="7">
        <v>-109000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5" t="s">
        <v>47</v>
      </c>
      <c r="Z623" s="6"/>
      <c r="AA623" s="5" t="s">
        <v>501</v>
      </c>
      <c r="AB623" s="5" t="s">
        <v>51</v>
      </c>
      <c r="AC623" s="5" t="s">
        <v>51</v>
      </c>
      <c r="AD623" s="5" t="s">
        <v>51</v>
      </c>
      <c r="AE623" s="5" t="s">
        <v>51</v>
      </c>
      <c r="AF623" s="5" t="s">
        <v>667</v>
      </c>
    </row>
    <row r="624" spans="1:32" ht="15.65" customHeight="1" x14ac:dyDescent="0.35">
      <c r="A624" s="5" t="s">
        <v>73</v>
      </c>
      <c r="B624" s="5" t="s">
        <v>74</v>
      </c>
      <c r="C624" s="5" t="s">
        <v>47</v>
      </c>
      <c r="D624" s="5">
        <v>3000952</v>
      </c>
      <c r="E624" s="11">
        <v>3000950</v>
      </c>
      <c r="F624" s="11" t="s">
        <v>665</v>
      </c>
      <c r="G624" s="5" t="s">
        <v>665</v>
      </c>
      <c r="H624" s="5" t="s">
        <v>54</v>
      </c>
      <c r="I624" s="5">
        <v>6955179</v>
      </c>
      <c r="J624" s="6">
        <v>46093</v>
      </c>
      <c r="K624" s="6">
        <v>46093</v>
      </c>
      <c r="L624" s="6">
        <v>46093</v>
      </c>
      <c r="M624" s="7">
        <v>39</v>
      </c>
      <c r="N624" s="7">
        <v>-6060000</v>
      </c>
      <c r="O624" s="7">
        <v>-6060000</v>
      </c>
      <c r="P624" s="7">
        <v>0</v>
      </c>
      <c r="Q624" s="7">
        <v>0</v>
      </c>
      <c r="R624" s="7">
        <v>-6060000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5" t="s">
        <v>47</v>
      </c>
      <c r="Z624" s="6"/>
      <c r="AA624" s="5" t="s">
        <v>501</v>
      </c>
      <c r="AB624" s="5" t="s">
        <v>51</v>
      </c>
      <c r="AC624" s="5" t="s">
        <v>51</v>
      </c>
      <c r="AD624" s="5" t="s">
        <v>51</v>
      </c>
      <c r="AE624" s="5" t="s">
        <v>51</v>
      </c>
      <c r="AF624" s="5" t="s">
        <v>668</v>
      </c>
    </row>
    <row r="625" spans="1:32" ht="15.65" customHeight="1" x14ac:dyDescent="0.35">
      <c r="A625" s="5" t="s">
        <v>73</v>
      </c>
      <c r="B625" s="5" t="s">
        <v>74</v>
      </c>
      <c r="C625" s="5" t="s">
        <v>47</v>
      </c>
      <c r="D625" s="5">
        <v>3000952</v>
      </c>
      <c r="E625" s="11">
        <v>3000950</v>
      </c>
      <c r="F625" s="11" t="s">
        <v>665</v>
      </c>
      <c r="G625" s="5" t="s">
        <v>665</v>
      </c>
      <c r="H625" s="5" t="s">
        <v>54</v>
      </c>
      <c r="I625" s="5">
        <v>6955180</v>
      </c>
      <c r="J625" s="6">
        <v>46093</v>
      </c>
      <c r="K625" s="6">
        <v>46093</v>
      </c>
      <c r="L625" s="6">
        <v>46093</v>
      </c>
      <c r="M625" s="7">
        <v>39</v>
      </c>
      <c r="N625" s="7">
        <v>-5151000</v>
      </c>
      <c r="O625" s="7">
        <v>-5151000</v>
      </c>
      <c r="P625" s="7">
        <v>0</v>
      </c>
      <c r="Q625" s="7">
        <v>0</v>
      </c>
      <c r="R625" s="7">
        <v>-5151000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5" t="s">
        <v>47</v>
      </c>
      <c r="Z625" s="6"/>
      <c r="AA625" s="5" t="s">
        <v>501</v>
      </c>
      <c r="AB625" s="5" t="s">
        <v>51</v>
      </c>
      <c r="AC625" s="5" t="s">
        <v>51</v>
      </c>
      <c r="AD625" s="5" t="s">
        <v>51</v>
      </c>
      <c r="AE625" s="5" t="s">
        <v>51</v>
      </c>
      <c r="AF625" s="5" t="s">
        <v>669</v>
      </c>
    </row>
    <row r="626" spans="1:32" ht="15.65" customHeight="1" x14ac:dyDescent="0.35">
      <c r="A626" s="5" t="s">
        <v>73</v>
      </c>
      <c r="B626" s="5" t="s">
        <v>74</v>
      </c>
      <c r="C626" s="5" t="s">
        <v>47</v>
      </c>
      <c r="D626" s="5">
        <v>3000952</v>
      </c>
      <c r="E626" s="11">
        <v>3000950</v>
      </c>
      <c r="F626" s="11" t="s">
        <v>665</v>
      </c>
      <c r="G626" s="5" t="s">
        <v>665</v>
      </c>
      <c r="H626" s="5" t="s">
        <v>54</v>
      </c>
      <c r="I626" s="5">
        <v>6955181</v>
      </c>
      <c r="J626" s="6">
        <v>46093</v>
      </c>
      <c r="K626" s="6">
        <v>46093</v>
      </c>
      <c r="L626" s="6">
        <v>46093</v>
      </c>
      <c r="M626" s="7">
        <v>39</v>
      </c>
      <c r="N626" s="7">
        <v>-16665000</v>
      </c>
      <c r="O626" s="7">
        <v>-16665000</v>
      </c>
      <c r="P626" s="7">
        <v>0</v>
      </c>
      <c r="Q626" s="7">
        <v>0</v>
      </c>
      <c r="R626" s="7">
        <v>-16665000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5" t="s">
        <v>47</v>
      </c>
      <c r="Z626" s="6"/>
      <c r="AA626" s="5" t="s">
        <v>501</v>
      </c>
      <c r="AB626" s="5" t="s">
        <v>51</v>
      </c>
      <c r="AC626" s="5" t="s">
        <v>51</v>
      </c>
      <c r="AD626" s="5" t="s">
        <v>51</v>
      </c>
      <c r="AE626" s="5" t="s">
        <v>51</v>
      </c>
      <c r="AF626" s="5" t="s">
        <v>668</v>
      </c>
    </row>
    <row r="627" spans="1:32" ht="15.65" customHeight="1" x14ac:dyDescent="0.35">
      <c r="A627" s="5" t="s">
        <v>73</v>
      </c>
      <c r="B627" s="5" t="s">
        <v>74</v>
      </c>
      <c r="C627" s="5" t="s">
        <v>47</v>
      </c>
      <c r="D627" s="5">
        <v>3000952</v>
      </c>
      <c r="E627" s="11">
        <v>3000952</v>
      </c>
      <c r="F627" s="11" t="s">
        <v>665</v>
      </c>
      <c r="G627" s="5" t="s">
        <v>665</v>
      </c>
      <c r="H627" s="5" t="s">
        <v>54</v>
      </c>
      <c r="I627" s="5">
        <v>6955198</v>
      </c>
      <c r="J627" s="6">
        <v>46093</v>
      </c>
      <c r="K627" s="6">
        <v>46093</v>
      </c>
      <c r="L627" s="6">
        <v>46093</v>
      </c>
      <c r="M627" s="7">
        <v>39</v>
      </c>
      <c r="N627" s="7">
        <v>-4545000</v>
      </c>
      <c r="O627" s="7">
        <v>-4545000</v>
      </c>
      <c r="P627" s="7">
        <v>0</v>
      </c>
      <c r="Q627" s="7">
        <v>0</v>
      </c>
      <c r="R627" s="7">
        <v>-4545000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5" t="s">
        <v>47</v>
      </c>
      <c r="Z627" s="6"/>
      <c r="AA627" s="5" t="s">
        <v>501</v>
      </c>
      <c r="AB627" s="5" t="s">
        <v>51</v>
      </c>
      <c r="AC627" s="5" t="s">
        <v>51</v>
      </c>
      <c r="AD627" s="5" t="s">
        <v>51</v>
      </c>
      <c r="AE627" s="5" t="s">
        <v>51</v>
      </c>
      <c r="AF627" s="5" t="s">
        <v>670</v>
      </c>
    </row>
    <row r="628" spans="1:32" ht="15.65" customHeight="1" x14ac:dyDescent="0.35">
      <c r="A628" s="5" t="s">
        <v>73</v>
      </c>
      <c r="B628" s="5" t="s">
        <v>74</v>
      </c>
      <c r="C628" s="5" t="s">
        <v>47</v>
      </c>
      <c r="D628" s="5">
        <v>3000952</v>
      </c>
      <c r="E628" s="11">
        <v>3000952</v>
      </c>
      <c r="F628" s="11" t="s">
        <v>665</v>
      </c>
      <c r="G628" s="5" t="s">
        <v>665</v>
      </c>
      <c r="H628" s="5" t="s">
        <v>54</v>
      </c>
      <c r="I628" s="5">
        <v>6955199</v>
      </c>
      <c r="J628" s="6">
        <v>46093</v>
      </c>
      <c r="K628" s="6">
        <v>46093</v>
      </c>
      <c r="L628" s="6">
        <v>46093</v>
      </c>
      <c r="M628" s="7">
        <v>39</v>
      </c>
      <c r="N628" s="7">
        <v>-7575000</v>
      </c>
      <c r="O628" s="7">
        <v>-7575000</v>
      </c>
      <c r="P628" s="7">
        <v>0</v>
      </c>
      <c r="Q628" s="7">
        <v>0</v>
      </c>
      <c r="R628" s="7">
        <v>-7575000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5" t="s">
        <v>47</v>
      </c>
      <c r="Z628" s="6"/>
      <c r="AA628" s="5" t="s">
        <v>501</v>
      </c>
      <c r="AB628" s="5" t="s">
        <v>51</v>
      </c>
      <c r="AC628" s="5" t="s">
        <v>51</v>
      </c>
      <c r="AD628" s="5" t="s">
        <v>51</v>
      </c>
      <c r="AE628" s="5" t="s">
        <v>51</v>
      </c>
      <c r="AF628" s="5" t="s">
        <v>671</v>
      </c>
    </row>
    <row r="629" spans="1:32" ht="15.65" customHeight="1" x14ac:dyDescent="0.35">
      <c r="A629" s="5" t="s">
        <v>73</v>
      </c>
      <c r="B629" s="5" t="s">
        <v>74</v>
      </c>
      <c r="C629" s="5" t="s">
        <v>47</v>
      </c>
      <c r="D629" s="5">
        <v>3000952</v>
      </c>
      <c r="E629" s="11">
        <v>3000952</v>
      </c>
      <c r="F629" s="11" t="s">
        <v>665</v>
      </c>
      <c r="G629" s="5" t="s">
        <v>665</v>
      </c>
      <c r="H629" s="5" t="s">
        <v>54</v>
      </c>
      <c r="I629" s="5">
        <v>6955539</v>
      </c>
      <c r="J629" s="6">
        <v>46095</v>
      </c>
      <c r="K629" s="6">
        <v>46095</v>
      </c>
      <c r="L629" s="6">
        <v>46095</v>
      </c>
      <c r="M629" s="7">
        <v>37</v>
      </c>
      <c r="N629" s="7">
        <v>-3000000</v>
      </c>
      <c r="O629" s="7">
        <v>-3000000</v>
      </c>
      <c r="P629" s="7">
        <v>0</v>
      </c>
      <c r="Q629" s="7">
        <v>0</v>
      </c>
      <c r="R629" s="7">
        <v>-3000000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5" t="s">
        <v>47</v>
      </c>
      <c r="Z629" s="6"/>
      <c r="AA629" s="5" t="s">
        <v>501</v>
      </c>
      <c r="AB629" s="5" t="s">
        <v>51</v>
      </c>
      <c r="AC629" s="5" t="s">
        <v>51</v>
      </c>
      <c r="AD629" s="5" t="s">
        <v>51</v>
      </c>
      <c r="AE629" s="5" t="s">
        <v>51</v>
      </c>
      <c r="AF629" s="5" t="s">
        <v>672</v>
      </c>
    </row>
    <row r="630" spans="1:32" ht="15.65" customHeight="1" x14ac:dyDescent="0.35">
      <c r="A630" s="5" t="s">
        <v>73</v>
      </c>
      <c r="B630" s="5" t="s">
        <v>74</v>
      </c>
      <c r="C630" s="5" t="s">
        <v>47</v>
      </c>
      <c r="D630" s="5">
        <v>3000952</v>
      </c>
      <c r="E630" s="5">
        <v>3001567</v>
      </c>
      <c r="F630" s="5" t="s">
        <v>665</v>
      </c>
      <c r="G630" s="5" t="s">
        <v>665</v>
      </c>
      <c r="H630" s="5" t="s">
        <v>54</v>
      </c>
      <c r="I630" s="5">
        <v>6956356</v>
      </c>
      <c r="J630" s="6">
        <v>46098</v>
      </c>
      <c r="K630" s="6">
        <v>46098</v>
      </c>
      <c r="L630" s="6">
        <v>46098</v>
      </c>
      <c r="M630" s="7">
        <v>34</v>
      </c>
      <c r="N630" s="7">
        <v>-15756000</v>
      </c>
      <c r="O630" s="7">
        <v>-15756000</v>
      </c>
      <c r="P630" s="7">
        <v>0</v>
      </c>
      <c r="Q630" s="7">
        <v>0</v>
      </c>
      <c r="R630" s="7">
        <v>-15756000</v>
      </c>
      <c r="S630" s="7">
        <v>0</v>
      </c>
      <c r="T630" s="7">
        <v>0</v>
      </c>
      <c r="U630" s="7">
        <v>0</v>
      </c>
      <c r="V630" s="7">
        <v>0</v>
      </c>
      <c r="W630" s="7">
        <v>0</v>
      </c>
      <c r="X630" s="7">
        <v>0</v>
      </c>
      <c r="Y630" s="5" t="s">
        <v>47</v>
      </c>
      <c r="Z630" s="6"/>
      <c r="AA630" s="5" t="s">
        <v>501</v>
      </c>
      <c r="AB630" s="5" t="s">
        <v>51</v>
      </c>
      <c r="AC630" s="5" t="s">
        <v>51</v>
      </c>
      <c r="AD630" s="5" t="s">
        <v>51</v>
      </c>
      <c r="AE630" s="5" t="s">
        <v>51</v>
      </c>
      <c r="AF630" s="5" t="s">
        <v>673</v>
      </c>
    </row>
    <row r="631" spans="1:32" ht="15.65" customHeight="1" x14ac:dyDescent="0.35">
      <c r="A631" s="5" t="s">
        <v>73</v>
      </c>
      <c r="B631" s="5" t="s">
        <v>74</v>
      </c>
      <c r="C631" s="5" t="s">
        <v>47</v>
      </c>
      <c r="D631" s="5">
        <v>3000952</v>
      </c>
      <c r="E631" s="11">
        <v>3001567</v>
      </c>
      <c r="F631" s="11" t="s">
        <v>665</v>
      </c>
      <c r="G631" s="5" t="s">
        <v>665</v>
      </c>
      <c r="H631" s="5" t="s">
        <v>54</v>
      </c>
      <c r="I631" s="5">
        <v>6956357</v>
      </c>
      <c r="J631" s="6">
        <v>46098</v>
      </c>
      <c r="K631" s="6">
        <v>46098</v>
      </c>
      <c r="L631" s="6">
        <v>46098</v>
      </c>
      <c r="M631" s="7">
        <v>34</v>
      </c>
      <c r="N631" s="7">
        <v>-15756000</v>
      </c>
      <c r="O631" s="7">
        <v>-15756000</v>
      </c>
      <c r="P631" s="7">
        <v>0</v>
      </c>
      <c r="Q631" s="7">
        <v>0</v>
      </c>
      <c r="R631" s="7">
        <v>-15756000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5" t="s">
        <v>47</v>
      </c>
      <c r="Z631" s="6"/>
      <c r="AA631" s="5" t="s">
        <v>501</v>
      </c>
      <c r="AB631" s="5" t="s">
        <v>51</v>
      </c>
      <c r="AC631" s="5" t="s">
        <v>51</v>
      </c>
      <c r="AD631" s="5" t="s">
        <v>51</v>
      </c>
      <c r="AE631" s="5" t="s">
        <v>51</v>
      </c>
      <c r="AF631" s="5" t="s">
        <v>673</v>
      </c>
    </row>
    <row r="632" spans="1:32" ht="15.65" customHeight="1" x14ac:dyDescent="0.35">
      <c r="A632" s="5" t="s">
        <v>73</v>
      </c>
      <c r="B632" s="5" t="s">
        <v>74</v>
      </c>
      <c r="C632" s="5" t="s">
        <v>47</v>
      </c>
      <c r="D632" s="5">
        <v>3000952</v>
      </c>
      <c r="E632" s="11">
        <v>3001567</v>
      </c>
      <c r="F632" s="11" t="s">
        <v>665</v>
      </c>
      <c r="G632" s="5" t="s">
        <v>665</v>
      </c>
      <c r="H632" s="5" t="s">
        <v>54</v>
      </c>
      <c r="I632" s="5">
        <v>6956358</v>
      </c>
      <c r="J632" s="6">
        <v>46098</v>
      </c>
      <c r="K632" s="6">
        <v>46098</v>
      </c>
      <c r="L632" s="6">
        <v>46098</v>
      </c>
      <c r="M632" s="7">
        <v>34</v>
      </c>
      <c r="N632" s="7">
        <v>-15756000</v>
      </c>
      <c r="O632" s="7">
        <v>-15756000</v>
      </c>
      <c r="P632" s="7">
        <v>0</v>
      </c>
      <c r="Q632" s="7">
        <v>0</v>
      </c>
      <c r="R632" s="7">
        <v>-15756000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0</v>
      </c>
      <c r="Y632" s="5" t="s">
        <v>47</v>
      </c>
      <c r="Z632" s="6"/>
      <c r="AA632" s="5" t="s">
        <v>501</v>
      </c>
      <c r="AB632" s="5" t="s">
        <v>51</v>
      </c>
      <c r="AC632" s="5" t="s">
        <v>51</v>
      </c>
      <c r="AD632" s="5" t="s">
        <v>51</v>
      </c>
      <c r="AE632" s="5" t="s">
        <v>51</v>
      </c>
      <c r="AF632" s="5" t="s">
        <v>673</v>
      </c>
    </row>
    <row r="633" spans="1:32" ht="15.65" customHeight="1" x14ac:dyDescent="0.35">
      <c r="A633" s="5" t="s">
        <v>73</v>
      </c>
      <c r="B633" s="5" t="s">
        <v>74</v>
      </c>
      <c r="C633" s="5" t="s">
        <v>47</v>
      </c>
      <c r="D633" s="5">
        <v>3000952</v>
      </c>
      <c r="E633" s="5">
        <v>3001567</v>
      </c>
      <c r="F633" s="5" t="s">
        <v>665</v>
      </c>
      <c r="G633" s="5" t="s">
        <v>665</v>
      </c>
      <c r="H633" s="5" t="s">
        <v>54</v>
      </c>
      <c r="I633" s="5">
        <v>6956359</v>
      </c>
      <c r="J633" s="6">
        <v>46098</v>
      </c>
      <c r="K633" s="6">
        <v>46098</v>
      </c>
      <c r="L633" s="6">
        <v>46098</v>
      </c>
      <c r="M633" s="7">
        <v>34</v>
      </c>
      <c r="N633" s="7">
        <v>-15756000</v>
      </c>
      <c r="O633" s="7">
        <v>-15756000</v>
      </c>
      <c r="P633" s="7">
        <v>0</v>
      </c>
      <c r="Q633" s="7">
        <v>0</v>
      </c>
      <c r="R633" s="7">
        <v>-15756000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  <c r="X633" s="7">
        <v>0</v>
      </c>
      <c r="Y633" s="5" t="s">
        <v>47</v>
      </c>
      <c r="Z633" s="6"/>
      <c r="AA633" s="5" t="s">
        <v>501</v>
      </c>
      <c r="AB633" s="5" t="s">
        <v>51</v>
      </c>
      <c r="AC633" s="5" t="s">
        <v>51</v>
      </c>
      <c r="AD633" s="5" t="s">
        <v>51</v>
      </c>
      <c r="AE633" s="5" t="s">
        <v>51</v>
      </c>
      <c r="AF633" s="5" t="s">
        <v>673</v>
      </c>
    </row>
    <row r="634" spans="1:32" ht="15.65" customHeight="1" x14ac:dyDescent="0.35">
      <c r="A634" s="5" t="s">
        <v>73</v>
      </c>
      <c r="B634" s="5" t="s">
        <v>74</v>
      </c>
      <c r="C634" s="5" t="s">
        <v>47</v>
      </c>
      <c r="D634" s="5">
        <v>3000952</v>
      </c>
      <c r="E634" s="11">
        <v>3000950</v>
      </c>
      <c r="F634" s="11" t="s">
        <v>665</v>
      </c>
      <c r="G634" s="5" t="s">
        <v>665</v>
      </c>
      <c r="H634" s="5" t="s">
        <v>54</v>
      </c>
      <c r="I634" s="5">
        <v>6956382</v>
      </c>
      <c r="J634" s="6">
        <v>46098</v>
      </c>
      <c r="K634" s="6">
        <v>46098</v>
      </c>
      <c r="L634" s="6">
        <v>46098</v>
      </c>
      <c r="M634" s="7">
        <v>34</v>
      </c>
      <c r="N634" s="7">
        <v>-68007885</v>
      </c>
      <c r="O634" s="7">
        <v>-68007885</v>
      </c>
      <c r="P634" s="7">
        <v>0</v>
      </c>
      <c r="Q634" s="7">
        <v>0</v>
      </c>
      <c r="R634" s="7">
        <v>-68007885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5" t="s">
        <v>47</v>
      </c>
      <c r="Z634" s="6"/>
      <c r="AA634" s="5" t="s">
        <v>501</v>
      </c>
      <c r="AB634" s="5" t="s">
        <v>51</v>
      </c>
      <c r="AC634" s="5" t="s">
        <v>51</v>
      </c>
      <c r="AD634" s="5" t="s">
        <v>51</v>
      </c>
      <c r="AE634" s="5" t="s">
        <v>51</v>
      </c>
      <c r="AF634" s="5" t="s">
        <v>56</v>
      </c>
    </row>
    <row r="635" spans="1:32" ht="15.65" customHeight="1" x14ac:dyDescent="0.35">
      <c r="A635" s="5" t="s">
        <v>73</v>
      </c>
      <c r="B635" s="5" t="s">
        <v>74</v>
      </c>
      <c r="C635" s="5" t="s">
        <v>47</v>
      </c>
      <c r="D635" s="5">
        <v>3000952</v>
      </c>
      <c r="E635" s="11">
        <v>3000952</v>
      </c>
      <c r="F635" s="11" t="s">
        <v>665</v>
      </c>
      <c r="G635" s="5" t="s">
        <v>665</v>
      </c>
      <c r="H635" s="5" t="s">
        <v>54</v>
      </c>
      <c r="I635" s="5">
        <v>6956383</v>
      </c>
      <c r="J635" s="6">
        <v>46098</v>
      </c>
      <c r="K635" s="6">
        <v>46098</v>
      </c>
      <c r="L635" s="6">
        <v>46098</v>
      </c>
      <c r="M635" s="7">
        <v>34</v>
      </c>
      <c r="N635" s="7">
        <v>-353430027</v>
      </c>
      <c r="O635" s="7">
        <v>-353430027</v>
      </c>
      <c r="P635" s="7">
        <v>0</v>
      </c>
      <c r="Q635" s="7">
        <v>0</v>
      </c>
      <c r="R635" s="7">
        <v>-353430027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0</v>
      </c>
      <c r="Y635" s="5" t="s">
        <v>47</v>
      </c>
      <c r="Z635" s="6"/>
      <c r="AA635" s="5" t="s">
        <v>501</v>
      </c>
      <c r="AB635" s="5" t="s">
        <v>51</v>
      </c>
      <c r="AC635" s="5" t="s">
        <v>51</v>
      </c>
      <c r="AD635" s="5" t="s">
        <v>51</v>
      </c>
      <c r="AE635" s="5" t="s">
        <v>51</v>
      </c>
      <c r="AF635" s="5" t="s">
        <v>56</v>
      </c>
    </row>
    <row r="636" spans="1:32" ht="15.65" customHeight="1" x14ac:dyDescent="0.35">
      <c r="A636" s="5" t="s">
        <v>73</v>
      </c>
      <c r="B636" s="5" t="s">
        <v>74</v>
      </c>
      <c r="C636" s="5" t="s">
        <v>47</v>
      </c>
      <c r="D636" s="5">
        <v>3000952</v>
      </c>
      <c r="E636" s="11">
        <v>3001567</v>
      </c>
      <c r="F636" s="11" t="s">
        <v>665</v>
      </c>
      <c r="G636" s="5" t="s">
        <v>665</v>
      </c>
      <c r="H636" s="5" t="s">
        <v>54</v>
      </c>
      <c r="I636" s="5">
        <v>6956389</v>
      </c>
      <c r="J636" s="6">
        <v>46098</v>
      </c>
      <c r="K636" s="6">
        <v>46098</v>
      </c>
      <c r="L636" s="6">
        <v>46098</v>
      </c>
      <c r="M636" s="7">
        <v>34</v>
      </c>
      <c r="N636" s="7">
        <v>-86556697</v>
      </c>
      <c r="O636" s="7">
        <v>-86556697</v>
      </c>
      <c r="P636" s="7">
        <v>0</v>
      </c>
      <c r="Q636" s="7">
        <v>0</v>
      </c>
      <c r="R636" s="7">
        <v>-86556697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5" t="s">
        <v>47</v>
      </c>
      <c r="Z636" s="6"/>
      <c r="AA636" s="5" t="s">
        <v>501</v>
      </c>
      <c r="AB636" s="5" t="s">
        <v>51</v>
      </c>
      <c r="AC636" s="5" t="s">
        <v>51</v>
      </c>
      <c r="AD636" s="5" t="s">
        <v>51</v>
      </c>
      <c r="AE636" s="5" t="s">
        <v>51</v>
      </c>
      <c r="AF636" s="5" t="s">
        <v>56</v>
      </c>
    </row>
    <row r="637" spans="1:32" ht="15.65" customHeight="1" x14ac:dyDescent="0.35">
      <c r="A637" s="5" t="s">
        <v>73</v>
      </c>
      <c r="B637" s="5" t="s">
        <v>74</v>
      </c>
      <c r="C637" s="5" t="s">
        <v>47</v>
      </c>
      <c r="D637" s="5">
        <v>3000952</v>
      </c>
      <c r="E637" s="11">
        <v>3001567</v>
      </c>
      <c r="F637" s="11" t="s">
        <v>665</v>
      </c>
      <c r="G637" s="5" t="s">
        <v>665</v>
      </c>
      <c r="H637" s="5" t="s">
        <v>54</v>
      </c>
      <c r="I637" s="5">
        <v>6956764</v>
      </c>
      <c r="J637" s="6">
        <v>46106</v>
      </c>
      <c r="K637" s="6">
        <v>46106</v>
      </c>
      <c r="L637" s="6">
        <v>46106</v>
      </c>
      <c r="M637" s="7">
        <v>26</v>
      </c>
      <c r="N637" s="7">
        <v>-15150000</v>
      </c>
      <c r="O637" s="7">
        <v>-15150000</v>
      </c>
      <c r="P637" s="7">
        <v>0</v>
      </c>
      <c r="Q637" s="7">
        <v>-15150000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5" t="s">
        <v>47</v>
      </c>
      <c r="Z637" s="6"/>
      <c r="AA637" s="5" t="s">
        <v>501</v>
      </c>
      <c r="AB637" s="5" t="s">
        <v>51</v>
      </c>
      <c r="AC637" s="5" t="s">
        <v>51</v>
      </c>
      <c r="AD637" s="5" t="s">
        <v>51</v>
      </c>
      <c r="AE637" s="5" t="s">
        <v>51</v>
      </c>
      <c r="AF637" s="5" t="s">
        <v>674</v>
      </c>
    </row>
    <row r="638" spans="1:32" ht="15.65" customHeight="1" x14ac:dyDescent="0.35">
      <c r="A638" s="5" t="s">
        <v>73</v>
      </c>
      <c r="B638" s="5" t="s">
        <v>74</v>
      </c>
      <c r="C638" s="5" t="s">
        <v>47</v>
      </c>
      <c r="D638" s="5">
        <v>3000952</v>
      </c>
      <c r="E638" s="11">
        <v>3000952</v>
      </c>
      <c r="F638" s="11" t="s">
        <v>665</v>
      </c>
      <c r="G638" s="5" t="s">
        <v>665</v>
      </c>
      <c r="H638" s="5" t="s">
        <v>54</v>
      </c>
      <c r="I638" s="5">
        <v>6956780</v>
      </c>
      <c r="J638" s="6">
        <v>46106</v>
      </c>
      <c r="K638" s="6">
        <v>46106</v>
      </c>
      <c r="L638" s="6">
        <v>46106</v>
      </c>
      <c r="M638" s="7">
        <v>26</v>
      </c>
      <c r="N638" s="7">
        <v>-414200</v>
      </c>
      <c r="O638" s="7">
        <v>-414200</v>
      </c>
      <c r="P638" s="7">
        <v>0</v>
      </c>
      <c r="Q638" s="7">
        <v>-414200</v>
      </c>
      <c r="R638" s="7">
        <v>0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  <c r="X638" s="7">
        <v>0</v>
      </c>
      <c r="Y638" s="5" t="s">
        <v>47</v>
      </c>
      <c r="Z638" s="6"/>
      <c r="AA638" s="5" t="s">
        <v>501</v>
      </c>
      <c r="AB638" s="5" t="s">
        <v>51</v>
      </c>
      <c r="AC638" s="5" t="s">
        <v>51</v>
      </c>
      <c r="AD638" s="5" t="s">
        <v>51</v>
      </c>
      <c r="AE638" s="5" t="s">
        <v>51</v>
      </c>
      <c r="AF638" s="5" t="s">
        <v>675</v>
      </c>
    </row>
    <row r="639" spans="1:32" ht="15.65" customHeight="1" x14ac:dyDescent="0.35">
      <c r="A639" s="5" t="s">
        <v>73</v>
      </c>
      <c r="B639" s="5" t="s">
        <v>74</v>
      </c>
      <c r="C639" s="5" t="s">
        <v>47</v>
      </c>
      <c r="D639" s="5">
        <v>3000952</v>
      </c>
      <c r="E639" s="11">
        <v>3000952</v>
      </c>
      <c r="F639" s="11" t="s">
        <v>665</v>
      </c>
      <c r="G639" s="5" t="s">
        <v>665</v>
      </c>
      <c r="H639" s="5" t="s">
        <v>54</v>
      </c>
      <c r="I639" s="5">
        <v>6956781</v>
      </c>
      <c r="J639" s="6">
        <v>46106</v>
      </c>
      <c r="K639" s="6">
        <v>46106</v>
      </c>
      <c r="L639" s="6">
        <v>46106</v>
      </c>
      <c r="M639" s="7">
        <v>26</v>
      </c>
      <c r="N639" s="7">
        <v>-147000</v>
      </c>
      <c r="O639" s="7">
        <v>-147000</v>
      </c>
      <c r="P639" s="7">
        <v>0</v>
      </c>
      <c r="Q639" s="7">
        <v>-147000</v>
      </c>
      <c r="R639" s="7">
        <v>0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  <c r="X639" s="7">
        <v>0</v>
      </c>
      <c r="Y639" s="5" t="s">
        <v>47</v>
      </c>
      <c r="Z639" s="6"/>
      <c r="AA639" s="5" t="s">
        <v>501</v>
      </c>
      <c r="AB639" s="5" t="s">
        <v>51</v>
      </c>
      <c r="AC639" s="5" t="s">
        <v>51</v>
      </c>
      <c r="AD639" s="5" t="s">
        <v>51</v>
      </c>
      <c r="AE639" s="5" t="s">
        <v>51</v>
      </c>
      <c r="AF639" s="5" t="s">
        <v>676</v>
      </c>
    </row>
    <row r="640" spans="1:32" ht="15.65" customHeight="1" x14ac:dyDescent="0.35">
      <c r="A640" s="5" t="s">
        <v>73</v>
      </c>
      <c r="B640" s="5" t="s">
        <v>74</v>
      </c>
      <c r="C640" s="5" t="s">
        <v>47</v>
      </c>
      <c r="D640" s="5">
        <v>3000952</v>
      </c>
      <c r="E640" s="11">
        <v>3001567</v>
      </c>
      <c r="F640" s="11" t="s">
        <v>665</v>
      </c>
      <c r="G640" s="5" t="s">
        <v>665</v>
      </c>
      <c r="H640" s="5" t="s">
        <v>54</v>
      </c>
      <c r="I640" s="5">
        <v>6956793</v>
      </c>
      <c r="J640" s="6">
        <v>46106</v>
      </c>
      <c r="K640" s="6">
        <v>46106</v>
      </c>
      <c r="L640" s="6">
        <v>46106</v>
      </c>
      <c r="M640" s="7">
        <v>26</v>
      </c>
      <c r="N640" s="7">
        <v>-15150000</v>
      </c>
      <c r="O640" s="7">
        <v>-15150000</v>
      </c>
      <c r="P640" s="7">
        <v>0</v>
      </c>
      <c r="Q640" s="7">
        <v>-15150000</v>
      </c>
      <c r="R640" s="7">
        <v>0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  <c r="Y640" s="5" t="s">
        <v>47</v>
      </c>
      <c r="Z640" s="6"/>
      <c r="AA640" s="5" t="s">
        <v>501</v>
      </c>
      <c r="AB640" s="5" t="s">
        <v>51</v>
      </c>
      <c r="AC640" s="5" t="s">
        <v>51</v>
      </c>
      <c r="AD640" s="5" t="s">
        <v>51</v>
      </c>
      <c r="AE640" s="5" t="s">
        <v>51</v>
      </c>
      <c r="AF640" s="5" t="s">
        <v>677</v>
      </c>
    </row>
    <row r="641" spans="1:32" ht="15.65" customHeight="1" x14ac:dyDescent="0.35">
      <c r="A641" s="5" t="s">
        <v>73</v>
      </c>
      <c r="B641" s="5" t="s">
        <v>74</v>
      </c>
      <c r="C641" s="5" t="s">
        <v>47</v>
      </c>
      <c r="D641" s="5">
        <v>3000952</v>
      </c>
      <c r="E641" s="11">
        <v>3001567</v>
      </c>
      <c r="F641" s="11" t="s">
        <v>665</v>
      </c>
      <c r="G641" s="5" t="s">
        <v>665</v>
      </c>
      <c r="H641" s="5" t="s">
        <v>54</v>
      </c>
      <c r="I641" s="5">
        <v>6956794</v>
      </c>
      <c r="J641" s="6">
        <v>46106</v>
      </c>
      <c r="K641" s="6">
        <v>46106</v>
      </c>
      <c r="L641" s="6">
        <v>46106</v>
      </c>
      <c r="M641" s="7">
        <v>26</v>
      </c>
      <c r="N641" s="7">
        <v>-15756000</v>
      </c>
      <c r="O641" s="7">
        <v>-15756000</v>
      </c>
      <c r="P641" s="7">
        <v>0</v>
      </c>
      <c r="Q641" s="7">
        <v>-15756000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5" t="s">
        <v>47</v>
      </c>
      <c r="Z641" s="6"/>
      <c r="AA641" s="5" t="s">
        <v>501</v>
      </c>
      <c r="AB641" s="5" t="s">
        <v>51</v>
      </c>
      <c r="AC641" s="5" t="s">
        <v>51</v>
      </c>
      <c r="AD641" s="5" t="s">
        <v>51</v>
      </c>
      <c r="AE641" s="5" t="s">
        <v>51</v>
      </c>
      <c r="AF641" s="5" t="s">
        <v>677</v>
      </c>
    </row>
    <row r="642" spans="1:32" ht="15.65" customHeight="1" x14ac:dyDescent="0.35">
      <c r="A642" s="5" t="s">
        <v>73</v>
      </c>
      <c r="B642" s="5" t="s">
        <v>74</v>
      </c>
      <c r="C642" s="5" t="s">
        <v>47</v>
      </c>
      <c r="D642" s="5">
        <v>3000952</v>
      </c>
      <c r="E642" s="5">
        <v>3001567</v>
      </c>
      <c r="F642" s="5" t="s">
        <v>665</v>
      </c>
      <c r="G642" s="5" t="s">
        <v>665</v>
      </c>
      <c r="H642" s="5" t="s">
        <v>54</v>
      </c>
      <c r="I642" s="5">
        <v>6956795</v>
      </c>
      <c r="J642" s="6">
        <v>46106</v>
      </c>
      <c r="K642" s="6">
        <v>46106</v>
      </c>
      <c r="L642" s="6">
        <v>46106</v>
      </c>
      <c r="M642" s="7">
        <v>26</v>
      </c>
      <c r="N642" s="7">
        <v>-414200</v>
      </c>
      <c r="O642" s="7">
        <v>-414200</v>
      </c>
      <c r="P642" s="7">
        <v>0</v>
      </c>
      <c r="Q642" s="7">
        <v>-414200</v>
      </c>
      <c r="R642" s="7">
        <v>0</v>
      </c>
      <c r="S642" s="7">
        <v>0</v>
      </c>
      <c r="T642" s="7">
        <v>0</v>
      </c>
      <c r="U642" s="7">
        <v>0</v>
      </c>
      <c r="V642" s="7">
        <v>0</v>
      </c>
      <c r="W642" s="7">
        <v>0</v>
      </c>
      <c r="X642" s="7">
        <v>0</v>
      </c>
      <c r="Y642" s="5" t="s">
        <v>47</v>
      </c>
      <c r="Z642" s="6"/>
      <c r="AA642" s="5" t="s">
        <v>501</v>
      </c>
      <c r="AB642" s="5" t="s">
        <v>51</v>
      </c>
      <c r="AC642" s="5" t="s">
        <v>51</v>
      </c>
      <c r="AD642" s="5" t="s">
        <v>51</v>
      </c>
      <c r="AE642" s="5" t="s">
        <v>51</v>
      </c>
      <c r="AF642" s="5" t="s">
        <v>678</v>
      </c>
    </row>
    <row r="643" spans="1:32" ht="15.65" customHeight="1" x14ac:dyDescent="0.35">
      <c r="A643" s="5" t="s">
        <v>73</v>
      </c>
      <c r="B643" s="5" t="s">
        <v>74</v>
      </c>
      <c r="C643" s="5" t="s">
        <v>47</v>
      </c>
      <c r="D643" s="5">
        <v>3000952</v>
      </c>
      <c r="E643" s="11">
        <v>3001567</v>
      </c>
      <c r="F643" s="11" t="s">
        <v>665</v>
      </c>
      <c r="G643" s="5" t="s">
        <v>665</v>
      </c>
      <c r="H643" s="5" t="s">
        <v>54</v>
      </c>
      <c r="I643" s="5">
        <v>6956796</v>
      </c>
      <c r="J643" s="6">
        <v>46106</v>
      </c>
      <c r="K643" s="6">
        <v>46106</v>
      </c>
      <c r="L643" s="6">
        <v>46106</v>
      </c>
      <c r="M643" s="7">
        <v>26</v>
      </c>
      <c r="N643" s="7">
        <v>-654000</v>
      </c>
      <c r="O643" s="7">
        <v>-654000</v>
      </c>
      <c r="P643" s="7">
        <v>0</v>
      </c>
      <c r="Q643" s="7">
        <v>-654000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5" t="s">
        <v>47</v>
      </c>
      <c r="Z643" s="6"/>
      <c r="AA643" s="5" t="s">
        <v>501</v>
      </c>
      <c r="AB643" s="5" t="s">
        <v>51</v>
      </c>
      <c r="AC643" s="5" t="s">
        <v>51</v>
      </c>
      <c r="AD643" s="5" t="s">
        <v>51</v>
      </c>
      <c r="AE643" s="5" t="s">
        <v>51</v>
      </c>
      <c r="AF643" s="5" t="s">
        <v>679</v>
      </c>
    </row>
    <row r="644" spans="1:32" ht="15.65" customHeight="1" x14ac:dyDescent="0.35">
      <c r="A644" s="5" t="s">
        <v>73</v>
      </c>
      <c r="B644" s="5" t="s">
        <v>74</v>
      </c>
      <c r="C644" s="5" t="s">
        <v>47</v>
      </c>
      <c r="D644" s="5">
        <v>3000952</v>
      </c>
      <c r="E644" s="11">
        <v>3000952</v>
      </c>
      <c r="F644" s="11" t="s">
        <v>665</v>
      </c>
      <c r="G644" s="5" t="s">
        <v>665</v>
      </c>
      <c r="H644" s="5" t="s">
        <v>54</v>
      </c>
      <c r="I644" s="5">
        <v>6956842</v>
      </c>
      <c r="J644" s="6">
        <v>46106</v>
      </c>
      <c r="K644" s="6">
        <v>46106</v>
      </c>
      <c r="L644" s="6">
        <v>46106</v>
      </c>
      <c r="M644" s="7">
        <v>26</v>
      </c>
      <c r="N644" s="7">
        <v>-457800</v>
      </c>
      <c r="O644" s="7">
        <v>-457800</v>
      </c>
      <c r="P644" s="7">
        <v>0</v>
      </c>
      <c r="Q644" s="7">
        <v>-457800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5" t="s">
        <v>47</v>
      </c>
      <c r="Z644" s="6"/>
      <c r="AA644" s="5" t="s">
        <v>501</v>
      </c>
      <c r="AB644" s="5" t="s">
        <v>51</v>
      </c>
      <c r="AC644" s="5" t="s">
        <v>51</v>
      </c>
      <c r="AD644" s="5" t="s">
        <v>51</v>
      </c>
      <c r="AE644" s="5" t="s">
        <v>51</v>
      </c>
      <c r="AF644" s="5" t="s">
        <v>680</v>
      </c>
    </row>
    <row r="645" spans="1:32" ht="15.65" customHeight="1" x14ac:dyDescent="0.35">
      <c r="A645" s="5" t="s">
        <v>73</v>
      </c>
      <c r="B645" s="5" t="s">
        <v>74</v>
      </c>
      <c r="C645" s="5" t="s">
        <v>47</v>
      </c>
      <c r="D645" s="5">
        <v>3000952</v>
      </c>
      <c r="E645" s="11">
        <v>3000952</v>
      </c>
      <c r="F645" s="11" t="s">
        <v>665</v>
      </c>
      <c r="G645" s="5" t="s">
        <v>665</v>
      </c>
      <c r="H645" s="5" t="s">
        <v>54</v>
      </c>
      <c r="I645" s="5">
        <v>6956843</v>
      </c>
      <c r="J645" s="6">
        <v>46106</v>
      </c>
      <c r="K645" s="6">
        <v>46106</v>
      </c>
      <c r="L645" s="6">
        <v>46106</v>
      </c>
      <c r="M645" s="7">
        <v>26</v>
      </c>
      <c r="N645" s="7">
        <v>-414200</v>
      </c>
      <c r="O645" s="7">
        <v>-414200</v>
      </c>
      <c r="P645" s="7">
        <v>0</v>
      </c>
      <c r="Q645" s="7">
        <v>-414200</v>
      </c>
      <c r="R645" s="7">
        <v>0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0</v>
      </c>
      <c r="Y645" s="5" t="s">
        <v>47</v>
      </c>
      <c r="Z645" s="6"/>
      <c r="AA645" s="5" t="s">
        <v>501</v>
      </c>
      <c r="AB645" s="5" t="s">
        <v>51</v>
      </c>
      <c r="AC645" s="5" t="s">
        <v>51</v>
      </c>
      <c r="AD645" s="5" t="s">
        <v>51</v>
      </c>
      <c r="AE645" s="5" t="s">
        <v>51</v>
      </c>
      <c r="AF645" s="5" t="s">
        <v>681</v>
      </c>
    </row>
    <row r="646" spans="1:32" ht="15.65" customHeight="1" x14ac:dyDescent="0.35">
      <c r="A646" s="5" t="s">
        <v>73</v>
      </c>
      <c r="B646" s="5" t="s">
        <v>74</v>
      </c>
      <c r="C646" s="5" t="s">
        <v>47</v>
      </c>
      <c r="D646" s="5">
        <v>3000952</v>
      </c>
      <c r="E646" s="11">
        <v>3000952</v>
      </c>
      <c r="F646" s="11" t="s">
        <v>665</v>
      </c>
      <c r="G646" s="5" t="s">
        <v>665</v>
      </c>
      <c r="H646" s="5" t="s">
        <v>54</v>
      </c>
      <c r="I646" s="5">
        <v>6956844</v>
      </c>
      <c r="J646" s="6">
        <v>46106</v>
      </c>
      <c r="K646" s="6">
        <v>46106</v>
      </c>
      <c r="L646" s="6">
        <v>46106</v>
      </c>
      <c r="M646" s="7">
        <v>26</v>
      </c>
      <c r="N646" s="7">
        <v>-414200</v>
      </c>
      <c r="O646" s="7">
        <v>-414200</v>
      </c>
      <c r="P646" s="7">
        <v>0</v>
      </c>
      <c r="Q646" s="7">
        <v>-414200</v>
      </c>
      <c r="R646" s="7">
        <v>0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0</v>
      </c>
      <c r="Y646" s="5" t="s">
        <v>47</v>
      </c>
      <c r="Z646" s="6"/>
      <c r="AA646" s="5" t="s">
        <v>501</v>
      </c>
      <c r="AB646" s="5" t="s">
        <v>51</v>
      </c>
      <c r="AC646" s="5" t="s">
        <v>51</v>
      </c>
      <c r="AD646" s="5" t="s">
        <v>51</v>
      </c>
      <c r="AE646" s="5" t="s">
        <v>51</v>
      </c>
      <c r="AF646" s="5" t="s">
        <v>682</v>
      </c>
    </row>
    <row r="647" spans="1:32" ht="15.65" customHeight="1" x14ac:dyDescent="0.35">
      <c r="A647" s="5" t="s">
        <v>73</v>
      </c>
      <c r="B647" s="5" t="s">
        <v>74</v>
      </c>
      <c r="C647" s="5" t="s">
        <v>47</v>
      </c>
      <c r="D647" s="5">
        <v>3000952</v>
      </c>
      <c r="E647" s="11">
        <v>3000952</v>
      </c>
      <c r="F647" s="11" t="s">
        <v>665</v>
      </c>
      <c r="G647" s="5" t="s">
        <v>665</v>
      </c>
      <c r="H647" s="5" t="s">
        <v>54</v>
      </c>
      <c r="I647" s="5">
        <v>6956847</v>
      </c>
      <c r="J647" s="6">
        <v>46106</v>
      </c>
      <c r="K647" s="6">
        <v>46106</v>
      </c>
      <c r="L647" s="6">
        <v>46106</v>
      </c>
      <c r="M647" s="7">
        <v>26</v>
      </c>
      <c r="N647" s="7">
        <v>-414200</v>
      </c>
      <c r="O647" s="7">
        <v>-414200</v>
      </c>
      <c r="P647" s="7">
        <v>0</v>
      </c>
      <c r="Q647" s="7">
        <v>-414200</v>
      </c>
      <c r="R647" s="7">
        <v>0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5" t="s">
        <v>47</v>
      </c>
      <c r="Z647" s="6"/>
      <c r="AA647" s="5" t="s">
        <v>501</v>
      </c>
      <c r="AB647" s="5" t="s">
        <v>51</v>
      </c>
      <c r="AC647" s="5" t="s">
        <v>51</v>
      </c>
      <c r="AD647" s="5" t="s">
        <v>51</v>
      </c>
      <c r="AE647" s="5" t="s">
        <v>51</v>
      </c>
      <c r="AF647" s="5" t="s">
        <v>683</v>
      </c>
    </row>
    <row r="648" spans="1:32" ht="15.65" customHeight="1" x14ac:dyDescent="0.35">
      <c r="A648" s="5" t="s">
        <v>73</v>
      </c>
      <c r="B648" s="5" t="s">
        <v>74</v>
      </c>
      <c r="C648" s="5" t="s">
        <v>47</v>
      </c>
      <c r="D648" s="5">
        <v>3000952</v>
      </c>
      <c r="E648" s="11">
        <v>3000952</v>
      </c>
      <c r="F648" s="11" t="s">
        <v>665</v>
      </c>
      <c r="G648" s="5" t="s">
        <v>665</v>
      </c>
      <c r="H648" s="5" t="s">
        <v>54</v>
      </c>
      <c r="I648" s="5">
        <v>6956848</v>
      </c>
      <c r="J648" s="6">
        <v>46106</v>
      </c>
      <c r="K648" s="6">
        <v>46106</v>
      </c>
      <c r="L648" s="6">
        <v>46106</v>
      </c>
      <c r="M648" s="7">
        <v>26</v>
      </c>
      <c r="N648" s="7">
        <v>-414200</v>
      </c>
      <c r="O648" s="7">
        <v>-414200</v>
      </c>
      <c r="P648" s="7">
        <v>0</v>
      </c>
      <c r="Q648" s="7">
        <v>-414200</v>
      </c>
      <c r="R648" s="7">
        <v>0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  <c r="X648" s="7">
        <v>0</v>
      </c>
      <c r="Y648" s="5" t="s">
        <v>47</v>
      </c>
      <c r="Z648" s="6"/>
      <c r="AA648" s="5" t="s">
        <v>501</v>
      </c>
      <c r="AB648" s="5" t="s">
        <v>51</v>
      </c>
      <c r="AC648" s="5" t="s">
        <v>51</v>
      </c>
      <c r="AD648" s="5" t="s">
        <v>51</v>
      </c>
      <c r="AE648" s="5" t="s">
        <v>51</v>
      </c>
      <c r="AF648" s="5" t="s">
        <v>684</v>
      </c>
    </row>
    <row r="649" spans="1:32" ht="15.65" customHeight="1" x14ac:dyDescent="0.35">
      <c r="A649" s="5" t="s">
        <v>73</v>
      </c>
      <c r="B649" s="5" t="s">
        <v>74</v>
      </c>
      <c r="C649" s="5" t="s">
        <v>47</v>
      </c>
      <c r="D649" s="5">
        <v>3000952</v>
      </c>
      <c r="E649" s="11">
        <v>3000952</v>
      </c>
      <c r="F649" s="11" t="s">
        <v>665</v>
      </c>
      <c r="G649" s="5" t="s">
        <v>665</v>
      </c>
      <c r="H649" s="5" t="s">
        <v>54</v>
      </c>
      <c r="I649" s="5">
        <v>6956849</v>
      </c>
      <c r="J649" s="6">
        <v>46106</v>
      </c>
      <c r="K649" s="6">
        <v>46106</v>
      </c>
      <c r="L649" s="6">
        <v>46106</v>
      </c>
      <c r="M649" s="7">
        <v>26</v>
      </c>
      <c r="N649" s="7">
        <v>-414200</v>
      </c>
      <c r="O649" s="7">
        <v>-414200</v>
      </c>
      <c r="P649" s="7">
        <v>0</v>
      </c>
      <c r="Q649" s="7">
        <v>-414200</v>
      </c>
      <c r="R649" s="7">
        <v>0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  <c r="X649" s="7">
        <v>0</v>
      </c>
      <c r="Y649" s="5" t="s">
        <v>47</v>
      </c>
      <c r="Z649" s="6"/>
      <c r="AA649" s="5" t="s">
        <v>501</v>
      </c>
      <c r="AB649" s="5" t="s">
        <v>51</v>
      </c>
      <c r="AC649" s="5" t="s">
        <v>51</v>
      </c>
      <c r="AD649" s="5" t="s">
        <v>51</v>
      </c>
      <c r="AE649" s="5" t="s">
        <v>51</v>
      </c>
      <c r="AF649" s="5" t="s">
        <v>685</v>
      </c>
    </row>
    <row r="650" spans="1:32" ht="15.65" customHeight="1" x14ac:dyDescent="0.35">
      <c r="A650" s="5" t="s">
        <v>73</v>
      </c>
      <c r="B650" s="5" t="s">
        <v>74</v>
      </c>
      <c r="C650" s="5" t="s">
        <v>47</v>
      </c>
      <c r="D650" s="5">
        <v>3000952</v>
      </c>
      <c r="E650" s="11">
        <v>3000952</v>
      </c>
      <c r="F650" s="11" t="s">
        <v>665</v>
      </c>
      <c r="G650" s="5" t="s">
        <v>665</v>
      </c>
      <c r="H650" s="5" t="s">
        <v>54</v>
      </c>
      <c r="I650" s="5">
        <v>6956850</v>
      </c>
      <c r="J650" s="6">
        <v>46106</v>
      </c>
      <c r="K650" s="6">
        <v>46106</v>
      </c>
      <c r="L650" s="6">
        <v>46106</v>
      </c>
      <c r="M650" s="7">
        <v>26</v>
      </c>
      <c r="N650" s="7">
        <v>-414200</v>
      </c>
      <c r="O650" s="7">
        <v>-414200</v>
      </c>
      <c r="P650" s="7">
        <v>0</v>
      </c>
      <c r="Q650" s="7">
        <v>-414200</v>
      </c>
      <c r="R650" s="7">
        <v>0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5" t="s">
        <v>47</v>
      </c>
      <c r="Z650" s="6"/>
      <c r="AA650" s="5" t="s">
        <v>501</v>
      </c>
      <c r="AB650" s="5" t="s">
        <v>51</v>
      </c>
      <c r="AC650" s="5" t="s">
        <v>51</v>
      </c>
      <c r="AD650" s="5" t="s">
        <v>51</v>
      </c>
      <c r="AE650" s="5" t="s">
        <v>51</v>
      </c>
      <c r="AF650" s="5" t="s">
        <v>686</v>
      </c>
    </row>
    <row r="651" spans="1:32" ht="15.65" customHeight="1" x14ac:dyDescent="0.35">
      <c r="A651" s="5" t="s">
        <v>73</v>
      </c>
      <c r="B651" s="5" t="s">
        <v>74</v>
      </c>
      <c r="C651" s="5" t="s">
        <v>47</v>
      </c>
      <c r="D651" s="5">
        <v>3000952</v>
      </c>
      <c r="E651" s="11">
        <v>3000950</v>
      </c>
      <c r="F651" s="11" t="s">
        <v>665</v>
      </c>
      <c r="G651" s="5" t="s">
        <v>665</v>
      </c>
      <c r="H651" s="5" t="s">
        <v>54</v>
      </c>
      <c r="I651" s="5">
        <v>6957062</v>
      </c>
      <c r="J651" s="6">
        <v>46106</v>
      </c>
      <c r="K651" s="6">
        <v>46106</v>
      </c>
      <c r="L651" s="6">
        <v>46106</v>
      </c>
      <c r="M651" s="7">
        <v>26</v>
      </c>
      <c r="N651" s="7">
        <v>-17757165</v>
      </c>
      <c r="O651" s="7">
        <v>-17757165</v>
      </c>
      <c r="P651" s="7">
        <v>0</v>
      </c>
      <c r="Q651" s="7">
        <v>-17757165</v>
      </c>
      <c r="R651" s="7">
        <v>0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0</v>
      </c>
      <c r="Y651" s="5" t="s">
        <v>47</v>
      </c>
      <c r="Z651" s="6"/>
      <c r="AA651" s="5" t="s">
        <v>501</v>
      </c>
      <c r="AB651" s="5" t="s">
        <v>51</v>
      </c>
      <c r="AC651" s="5" t="s">
        <v>51</v>
      </c>
      <c r="AD651" s="5" t="s">
        <v>51</v>
      </c>
      <c r="AE651" s="5" t="s">
        <v>51</v>
      </c>
      <c r="AF651" s="5" t="s">
        <v>687</v>
      </c>
    </row>
    <row r="652" spans="1:32" ht="15.65" customHeight="1" x14ac:dyDescent="0.35">
      <c r="A652" s="5" t="s">
        <v>73</v>
      </c>
      <c r="B652" s="5" t="s">
        <v>74</v>
      </c>
      <c r="C652" s="5" t="s">
        <v>47</v>
      </c>
      <c r="D652" s="5">
        <v>3000952</v>
      </c>
      <c r="E652" s="11">
        <v>3000952</v>
      </c>
      <c r="F652" s="11" t="s">
        <v>665</v>
      </c>
      <c r="G652" s="5" t="s">
        <v>665</v>
      </c>
      <c r="H652" s="5" t="s">
        <v>54</v>
      </c>
      <c r="I652" s="5">
        <v>6957063</v>
      </c>
      <c r="J652" s="6">
        <v>46106</v>
      </c>
      <c r="K652" s="6">
        <v>46106</v>
      </c>
      <c r="L652" s="6">
        <v>46106</v>
      </c>
      <c r="M652" s="7">
        <v>26</v>
      </c>
      <c r="N652" s="7">
        <v>-65785888</v>
      </c>
      <c r="O652" s="7">
        <v>-65785888</v>
      </c>
      <c r="P652" s="7">
        <v>0</v>
      </c>
      <c r="Q652" s="7">
        <v>-65785888</v>
      </c>
      <c r="R652" s="7">
        <v>0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0</v>
      </c>
      <c r="Y652" s="5" t="s">
        <v>47</v>
      </c>
      <c r="Z652" s="6"/>
      <c r="AA652" s="5" t="s">
        <v>501</v>
      </c>
      <c r="AB652" s="5" t="s">
        <v>51</v>
      </c>
      <c r="AC652" s="5" t="s">
        <v>51</v>
      </c>
      <c r="AD652" s="5" t="s">
        <v>51</v>
      </c>
      <c r="AE652" s="5" t="s">
        <v>51</v>
      </c>
      <c r="AF652" s="5" t="s">
        <v>687</v>
      </c>
    </row>
    <row r="653" spans="1:32" ht="15.65" customHeight="1" x14ac:dyDescent="0.35">
      <c r="A653" s="5" t="s">
        <v>73</v>
      </c>
      <c r="B653" s="5" t="s">
        <v>74</v>
      </c>
      <c r="C653" s="5" t="s">
        <v>47</v>
      </c>
      <c r="D653" s="5">
        <v>3000952</v>
      </c>
      <c r="E653" s="11">
        <v>3001567</v>
      </c>
      <c r="F653" s="11" t="s">
        <v>665</v>
      </c>
      <c r="G653" s="5" t="s">
        <v>665</v>
      </c>
      <c r="H653" s="5" t="s">
        <v>54</v>
      </c>
      <c r="I653" s="5">
        <v>6957086</v>
      </c>
      <c r="J653" s="6">
        <v>46106</v>
      </c>
      <c r="K653" s="6">
        <v>46106</v>
      </c>
      <c r="L653" s="6">
        <v>46106</v>
      </c>
      <c r="M653" s="7">
        <v>26</v>
      </c>
      <c r="N653" s="7">
        <v>-15474872</v>
      </c>
      <c r="O653" s="7">
        <v>-15474872</v>
      </c>
      <c r="P653" s="7">
        <v>0</v>
      </c>
      <c r="Q653" s="7">
        <v>-15474872</v>
      </c>
      <c r="R653" s="7">
        <v>0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5" t="s">
        <v>47</v>
      </c>
      <c r="Z653" s="6"/>
      <c r="AA653" s="5" t="s">
        <v>501</v>
      </c>
      <c r="AB653" s="5" t="s">
        <v>51</v>
      </c>
      <c r="AC653" s="5" t="s">
        <v>51</v>
      </c>
      <c r="AD653" s="5" t="s">
        <v>51</v>
      </c>
      <c r="AE653" s="5" t="s">
        <v>51</v>
      </c>
      <c r="AF653" s="5" t="s">
        <v>687</v>
      </c>
    </row>
    <row r="654" spans="1:32" ht="15.65" customHeight="1" x14ac:dyDescent="0.35">
      <c r="A654" s="5" t="s">
        <v>73</v>
      </c>
      <c r="B654" s="5" t="s">
        <v>74</v>
      </c>
      <c r="C654" s="5" t="s">
        <v>47</v>
      </c>
      <c r="D654" s="5">
        <v>3000952</v>
      </c>
      <c r="E654" s="11">
        <v>3000952</v>
      </c>
      <c r="F654" s="11" t="s">
        <v>665</v>
      </c>
      <c r="G654" s="5" t="s">
        <v>665</v>
      </c>
      <c r="H654" s="5" t="s">
        <v>54</v>
      </c>
      <c r="I654" s="5">
        <v>6957490</v>
      </c>
      <c r="J654" s="6">
        <v>46107</v>
      </c>
      <c r="K654" s="6">
        <v>46107</v>
      </c>
      <c r="L654" s="6">
        <v>46107</v>
      </c>
      <c r="M654" s="7">
        <v>25</v>
      </c>
      <c r="N654" s="7">
        <v>-2022653</v>
      </c>
      <c r="O654" s="7">
        <v>-2022653</v>
      </c>
      <c r="P654" s="7">
        <v>0</v>
      </c>
      <c r="Q654" s="7">
        <v>-2022653</v>
      </c>
      <c r="R654" s="7">
        <v>0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  <c r="X654" s="7">
        <v>0</v>
      </c>
      <c r="Y654" s="5" t="s">
        <v>47</v>
      </c>
      <c r="Z654" s="6"/>
      <c r="AA654" s="5" t="s">
        <v>501</v>
      </c>
      <c r="AB654" s="5" t="s">
        <v>51</v>
      </c>
      <c r="AC654" s="5" t="s">
        <v>51</v>
      </c>
      <c r="AD654" s="5" t="s">
        <v>51</v>
      </c>
      <c r="AE654" s="5" t="s">
        <v>51</v>
      </c>
      <c r="AF654" s="5" t="s">
        <v>312</v>
      </c>
    </row>
    <row r="655" spans="1:32" ht="15.65" customHeight="1" x14ac:dyDescent="0.35">
      <c r="A655" s="5" t="s">
        <v>73</v>
      </c>
      <c r="B655" s="5" t="s">
        <v>74</v>
      </c>
      <c r="C655" s="5" t="s">
        <v>47</v>
      </c>
      <c r="D655" s="5">
        <v>3000952</v>
      </c>
      <c r="E655" s="11">
        <v>3000950</v>
      </c>
      <c r="F655" s="11" t="s">
        <v>665</v>
      </c>
      <c r="G655" s="5" t="s">
        <v>665</v>
      </c>
      <c r="H655" s="5" t="s">
        <v>54</v>
      </c>
      <c r="I655" s="5">
        <v>6957593</v>
      </c>
      <c r="J655" s="6">
        <v>46109</v>
      </c>
      <c r="K655" s="6">
        <v>46109</v>
      </c>
      <c r="L655" s="6">
        <v>46109</v>
      </c>
      <c r="M655" s="7">
        <v>23</v>
      </c>
      <c r="N655" s="7">
        <v>-4217815</v>
      </c>
      <c r="O655" s="7">
        <v>-4217815</v>
      </c>
      <c r="P655" s="7">
        <v>0</v>
      </c>
      <c r="Q655" s="7">
        <v>-4217815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5" t="s">
        <v>47</v>
      </c>
      <c r="Z655" s="6"/>
      <c r="AA655" s="5" t="s">
        <v>501</v>
      </c>
      <c r="AB655" s="5" t="s">
        <v>51</v>
      </c>
      <c r="AC655" s="5" t="s">
        <v>51</v>
      </c>
      <c r="AD655" s="5" t="s">
        <v>51</v>
      </c>
      <c r="AE655" s="5" t="s">
        <v>51</v>
      </c>
      <c r="AF655" s="5" t="s">
        <v>688</v>
      </c>
    </row>
    <row r="656" spans="1:32" ht="15.65" customHeight="1" x14ac:dyDescent="0.35">
      <c r="A656" s="5" t="s">
        <v>73</v>
      </c>
      <c r="B656" s="5" t="s">
        <v>74</v>
      </c>
      <c r="C656" s="5" t="s">
        <v>47</v>
      </c>
      <c r="D656" s="5">
        <v>3000952</v>
      </c>
      <c r="E656" s="11">
        <v>3000952</v>
      </c>
      <c r="F656" s="11" t="s">
        <v>665</v>
      </c>
      <c r="G656" s="5" t="s">
        <v>665</v>
      </c>
      <c r="H656" s="5" t="s">
        <v>54</v>
      </c>
      <c r="I656" s="5">
        <v>6957594</v>
      </c>
      <c r="J656" s="6">
        <v>46109</v>
      </c>
      <c r="K656" s="6">
        <v>46109</v>
      </c>
      <c r="L656" s="6">
        <v>46109</v>
      </c>
      <c r="M656" s="7">
        <v>23</v>
      </c>
      <c r="N656" s="7">
        <v>-14785894</v>
      </c>
      <c r="O656" s="7">
        <v>-14785894</v>
      </c>
      <c r="P656" s="7">
        <v>0</v>
      </c>
      <c r="Q656" s="7">
        <v>-14785894</v>
      </c>
      <c r="R656" s="7">
        <v>0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5" t="s">
        <v>47</v>
      </c>
      <c r="Z656" s="6"/>
      <c r="AA656" s="5" t="s">
        <v>501</v>
      </c>
      <c r="AB656" s="5" t="s">
        <v>51</v>
      </c>
      <c r="AC656" s="5" t="s">
        <v>51</v>
      </c>
      <c r="AD656" s="5" t="s">
        <v>51</v>
      </c>
      <c r="AE656" s="5" t="s">
        <v>51</v>
      </c>
      <c r="AF656" s="5" t="s">
        <v>688</v>
      </c>
    </row>
    <row r="657" spans="1:32" ht="15.65" customHeight="1" x14ac:dyDescent="0.35">
      <c r="A657" s="5" t="s">
        <v>73</v>
      </c>
      <c r="B657" s="5" t="s">
        <v>74</v>
      </c>
      <c r="C657" s="5" t="s">
        <v>47</v>
      </c>
      <c r="D657" s="5">
        <v>3000952</v>
      </c>
      <c r="E657" s="11">
        <v>3001567</v>
      </c>
      <c r="F657" s="11" t="s">
        <v>665</v>
      </c>
      <c r="G657" s="5" t="s">
        <v>665</v>
      </c>
      <c r="H657" s="5" t="s">
        <v>54</v>
      </c>
      <c r="I657" s="5">
        <v>6957596</v>
      </c>
      <c r="J657" s="6">
        <v>46109</v>
      </c>
      <c r="K657" s="6">
        <v>46109</v>
      </c>
      <c r="L657" s="6">
        <v>46109</v>
      </c>
      <c r="M657" s="7">
        <v>23</v>
      </c>
      <c r="N657" s="7">
        <v>-1310984</v>
      </c>
      <c r="O657" s="7">
        <v>-1310984</v>
      </c>
      <c r="P657" s="7">
        <v>0</v>
      </c>
      <c r="Q657" s="7">
        <v>-1310984</v>
      </c>
      <c r="R657" s="7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5" t="s">
        <v>47</v>
      </c>
      <c r="Z657" s="6"/>
      <c r="AA657" s="5" t="s">
        <v>501</v>
      </c>
      <c r="AB657" s="5" t="s">
        <v>51</v>
      </c>
      <c r="AC657" s="5" t="s">
        <v>51</v>
      </c>
      <c r="AD657" s="5" t="s">
        <v>51</v>
      </c>
      <c r="AE657" s="5" t="s">
        <v>51</v>
      </c>
      <c r="AF657" s="5" t="s">
        <v>688</v>
      </c>
    </row>
    <row r="658" spans="1:32" ht="15.65" customHeight="1" x14ac:dyDescent="0.35">
      <c r="A658" s="5" t="s">
        <v>73</v>
      </c>
      <c r="B658" s="5" t="s">
        <v>74</v>
      </c>
      <c r="C658" s="5" t="s">
        <v>47</v>
      </c>
      <c r="D658" s="5">
        <v>3000952</v>
      </c>
      <c r="E658" s="11">
        <v>3000952</v>
      </c>
      <c r="F658" s="11" t="s">
        <v>665</v>
      </c>
      <c r="G658" s="5" t="s">
        <v>665</v>
      </c>
      <c r="H658" s="5" t="s">
        <v>54</v>
      </c>
      <c r="I658" s="5">
        <v>6957989</v>
      </c>
      <c r="J658" s="6">
        <v>46118</v>
      </c>
      <c r="K658" s="6">
        <v>46118</v>
      </c>
      <c r="L658" s="6">
        <v>46118</v>
      </c>
      <c r="M658" s="7">
        <v>14</v>
      </c>
      <c r="N658" s="7">
        <v>-1100265</v>
      </c>
      <c r="O658" s="7">
        <v>-1100265</v>
      </c>
      <c r="P658" s="7">
        <v>0</v>
      </c>
      <c r="Q658" s="7">
        <v>-1100265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5" t="s">
        <v>47</v>
      </c>
      <c r="Z658" s="6"/>
      <c r="AA658" s="5" t="s">
        <v>501</v>
      </c>
      <c r="AB658" s="5" t="s">
        <v>51</v>
      </c>
      <c r="AC658" s="5" t="s">
        <v>51</v>
      </c>
      <c r="AD658" s="5" t="s">
        <v>51</v>
      </c>
      <c r="AE658" s="5" t="s">
        <v>51</v>
      </c>
      <c r="AF658" s="5" t="s">
        <v>689</v>
      </c>
    </row>
    <row r="659" spans="1:32" ht="15.65" customHeight="1" x14ac:dyDescent="0.35">
      <c r="A659" s="5" t="s">
        <v>73</v>
      </c>
      <c r="B659" s="5" t="s">
        <v>74</v>
      </c>
      <c r="C659" s="5" t="s">
        <v>47</v>
      </c>
      <c r="D659" s="5">
        <v>3000952</v>
      </c>
      <c r="E659" s="11">
        <v>3000952</v>
      </c>
      <c r="F659" s="11" t="s">
        <v>665</v>
      </c>
      <c r="G659" s="5" t="s">
        <v>665</v>
      </c>
      <c r="H659" s="5" t="s">
        <v>111</v>
      </c>
      <c r="I659" s="5">
        <v>6958220</v>
      </c>
      <c r="J659" s="6">
        <v>46119</v>
      </c>
      <c r="K659" s="6">
        <v>46119</v>
      </c>
      <c r="L659" s="6">
        <v>46119</v>
      </c>
      <c r="M659" s="7">
        <v>13</v>
      </c>
      <c r="N659" s="7">
        <v>-869050</v>
      </c>
      <c r="O659" s="7">
        <v>-869050</v>
      </c>
      <c r="P659" s="7">
        <v>0</v>
      </c>
      <c r="Q659" s="7">
        <v>-869050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5" t="s">
        <v>47</v>
      </c>
      <c r="Z659" s="6"/>
      <c r="AA659" s="5" t="s">
        <v>501</v>
      </c>
      <c r="AB659" s="5" t="s">
        <v>51</v>
      </c>
      <c r="AC659" s="5" t="s">
        <v>51</v>
      </c>
      <c r="AD659" s="5" t="s">
        <v>51</v>
      </c>
      <c r="AE659" s="5" t="s">
        <v>51</v>
      </c>
      <c r="AF659" s="5" t="s">
        <v>294</v>
      </c>
    </row>
    <row r="660" spans="1:32" ht="15.65" customHeight="1" x14ac:dyDescent="0.35">
      <c r="A660" s="5" t="s">
        <v>73</v>
      </c>
      <c r="B660" s="5" t="s">
        <v>74</v>
      </c>
      <c r="C660" s="5" t="s">
        <v>47</v>
      </c>
      <c r="D660" s="5">
        <v>3000952</v>
      </c>
      <c r="E660" s="11">
        <v>3000952</v>
      </c>
      <c r="F660" s="11" t="s">
        <v>665</v>
      </c>
      <c r="G660" s="5" t="s">
        <v>665</v>
      </c>
      <c r="H660" s="5" t="s">
        <v>54</v>
      </c>
      <c r="I660" s="5">
        <v>6958367</v>
      </c>
      <c r="J660" s="6">
        <v>46121</v>
      </c>
      <c r="K660" s="6">
        <v>46121</v>
      </c>
      <c r="L660" s="6">
        <v>46121</v>
      </c>
      <c r="M660" s="7">
        <v>11</v>
      </c>
      <c r="N660" s="7">
        <v>-617868</v>
      </c>
      <c r="O660" s="7">
        <v>-617868</v>
      </c>
      <c r="P660" s="7">
        <v>0</v>
      </c>
      <c r="Q660" s="7">
        <v>-617868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5" t="s">
        <v>47</v>
      </c>
      <c r="Z660" s="6"/>
      <c r="AA660" s="5" t="s">
        <v>501</v>
      </c>
      <c r="AB660" s="5" t="s">
        <v>51</v>
      </c>
      <c r="AC660" s="5" t="s">
        <v>51</v>
      </c>
      <c r="AD660" s="5" t="s">
        <v>51</v>
      </c>
      <c r="AE660" s="5" t="s">
        <v>51</v>
      </c>
      <c r="AF660" s="5" t="s">
        <v>690</v>
      </c>
    </row>
    <row r="661" spans="1:32" ht="15.65" customHeight="1" x14ac:dyDescent="0.35">
      <c r="A661" s="5" t="s">
        <v>73</v>
      </c>
      <c r="B661" s="5" t="s">
        <v>74</v>
      </c>
      <c r="C661" s="5" t="s">
        <v>47</v>
      </c>
      <c r="D661" s="5">
        <v>3000952</v>
      </c>
      <c r="E661" s="11">
        <v>3000952</v>
      </c>
      <c r="F661" s="11" t="s">
        <v>665</v>
      </c>
      <c r="G661" s="5" t="s">
        <v>665</v>
      </c>
      <c r="H661" s="5" t="s">
        <v>54</v>
      </c>
      <c r="I661" s="5">
        <v>6958368</v>
      </c>
      <c r="J661" s="6">
        <v>46121</v>
      </c>
      <c r="K661" s="6">
        <v>46121</v>
      </c>
      <c r="L661" s="6">
        <v>46121</v>
      </c>
      <c r="M661" s="7">
        <v>11</v>
      </c>
      <c r="N661" s="7">
        <v>-476183</v>
      </c>
      <c r="O661" s="7">
        <v>-476183</v>
      </c>
      <c r="P661" s="7">
        <v>0</v>
      </c>
      <c r="Q661" s="7">
        <v>-476183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0</v>
      </c>
      <c r="Y661" s="5" t="s">
        <v>47</v>
      </c>
      <c r="Z661" s="6"/>
      <c r="AA661" s="5" t="s">
        <v>501</v>
      </c>
      <c r="AB661" s="5" t="s">
        <v>51</v>
      </c>
      <c r="AC661" s="5" t="s">
        <v>51</v>
      </c>
      <c r="AD661" s="5" t="s">
        <v>51</v>
      </c>
      <c r="AE661" s="5" t="s">
        <v>51</v>
      </c>
      <c r="AF661" s="5" t="s">
        <v>691</v>
      </c>
    </row>
    <row r="662" spans="1:32" ht="15.65" customHeight="1" x14ac:dyDescent="0.35">
      <c r="A662" s="5" t="s">
        <v>73</v>
      </c>
      <c r="B662" s="5" t="s">
        <v>74</v>
      </c>
      <c r="C662" s="5" t="s">
        <v>47</v>
      </c>
      <c r="D662" s="5">
        <v>3000952</v>
      </c>
      <c r="E662" s="11">
        <v>3000952</v>
      </c>
      <c r="F662" s="11" t="s">
        <v>665</v>
      </c>
      <c r="G662" s="5" t="s">
        <v>665</v>
      </c>
      <c r="H662" s="5" t="s">
        <v>54</v>
      </c>
      <c r="I662" s="5">
        <v>6958369</v>
      </c>
      <c r="J662" s="6">
        <v>46121</v>
      </c>
      <c r="K662" s="6">
        <v>46121</v>
      </c>
      <c r="L662" s="6">
        <v>46121</v>
      </c>
      <c r="M662" s="7">
        <v>11</v>
      </c>
      <c r="N662" s="7">
        <v>-196948</v>
      </c>
      <c r="O662" s="7">
        <v>-196948</v>
      </c>
      <c r="P662" s="7">
        <v>0</v>
      </c>
      <c r="Q662" s="7">
        <v>-196948</v>
      </c>
      <c r="R662" s="7">
        <v>0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  <c r="Y662" s="5" t="s">
        <v>47</v>
      </c>
      <c r="Z662" s="6"/>
      <c r="AA662" s="5" t="s">
        <v>501</v>
      </c>
      <c r="AB662" s="5" t="s">
        <v>51</v>
      </c>
      <c r="AC662" s="5" t="s">
        <v>51</v>
      </c>
      <c r="AD662" s="5" t="s">
        <v>51</v>
      </c>
      <c r="AE662" s="5" t="s">
        <v>51</v>
      </c>
      <c r="AF662" s="5" t="s">
        <v>692</v>
      </c>
    </row>
    <row r="663" spans="1:32" ht="15.65" customHeight="1" x14ac:dyDescent="0.35">
      <c r="A663" s="5" t="s">
        <v>73</v>
      </c>
      <c r="B663" s="5" t="s">
        <v>74</v>
      </c>
      <c r="C663" s="5" t="s">
        <v>47</v>
      </c>
      <c r="D663" s="5">
        <v>3000952</v>
      </c>
      <c r="E663" s="11">
        <v>3000952</v>
      </c>
      <c r="F663" s="11" t="s">
        <v>665</v>
      </c>
      <c r="G663" s="5" t="s">
        <v>665</v>
      </c>
      <c r="H663" s="5" t="s">
        <v>54</v>
      </c>
      <c r="I663" s="5">
        <v>6958370</v>
      </c>
      <c r="J663" s="6">
        <v>46121</v>
      </c>
      <c r="K663" s="6">
        <v>46121</v>
      </c>
      <c r="L663" s="6">
        <v>46121</v>
      </c>
      <c r="M663" s="7">
        <v>11</v>
      </c>
      <c r="N663" s="7">
        <v>-218000</v>
      </c>
      <c r="O663" s="7">
        <v>-218000</v>
      </c>
      <c r="P663" s="7">
        <v>0</v>
      </c>
      <c r="Q663" s="7">
        <v>-218000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5" t="s">
        <v>47</v>
      </c>
      <c r="Z663" s="6"/>
      <c r="AA663" s="5" t="s">
        <v>501</v>
      </c>
      <c r="AB663" s="5" t="s">
        <v>51</v>
      </c>
      <c r="AC663" s="5" t="s">
        <v>51</v>
      </c>
      <c r="AD663" s="5" t="s">
        <v>51</v>
      </c>
      <c r="AE663" s="5" t="s">
        <v>51</v>
      </c>
      <c r="AF663" s="5" t="s">
        <v>666</v>
      </c>
    </row>
    <row r="664" spans="1:32" ht="15.65" customHeight="1" x14ac:dyDescent="0.35">
      <c r="A664" s="5" t="s">
        <v>73</v>
      </c>
      <c r="B664" s="5" t="s">
        <v>74</v>
      </c>
      <c r="C664" s="5" t="s">
        <v>47</v>
      </c>
      <c r="D664" s="5">
        <v>3000952</v>
      </c>
      <c r="E664" s="11">
        <v>3000952</v>
      </c>
      <c r="F664" s="11" t="s">
        <v>665</v>
      </c>
      <c r="G664" s="5" t="s">
        <v>665</v>
      </c>
      <c r="H664" s="5" t="s">
        <v>54</v>
      </c>
      <c r="I664" s="5">
        <v>6958393</v>
      </c>
      <c r="J664" s="6">
        <v>46121</v>
      </c>
      <c r="K664" s="6">
        <v>46121</v>
      </c>
      <c r="L664" s="6">
        <v>46121</v>
      </c>
      <c r="M664" s="7">
        <v>11</v>
      </c>
      <c r="N664" s="7">
        <v>-1311082</v>
      </c>
      <c r="O664" s="7">
        <v>-1311082</v>
      </c>
      <c r="P664" s="7">
        <v>0</v>
      </c>
      <c r="Q664" s="7">
        <v>-1311082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5" t="s">
        <v>47</v>
      </c>
      <c r="Z664" s="6"/>
      <c r="AA664" s="5" t="s">
        <v>501</v>
      </c>
      <c r="AB664" s="5" t="s">
        <v>51</v>
      </c>
      <c r="AC664" s="5" t="s">
        <v>51</v>
      </c>
      <c r="AD664" s="5" t="s">
        <v>51</v>
      </c>
      <c r="AE664" s="5" t="s">
        <v>51</v>
      </c>
      <c r="AF664" s="5" t="s">
        <v>689</v>
      </c>
    </row>
    <row r="665" spans="1:32" ht="15.65" customHeight="1" x14ac:dyDescent="0.35">
      <c r="A665" s="5" t="s">
        <v>73</v>
      </c>
      <c r="B665" s="5" t="s">
        <v>74</v>
      </c>
      <c r="C665" s="5" t="s">
        <v>47</v>
      </c>
      <c r="D665" s="5">
        <v>3000952</v>
      </c>
      <c r="E665" s="11">
        <v>3000952</v>
      </c>
      <c r="F665" s="11" t="s">
        <v>665</v>
      </c>
      <c r="G665" s="5" t="s">
        <v>665</v>
      </c>
      <c r="H665" s="5" t="s">
        <v>54</v>
      </c>
      <c r="I665" s="5">
        <v>6958461</v>
      </c>
      <c r="J665" s="6">
        <v>46121</v>
      </c>
      <c r="K665" s="6">
        <v>46121</v>
      </c>
      <c r="L665" s="6">
        <v>46121</v>
      </c>
      <c r="M665" s="7">
        <v>11</v>
      </c>
      <c r="N665" s="7">
        <v>-697796</v>
      </c>
      <c r="O665" s="7">
        <v>-697796</v>
      </c>
      <c r="P665" s="7">
        <v>0</v>
      </c>
      <c r="Q665" s="7">
        <v>-697796</v>
      </c>
      <c r="R665" s="7">
        <v>0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  <c r="X665" s="7">
        <v>0</v>
      </c>
      <c r="Y665" s="5" t="s">
        <v>47</v>
      </c>
      <c r="Z665" s="6"/>
      <c r="AA665" s="5" t="s">
        <v>501</v>
      </c>
      <c r="AB665" s="5" t="s">
        <v>51</v>
      </c>
      <c r="AC665" s="5" t="s">
        <v>51</v>
      </c>
      <c r="AD665" s="5" t="s">
        <v>51</v>
      </c>
      <c r="AE665" s="5" t="s">
        <v>51</v>
      </c>
      <c r="AF665" s="5" t="s">
        <v>690</v>
      </c>
    </row>
    <row r="666" spans="1:32" ht="15.65" customHeight="1" x14ac:dyDescent="0.35">
      <c r="A666" s="5" t="s">
        <v>73</v>
      </c>
      <c r="B666" s="5" t="s">
        <v>74</v>
      </c>
      <c r="C666" s="5" t="s">
        <v>47</v>
      </c>
      <c r="D666" s="5">
        <v>3000952</v>
      </c>
      <c r="E666" s="11">
        <v>3000952</v>
      </c>
      <c r="F666" s="11" t="s">
        <v>665</v>
      </c>
      <c r="G666" s="5" t="s">
        <v>665</v>
      </c>
      <c r="H666" s="5" t="s">
        <v>54</v>
      </c>
      <c r="I666" s="5">
        <v>6958462</v>
      </c>
      <c r="J666" s="6">
        <v>46121</v>
      </c>
      <c r="K666" s="6">
        <v>46121</v>
      </c>
      <c r="L666" s="6">
        <v>46121</v>
      </c>
      <c r="M666" s="7">
        <v>11</v>
      </c>
      <c r="N666" s="7">
        <v>-457800</v>
      </c>
      <c r="O666" s="7">
        <v>-457800</v>
      </c>
      <c r="P666" s="7">
        <v>0</v>
      </c>
      <c r="Q666" s="7">
        <v>-457800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5" t="s">
        <v>47</v>
      </c>
      <c r="Z666" s="6"/>
      <c r="AA666" s="5" t="s">
        <v>501</v>
      </c>
      <c r="AB666" s="5" t="s">
        <v>51</v>
      </c>
      <c r="AC666" s="5" t="s">
        <v>51</v>
      </c>
      <c r="AD666" s="5" t="s">
        <v>51</v>
      </c>
      <c r="AE666" s="5" t="s">
        <v>51</v>
      </c>
      <c r="AF666" s="5" t="s">
        <v>693</v>
      </c>
    </row>
    <row r="667" spans="1:32" ht="15.65" customHeight="1" x14ac:dyDescent="0.35">
      <c r="A667" s="5" t="s">
        <v>73</v>
      </c>
      <c r="B667" s="5" t="s">
        <v>74</v>
      </c>
      <c r="C667" s="5" t="s">
        <v>47</v>
      </c>
      <c r="D667" s="5">
        <v>3000952</v>
      </c>
      <c r="E667" s="11">
        <v>3001567</v>
      </c>
      <c r="F667" s="11" t="s">
        <v>665</v>
      </c>
      <c r="G667" s="5" t="s">
        <v>665</v>
      </c>
      <c r="H667" s="5" t="s">
        <v>54</v>
      </c>
      <c r="I667" s="5">
        <v>6958470</v>
      </c>
      <c r="J667" s="6">
        <v>46121</v>
      </c>
      <c r="K667" s="6">
        <v>46121</v>
      </c>
      <c r="L667" s="6">
        <v>46121</v>
      </c>
      <c r="M667" s="7">
        <v>11</v>
      </c>
      <c r="N667" s="7">
        <v>-545000</v>
      </c>
      <c r="O667" s="7">
        <v>-545000</v>
      </c>
      <c r="P667" s="7">
        <v>0</v>
      </c>
      <c r="Q667" s="7">
        <v>-545000</v>
      </c>
      <c r="R667" s="7">
        <v>0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5" t="s">
        <v>47</v>
      </c>
      <c r="Z667" s="6"/>
      <c r="AA667" s="5" t="s">
        <v>501</v>
      </c>
      <c r="AB667" s="5" t="s">
        <v>51</v>
      </c>
      <c r="AC667" s="5" t="s">
        <v>51</v>
      </c>
      <c r="AD667" s="5" t="s">
        <v>51</v>
      </c>
      <c r="AE667" s="5" t="s">
        <v>51</v>
      </c>
      <c r="AF667" s="5" t="s">
        <v>694</v>
      </c>
    </row>
    <row r="668" spans="1:32" ht="15.65" customHeight="1" x14ac:dyDescent="0.35">
      <c r="A668" s="5" t="s">
        <v>73</v>
      </c>
      <c r="B668" s="5" t="s">
        <v>74</v>
      </c>
      <c r="C668" s="5" t="s">
        <v>47</v>
      </c>
      <c r="D668" s="5">
        <v>3000952</v>
      </c>
      <c r="E668" s="11">
        <v>3000950</v>
      </c>
      <c r="F668" s="11" t="s">
        <v>665</v>
      </c>
      <c r="G668" s="5" t="s">
        <v>665</v>
      </c>
      <c r="H668" s="5" t="s">
        <v>54</v>
      </c>
      <c r="I668" s="5">
        <v>6958479</v>
      </c>
      <c r="J668" s="6">
        <v>46121</v>
      </c>
      <c r="K668" s="6">
        <v>46121</v>
      </c>
      <c r="L668" s="6">
        <v>46121</v>
      </c>
      <c r="M668" s="7">
        <v>11</v>
      </c>
      <c r="N668" s="7">
        <v>-457800</v>
      </c>
      <c r="O668" s="7">
        <v>-457800</v>
      </c>
      <c r="P668" s="7">
        <v>0</v>
      </c>
      <c r="Q668" s="7">
        <v>-457800</v>
      </c>
      <c r="R668" s="7">
        <v>0</v>
      </c>
      <c r="S668" s="7">
        <v>0</v>
      </c>
      <c r="T668" s="7">
        <v>0</v>
      </c>
      <c r="U668" s="7">
        <v>0</v>
      </c>
      <c r="V668" s="7">
        <v>0</v>
      </c>
      <c r="W668" s="7">
        <v>0</v>
      </c>
      <c r="X668" s="7">
        <v>0</v>
      </c>
      <c r="Y668" s="5" t="s">
        <v>47</v>
      </c>
      <c r="Z668" s="6"/>
      <c r="AA668" s="5" t="s">
        <v>501</v>
      </c>
      <c r="AB668" s="5" t="s">
        <v>51</v>
      </c>
      <c r="AC668" s="5" t="s">
        <v>51</v>
      </c>
      <c r="AD668" s="5" t="s">
        <v>51</v>
      </c>
      <c r="AE668" s="5" t="s">
        <v>51</v>
      </c>
      <c r="AF668" s="5" t="s">
        <v>695</v>
      </c>
    </row>
    <row r="669" spans="1:32" ht="15.65" customHeight="1" x14ac:dyDescent="0.35">
      <c r="A669" s="5" t="s">
        <v>73</v>
      </c>
      <c r="B669" s="5" t="s">
        <v>74</v>
      </c>
      <c r="C669" s="5" t="s">
        <v>47</v>
      </c>
      <c r="D669" s="5">
        <v>3000952</v>
      </c>
      <c r="E669" s="11">
        <v>3001567</v>
      </c>
      <c r="F669" s="11" t="s">
        <v>665</v>
      </c>
      <c r="G669" s="5" t="s">
        <v>665</v>
      </c>
      <c r="H669" s="5" t="s">
        <v>54</v>
      </c>
      <c r="I669" s="5">
        <v>6958483</v>
      </c>
      <c r="J669" s="6">
        <v>46121</v>
      </c>
      <c r="K669" s="6">
        <v>46121</v>
      </c>
      <c r="L669" s="6">
        <v>46121</v>
      </c>
      <c r="M669" s="7">
        <v>11</v>
      </c>
      <c r="N669" s="7">
        <v>-457800</v>
      </c>
      <c r="O669" s="7">
        <v>-457800</v>
      </c>
      <c r="P669" s="7">
        <v>0</v>
      </c>
      <c r="Q669" s="7">
        <v>-457800</v>
      </c>
      <c r="R669" s="7">
        <v>0</v>
      </c>
      <c r="S669" s="7">
        <v>0</v>
      </c>
      <c r="T669" s="7">
        <v>0</v>
      </c>
      <c r="U669" s="7">
        <v>0</v>
      </c>
      <c r="V669" s="7">
        <v>0</v>
      </c>
      <c r="W669" s="7">
        <v>0</v>
      </c>
      <c r="X669" s="7">
        <v>0</v>
      </c>
      <c r="Y669" s="5" t="s">
        <v>47</v>
      </c>
      <c r="Z669" s="6"/>
      <c r="AA669" s="5" t="s">
        <v>501</v>
      </c>
      <c r="AB669" s="5" t="s">
        <v>51</v>
      </c>
      <c r="AC669" s="5" t="s">
        <v>51</v>
      </c>
      <c r="AD669" s="5" t="s">
        <v>51</v>
      </c>
      <c r="AE669" s="5" t="s">
        <v>51</v>
      </c>
      <c r="AF669" s="5" t="s">
        <v>696</v>
      </c>
    </row>
    <row r="670" spans="1:32" ht="15.65" customHeight="1" x14ac:dyDescent="0.35">
      <c r="A670" s="5" t="s">
        <v>73</v>
      </c>
      <c r="B670" s="5" t="s">
        <v>74</v>
      </c>
      <c r="C670" s="5" t="s">
        <v>47</v>
      </c>
      <c r="D670" s="5">
        <v>3000952</v>
      </c>
      <c r="E670" s="11">
        <v>3000952</v>
      </c>
      <c r="F670" s="11" t="s">
        <v>665</v>
      </c>
      <c r="G670" s="5" t="s">
        <v>665</v>
      </c>
      <c r="H670" s="5" t="s">
        <v>54</v>
      </c>
      <c r="I670" s="5">
        <v>6958698</v>
      </c>
      <c r="J670" s="6">
        <v>46122</v>
      </c>
      <c r="K670" s="6">
        <v>46122</v>
      </c>
      <c r="L670" s="6">
        <v>46122</v>
      </c>
      <c r="M670" s="7">
        <v>10</v>
      </c>
      <c r="N670" s="7">
        <v>-163500</v>
      </c>
      <c r="O670" s="7">
        <v>-163500</v>
      </c>
      <c r="P670" s="7">
        <v>0</v>
      </c>
      <c r="Q670" s="7">
        <v>-163500</v>
      </c>
      <c r="R670" s="7">
        <v>0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5" t="s">
        <v>47</v>
      </c>
      <c r="Z670" s="6"/>
      <c r="AA670" s="5" t="s">
        <v>501</v>
      </c>
      <c r="AB670" s="5" t="s">
        <v>51</v>
      </c>
      <c r="AC670" s="5" t="s">
        <v>51</v>
      </c>
      <c r="AD670" s="5" t="s">
        <v>51</v>
      </c>
      <c r="AE670" s="5" t="s">
        <v>51</v>
      </c>
      <c r="AF670" s="5" t="s">
        <v>697</v>
      </c>
    </row>
    <row r="671" spans="1:32" ht="15.65" customHeight="1" x14ac:dyDescent="0.35">
      <c r="A671" s="5" t="s">
        <v>73</v>
      </c>
      <c r="B671" s="5" t="s">
        <v>74</v>
      </c>
      <c r="C671" s="5" t="s">
        <v>47</v>
      </c>
      <c r="D671" s="5">
        <v>3000952</v>
      </c>
      <c r="E671" s="11">
        <v>3000952</v>
      </c>
      <c r="F671" s="11" t="s">
        <v>665</v>
      </c>
      <c r="G671" s="5" t="s">
        <v>665</v>
      </c>
      <c r="H671" s="5" t="s">
        <v>54</v>
      </c>
      <c r="I671" s="5">
        <v>6958699</v>
      </c>
      <c r="J671" s="6">
        <v>46122</v>
      </c>
      <c r="K671" s="6">
        <v>46122</v>
      </c>
      <c r="L671" s="6">
        <v>46122</v>
      </c>
      <c r="M671" s="7">
        <v>10</v>
      </c>
      <c r="N671" s="7">
        <v>-163500</v>
      </c>
      <c r="O671" s="7">
        <v>-163500</v>
      </c>
      <c r="P671" s="7">
        <v>0</v>
      </c>
      <c r="Q671" s="7">
        <v>-163500</v>
      </c>
      <c r="R671" s="7">
        <v>0</v>
      </c>
      <c r="S671" s="7">
        <v>0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  <c r="Y671" s="5" t="s">
        <v>47</v>
      </c>
      <c r="Z671" s="6"/>
      <c r="AA671" s="5" t="s">
        <v>501</v>
      </c>
      <c r="AB671" s="5" t="s">
        <v>51</v>
      </c>
      <c r="AC671" s="5" t="s">
        <v>51</v>
      </c>
      <c r="AD671" s="5" t="s">
        <v>51</v>
      </c>
      <c r="AE671" s="5" t="s">
        <v>51</v>
      </c>
      <c r="AF671" s="5" t="s">
        <v>697</v>
      </c>
    </row>
    <row r="672" spans="1:32" ht="15.65" customHeight="1" x14ac:dyDescent="0.35">
      <c r="A672" s="5" t="s">
        <v>73</v>
      </c>
      <c r="B672" s="5" t="s">
        <v>74</v>
      </c>
      <c r="C672" s="5" t="s">
        <v>47</v>
      </c>
      <c r="D672" s="5">
        <v>3000952</v>
      </c>
      <c r="E672" s="11">
        <v>3000952</v>
      </c>
      <c r="F672" s="11" t="s">
        <v>665</v>
      </c>
      <c r="G672" s="5" t="s">
        <v>665</v>
      </c>
      <c r="H672" s="5" t="s">
        <v>54</v>
      </c>
      <c r="I672" s="5">
        <v>6958700</v>
      </c>
      <c r="J672" s="6">
        <v>46122</v>
      </c>
      <c r="K672" s="6">
        <v>46122</v>
      </c>
      <c r="L672" s="6">
        <v>46122</v>
      </c>
      <c r="M672" s="7">
        <v>10</v>
      </c>
      <c r="N672" s="7">
        <v>-490500</v>
      </c>
      <c r="O672" s="7">
        <v>-490500</v>
      </c>
      <c r="P672" s="7">
        <v>0</v>
      </c>
      <c r="Q672" s="7">
        <v>-490500</v>
      </c>
      <c r="R672" s="7">
        <v>0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  <c r="X672" s="7">
        <v>0</v>
      </c>
      <c r="Y672" s="5" t="s">
        <v>47</v>
      </c>
      <c r="Z672" s="6"/>
      <c r="AA672" s="5" t="s">
        <v>501</v>
      </c>
      <c r="AB672" s="5" t="s">
        <v>51</v>
      </c>
      <c r="AC672" s="5" t="s">
        <v>51</v>
      </c>
      <c r="AD672" s="5" t="s">
        <v>51</v>
      </c>
      <c r="AE672" s="5" t="s">
        <v>51</v>
      </c>
      <c r="AF672" s="5" t="s">
        <v>697</v>
      </c>
    </row>
    <row r="673" spans="1:32" ht="15.65" customHeight="1" x14ac:dyDescent="0.35">
      <c r="A673" s="5" t="s">
        <v>73</v>
      </c>
      <c r="B673" s="5" t="s">
        <v>74</v>
      </c>
      <c r="C673" s="5" t="s">
        <v>47</v>
      </c>
      <c r="D673" s="5">
        <v>3000952</v>
      </c>
      <c r="E673" s="11">
        <v>3000952</v>
      </c>
      <c r="F673" s="11" t="s">
        <v>665</v>
      </c>
      <c r="G673" s="5" t="s">
        <v>665</v>
      </c>
      <c r="H673" s="5" t="s">
        <v>54</v>
      </c>
      <c r="I673" s="5">
        <v>6958701</v>
      </c>
      <c r="J673" s="6">
        <v>46122</v>
      </c>
      <c r="K673" s="6">
        <v>46122</v>
      </c>
      <c r="L673" s="6">
        <v>46122</v>
      </c>
      <c r="M673" s="7">
        <v>10</v>
      </c>
      <c r="N673" s="7">
        <v>-457800</v>
      </c>
      <c r="O673" s="7">
        <v>-457800</v>
      </c>
      <c r="P673" s="7">
        <v>0</v>
      </c>
      <c r="Q673" s="7">
        <v>-457800</v>
      </c>
      <c r="R673" s="7">
        <v>0</v>
      </c>
      <c r="S673" s="7">
        <v>0</v>
      </c>
      <c r="T673" s="7">
        <v>0</v>
      </c>
      <c r="U673" s="7">
        <v>0</v>
      </c>
      <c r="V673" s="7">
        <v>0</v>
      </c>
      <c r="W673" s="7">
        <v>0</v>
      </c>
      <c r="X673" s="7">
        <v>0</v>
      </c>
      <c r="Y673" s="5" t="s">
        <v>47</v>
      </c>
      <c r="Z673" s="6"/>
      <c r="AA673" s="5" t="s">
        <v>501</v>
      </c>
      <c r="AB673" s="5" t="s">
        <v>51</v>
      </c>
      <c r="AC673" s="5" t="s">
        <v>51</v>
      </c>
      <c r="AD673" s="5" t="s">
        <v>51</v>
      </c>
      <c r="AE673" s="5" t="s">
        <v>51</v>
      </c>
      <c r="AF673" s="5" t="s">
        <v>698</v>
      </c>
    </row>
    <row r="674" spans="1:32" ht="15.65" customHeight="1" x14ac:dyDescent="0.35">
      <c r="A674" s="5" t="s">
        <v>73</v>
      </c>
      <c r="B674" s="5" t="s">
        <v>74</v>
      </c>
      <c r="C674" s="5" t="s">
        <v>47</v>
      </c>
      <c r="D674" s="5">
        <v>3000952</v>
      </c>
      <c r="E674" s="5">
        <v>3000952</v>
      </c>
      <c r="F674" s="5" t="s">
        <v>665</v>
      </c>
      <c r="G674" s="5" t="s">
        <v>665</v>
      </c>
      <c r="H674" s="5" t="s">
        <v>54</v>
      </c>
      <c r="I674" s="5">
        <v>6958702</v>
      </c>
      <c r="J674" s="6">
        <v>46122</v>
      </c>
      <c r="K674" s="6">
        <v>46122</v>
      </c>
      <c r="L674" s="6">
        <v>46122</v>
      </c>
      <c r="M674" s="7">
        <v>10</v>
      </c>
      <c r="N674" s="7">
        <v>-457800</v>
      </c>
      <c r="O674" s="7">
        <v>-457800</v>
      </c>
      <c r="P674" s="7">
        <v>0</v>
      </c>
      <c r="Q674" s="7">
        <v>-457800</v>
      </c>
      <c r="R674" s="7">
        <v>0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  <c r="Y674" s="5" t="s">
        <v>47</v>
      </c>
      <c r="Z674" s="6"/>
      <c r="AA674" s="5" t="s">
        <v>501</v>
      </c>
      <c r="AB674" s="5" t="s">
        <v>51</v>
      </c>
      <c r="AC674" s="5" t="s">
        <v>51</v>
      </c>
      <c r="AD674" s="5" t="s">
        <v>51</v>
      </c>
      <c r="AE674" s="5" t="s">
        <v>51</v>
      </c>
      <c r="AF674" s="5" t="s">
        <v>699</v>
      </c>
    </row>
    <row r="675" spans="1:32" ht="15.65" customHeight="1" x14ac:dyDescent="0.35">
      <c r="A675" s="5" t="s">
        <v>73</v>
      </c>
      <c r="B675" s="5" t="s">
        <v>74</v>
      </c>
      <c r="C675" s="5" t="s">
        <v>47</v>
      </c>
      <c r="D675" s="5">
        <v>3000952</v>
      </c>
      <c r="E675" s="11">
        <v>3000952</v>
      </c>
      <c r="F675" s="11" t="s">
        <v>665</v>
      </c>
      <c r="G675" s="5" t="s">
        <v>665</v>
      </c>
      <c r="H675" s="5" t="s">
        <v>54</v>
      </c>
      <c r="I675" s="5">
        <v>6958703</v>
      </c>
      <c r="J675" s="6">
        <v>46122</v>
      </c>
      <c r="K675" s="6">
        <v>46122</v>
      </c>
      <c r="L675" s="6">
        <v>46122</v>
      </c>
      <c r="M675" s="7">
        <v>10</v>
      </c>
      <c r="N675" s="7">
        <v>-457800</v>
      </c>
      <c r="O675" s="7">
        <v>-457800</v>
      </c>
      <c r="P675" s="7">
        <v>0</v>
      </c>
      <c r="Q675" s="7">
        <v>-457800</v>
      </c>
      <c r="R675" s="7">
        <v>0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  <c r="Y675" s="5" t="s">
        <v>47</v>
      </c>
      <c r="Z675" s="6"/>
      <c r="AA675" s="5" t="s">
        <v>501</v>
      </c>
      <c r="AB675" s="5" t="s">
        <v>51</v>
      </c>
      <c r="AC675" s="5" t="s">
        <v>51</v>
      </c>
      <c r="AD675" s="5" t="s">
        <v>51</v>
      </c>
      <c r="AE675" s="5" t="s">
        <v>51</v>
      </c>
      <c r="AF675" s="5" t="s">
        <v>700</v>
      </c>
    </row>
    <row r="676" spans="1:32" ht="15.65" customHeight="1" x14ac:dyDescent="0.35">
      <c r="A676" s="5" t="s">
        <v>73</v>
      </c>
      <c r="B676" s="5" t="s">
        <v>74</v>
      </c>
      <c r="C676" s="5" t="s">
        <v>47</v>
      </c>
      <c r="D676" s="5">
        <v>3000952</v>
      </c>
      <c r="E676" s="11">
        <v>3000952</v>
      </c>
      <c r="F676" s="11" t="s">
        <v>665</v>
      </c>
      <c r="G676" s="5" t="s">
        <v>665</v>
      </c>
      <c r="H676" s="5" t="s">
        <v>54</v>
      </c>
      <c r="I676" s="5">
        <v>6958704</v>
      </c>
      <c r="J676" s="6">
        <v>46122</v>
      </c>
      <c r="K676" s="6">
        <v>46122</v>
      </c>
      <c r="L676" s="6">
        <v>46122</v>
      </c>
      <c r="M676" s="7">
        <v>10</v>
      </c>
      <c r="N676" s="7">
        <v>-457800</v>
      </c>
      <c r="O676" s="7">
        <v>-457800</v>
      </c>
      <c r="P676" s="7">
        <v>0</v>
      </c>
      <c r="Q676" s="7">
        <v>-457800</v>
      </c>
      <c r="R676" s="7">
        <v>0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  <c r="X676" s="7">
        <v>0</v>
      </c>
      <c r="Y676" s="5" t="s">
        <v>47</v>
      </c>
      <c r="Z676" s="6"/>
      <c r="AA676" s="5" t="s">
        <v>501</v>
      </c>
      <c r="AB676" s="5" t="s">
        <v>51</v>
      </c>
      <c r="AC676" s="5" t="s">
        <v>51</v>
      </c>
      <c r="AD676" s="5" t="s">
        <v>51</v>
      </c>
      <c r="AE676" s="5" t="s">
        <v>51</v>
      </c>
      <c r="AF676" s="5" t="s">
        <v>701</v>
      </c>
    </row>
    <row r="677" spans="1:32" ht="15.65" customHeight="1" x14ac:dyDescent="0.35">
      <c r="A677" s="5" t="s">
        <v>73</v>
      </c>
      <c r="B677" s="5" t="s">
        <v>74</v>
      </c>
      <c r="C677" s="5" t="s">
        <v>47</v>
      </c>
      <c r="D677" s="5">
        <v>3000952</v>
      </c>
      <c r="E677" s="11">
        <v>3000952</v>
      </c>
      <c r="F677" s="11" t="s">
        <v>665</v>
      </c>
      <c r="G677" s="5" t="s">
        <v>665</v>
      </c>
      <c r="H677" s="5" t="s">
        <v>54</v>
      </c>
      <c r="I677" s="5">
        <v>6958705</v>
      </c>
      <c r="J677" s="6">
        <v>46122</v>
      </c>
      <c r="K677" s="6">
        <v>46122</v>
      </c>
      <c r="L677" s="6">
        <v>46122</v>
      </c>
      <c r="M677" s="7">
        <v>10</v>
      </c>
      <c r="N677" s="7">
        <v>-457800</v>
      </c>
      <c r="O677" s="7">
        <v>-457800</v>
      </c>
      <c r="P677" s="7">
        <v>0</v>
      </c>
      <c r="Q677" s="7">
        <v>-457800</v>
      </c>
      <c r="R677" s="7">
        <v>0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0</v>
      </c>
      <c r="Y677" s="5" t="s">
        <v>47</v>
      </c>
      <c r="Z677" s="6"/>
      <c r="AA677" s="5" t="s">
        <v>501</v>
      </c>
      <c r="AB677" s="5" t="s">
        <v>51</v>
      </c>
      <c r="AC677" s="5" t="s">
        <v>51</v>
      </c>
      <c r="AD677" s="5" t="s">
        <v>51</v>
      </c>
      <c r="AE677" s="5" t="s">
        <v>51</v>
      </c>
      <c r="AF677" s="5" t="s">
        <v>702</v>
      </c>
    </row>
    <row r="678" spans="1:32" ht="15.65" customHeight="1" x14ac:dyDescent="0.35">
      <c r="A678" s="5" t="s">
        <v>73</v>
      </c>
      <c r="B678" s="5" t="s">
        <v>74</v>
      </c>
      <c r="C678" s="5" t="s">
        <v>47</v>
      </c>
      <c r="D678" s="5">
        <v>3000952</v>
      </c>
      <c r="E678" s="11">
        <v>3001567</v>
      </c>
      <c r="F678" s="11" t="s">
        <v>665</v>
      </c>
      <c r="G678" s="5" t="s">
        <v>665</v>
      </c>
      <c r="H678" s="5" t="s">
        <v>54</v>
      </c>
      <c r="I678" s="5">
        <v>6958707</v>
      </c>
      <c r="J678" s="6">
        <v>46122</v>
      </c>
      <c r="K678" s="6">
        <v>46122</v>
      </c>
      <c r="L678" s="6">
        <v>46122</v>
      </c>
      <c r="M678" s="7">
        <v>10</v>
      </c>
      <c r="N678" s="7">
        <v>-457800</v>
      </c>
      <c r="O678" s="7">
        <v>-457800</v>
      </c>
      <c r="P678" s="7">
        <v>0</v>
      </c>
      <c r="Q678" s="7">
        <v>-457800</v>
      </c>
      <c r="R678" s="7">
        <v>0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  <c r="X678" s="7">
        <v>0</v>
      </c>
      <c r="Y678" s="5" t="s">
        <v>47</v>
      </c>
      <c r="Z678" s="6"/>
      <c r="AA678" s="5" t="s">
        <v>501</v>
      </c>
      <c r="AB678" s="5" t="s">
        <v>51</v>
      </c>
      <c r="AC678" s="5" t="s">
        <v>51</v>
      </c>
      <c r="AD678" s="5" t="s">
        <v>51</v>
      </c>
      <c r="AE678" s="5" t="s">
        <v>51</v>
      </c>
      <c r="AF678" s="5" t="s">
        <v>703</v>
      </c>
    </row>
    <row r="679" spans="1:32" ht="15.65" customHeight="1" x14ac:dyDescent="0.35">
      <c r="A679" s="5" t="s">
        <v>73</v>
      </c>
      <c r="B679" s="5" t="s">
        <v>74</v>
      </c>
      <c r="C679" s="5" t="s">
        <v>47</v>
      </c>
      <c r="D679" s="5">
        <v>3000952</v>
      </c>
      <c r="E679" s="11">
        <v>3001567</v>
      </c>
      <c r="F679" s="11" t="s">
        <v>665</v>
      </c>
      <c r="G679" s="5" t="s">
        <v>665</v>
      </c>
      <c r="H679" s="5" t="s">
        <v>54</v>
      </c>
      <c r="I679" s="5">
        <v>6958708</v>
      </c>
      <c r="J679" s="6">
        <v>46122</v>
      </c>
      <c r="K679" s="6">
        <v>46122</v>
      </c>
      <c r="L679" s="6">
        <v>46122</v>
      </c>
      <c r="M679" s="7">
        <v>10</v>
      </c>
      <c r="N679" s="7">
        <v>-1373400</v>
      </c>
      <c r="O679" s="7">
        <v>-1373400</v>
      </c>
      <c r="P679" s="7">
        <v>0</v>
      </c>
      <c r="Q679" s="7">
        <v>-1373400</v>
      </c>
      <c r="R679" s="7">
        <v>0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  <c r="X679" s="7">
        <v>0</v>
      </c>
      <c r="Y679" s="5" t="s">
        <v>47</v>
      </c>
      <c r="Z679" s="6"/>
      <c r="AA679" s="5" t="s">
        <v>501</v>
      </c>
      <c r="AB679" s="5" t="s">
        <v>51</v>
      </c>
      <c r="AC679" s="5" t="s">
        <v>51</v>
      </c>
      <c r="AD679" s="5" t="s">
        <v>51</v>
      </c>
      <c r="AE679" s="5" t="s">
        <v>51</v>
      </c>
      <c r="AF679" s="5" t="s">
        <v>703</v>
      </c>
    </row>
    <row r="680" spans="1:32" ht="15.65" customHeight="1" x14ac:dyDescent="0.35">
      <c r="A680" s="5" t="s">
        <v>73</v>
      </c>
      <c r="B680" s="5" t="s">
        <v>74</v>
      </c>
      <c r="C680" s="5" t="s">
        <v>47</v>
      </c>
      <c r="D680" s="5">
        <v>3000952</v>
      </c>
      <c r="E680" s="11">
        <v>3001567</v>
      </c>
      <c r="F680" s="11" t="s">
        <v>665</v>
      </c>
      <c r="G680" s="5" t="s">
        <v>665</v>
      </c>
      <c r="H680" s="5" t="s">
        <v>54</v>
      </c>
      <c r="I680" s="5">
        <v>6958709</v>
      </c>
      <c r="J680" s="6">
        <v>46122</v>
      </c>
      <c r="K680" s="6">
        <v>46122</v>
      </c>
      <c r="L680" s="6">
        <v>46122</v>
      </c>
      <c r="M680" s="7">
        <v>10</v>
      </c>
      <c r="N680" s="7">
        <v>-457800</v>
      </c>
      <c r="O680" s="7">
        <v>-457800</v>
      </c>
      <c r="P680" s="7">
        <v>0</v>
      </c>
      <c r="Q680" s="7">
        <v>-457800</v>
      </c>
      <c r="R680" s="7">
        <v>0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  <c r="X680" s="7">
        <v>0</v>
      </c>
      <c r="Y680" s="5" t="s">
        <v>47</v>
      </c>
      <c r="Z680" s="6"/>
      <c r="AA680" s="5" t="s">
        <v>501</v>
      </c>
      <c r="AB680" s="5" t="s">
        <v>51</v>
      </c>
      <c r="AC680" s="5" t="s">
        <v>51</v>
      </c>
      <c r="AD680" s="5" t="s">
        <v>51</v>
      </c>
      <c r="AE680" s="5" t="s">
        <v>51</v>
      </c>
      <c r="AF680" s="5" t="s">
        <v>703</v>
      </c>
    </row>
    <row r="681" spans="1:32" ht="15.65" customHeight="1" x14ac:dyDescent="0.35">
      <c r="A681" s="5" t="s">
        <v>73</v>
      </c>
      <c r="B681" s="5" t="s">
        <v>74</v>
      </c>
      <c r="C681" s="5" t="s">
        <v>47</v>
      </c>
      <c r="D681" s="5">
        <v>3000952</v>
      </c>
      <c r="E681" s="11">
        <v>3001567</v>
      </c>
      <c r="F681" s="11" t="s">
        <v>665</v>
      </c>
      <c r="G681" s="5" t="s">
        <v>665</v>
      </c>
      <c r="H681" s="5" t="s">
        <v>54</v>
      </c>
      <c r="I681" s="5">
        <v>6958710</v>
      </c>
      <c r="J681" s="6">
        <v>46122</v>
      </c>
      <c r="K681" s="6">
        <v>46122</v>
      </c>
      <c r="L681" s="6">
        <v>46122</v>
      </c>
      <c r="M681" s="7">
        <v>10</v>
      </c>
      <c r="N681" s="7">
        <v>-457800</v>
      </c>
      <c r="O681" s="7">
        <v>-457800</v>
      </c>
      <c r="P681" s="7">
        <v>0</v>
      </c>
      <c r="Q681" s="7">
        <v>-457800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  <c r="Y681" s="5" t="s">
        <v>47</v>
      </c>
      <c r="Z681" s="6"/>
      <c r="AA681" s="5" t="s">
        <v>501</v>
      </c>
      <c r="AB681" s="5" t="s">
        <v>51</v>
      </c>
      <c r="AC681" s="5" t="s">
        <v>51</v>
      </c>
      <c r="AD681" s="5" t="s">
        <v>51</v>
      </c>
      <c r="AE681" s="5" t="s">
        <v>51</v>
      </c>
      <c r="AF681" s="5" t="s">
        <v>703</v>
      </c>
    </row>
    <row r="682" spans="1:32" ht="15.65" customHeight="1" x14ac:dyDescent="0.35">
      <c r="A682" s="5" t="s">
        <v>73</v>
      </c>
      <c r="B682" s="5" t="s">
        <v>74</v>
      </c>
      <c r="C682" s="5" t="s">
        <v>47</v>
      </c>
      <c r="D682" s="5">
        <v>3000952</v>
      </c>
      <c r="E682" s="11">
        <v>3001567</v>
      </c>
      <c r="F682" s="11" t="s">
        <v>665</v>
      </c>
      <c r="G682" s="5" t="s">
        <v>665</v>
      </c>
      <c r="H682" s="5" t="s">
        <v>54</v>
      </c>
      <c r="I682" s="5">
        <v>6958711</v>
      </c>
      <c r="J682" s="6">
        <v>46122</v>
      </c>
      <c r="K682" s="6">
        <v>46122</v>
      </c>
      <c r="L682" s="6">
        <v>46122</v>
      </c>
      <c r="M682" s="7">
        <v>10</v>
      </c>
      <c r="N682" s="7">
        <v>-915600</v>
      </c>
      <c r="O682" s="7">
        <v>-915600</v>
      </c>
      <c r="P682" s="7">
        <v>0</v>
      </c>
      <c r="Q682" s="7">
        <v>-915600</v>
      </c>
      <c r="R682" s="7">
        <v>0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  <c r="X682" s="7">
        <v>0</v>
      </c>
      <c r="Y682" s="5" t="s">
        <v>47</v>
      </c>
      <c r="Z682" s="6"/>
      <c r="AA682" s="5" t="s">
        <v>501</v>
      </c>
      <c r="AB682" s="5" t="s">
        <v>51</v>
      </c>
      <c r="AC682" s="5" t="s">
        <v>51</v>
      </c>
      <c r="AD682" s="5" t="s">
        <v>51</v>
      </c>
      <c r="AE682" s="5" t="s">
        <v>51</v>
      </c>
      <c r="AF682" s="5" t="s">
        <v>703</v>
      </c>
    </row>
    <row r="683" spans="1:32" ht="15.65" customHeight="1" x14ac:dyDescent="0.35">
      <c r="A683" s="5" t="s">
        <v>73</v>
      </c>
      <c r="B683" s="5" t="s">
        <v>74</v>
      </c>
      <c r="C683" s="5" t="s">
        <v>47</v>
      </c>
      <c r="D683" s="5">
        <v>3000952</v>
      </c>
      <c r="E683" s="11">
        <v>3000952</v>
      </c>
      <c r="F683" s="11" t="s">
        <v>665</v>
      </c>
      <c r="G683" s="5" t="s">
        <v>665</v>
      </c>
      <c r="H683" s="5" t="s">
        <v>54</v>
      </c>
      <c r="I683" s="5">
        <v>6959480</v>
      </c>
      <c r="J683" s="6">
        <v>46127</v>
      </c>
      <c r="K683" s="6">
        <v>46127</v>
      </c>
      <c r="L683" s="6">
        <v>46127</v>
      </c>
      <c r="M683" s="7">
        <v>5</v>
      </c>
      <c r="N683" s="7">
        <v>-1500000</v>
      </c>
      <c r="O683" s="7">
        <v>-1500000</v>
      </c>
      <c r="P683" s="7">
        <v>0</v>
      </c>
      <c r="Q683" s="7">
        <v>-1500000</v>
      </c>
      <c r="R683" s="7">
        <v>0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  <c r="X683" s="7">
        <v>0</v>
      </c>
      <c r="Y683" s="5" t="s">
        <v>47</v>
      </c>
      <c r="Z683" s="6"/>
      <c r="AA683" s="5" t="s">
        <v>501</v>
      </c>
      <c r="AB683" s="5" t="s">
        <v>51</v>
      </c>
      <c r="AC683" s="5" t="s">
        <v>51</v>
      </c>
      <c r="AD683" s="5" t="s">
        <v>51</v>
      </c>
      <c r="AE683" s="5" t="s">
        <v>51</v>
      </c>
      <c r="AF683" s="5" t="s">
        <v>704</v>
      </c>
    </row>
    <row r="684" spans="1:32" ht="15.65" customHeight="1" x14ac:dyDescent="0.35">
      <c r="A684" s="5" t="s">
        <v>73</v>
      </c>
      <c r="B684" s="5" t="s">
        <v>74</v>
      </c>
      <c r="C684" s="5" t="s">
        <v>47</v>
      </c>
      <c r="D684" s="5">
        <v>3000952</v>
      </c>
      <c r="E684" s="11">
        <v>3000952</v>
      </c>
      <c r="F684" s="11" t="s">
        <v>665</v>
      </c>
      <c r="G684" s="5" t="s">
        <v>665</v>
      </c>
      <c r="H684" s="5" t="s">
        <v>54</v>
      </c>
      <c r="I684" s="5">
        <v>6959481</v>
      </c>
      <c r="J684" s="6">
        <v>46127</v>
      </c>
      <c r="K684" s="6">
        <v>46127</v>
      </c>
      <c r="L684" s="6">
        <v>46127</v>
      </c>
      <c r="M684" s="7">
        <v>5</v>
      </c>
      <c r="N684" s="7">
        <v>-24240000</v>
      </c>
      <c r="O684" s="7">
        <v>-24240000</v>
      </c>
      <c r="P684" s="7">
        <v>0</v>
      </c>
      <c r="Q684" s="7">
        <v>-24240000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5" t="s">
        <v>47</v>
      </c>
      <c r="Z684" s="6"/>
      <c r="AA684" s="5" t="s">
        <v>501</v>
      </c>
      <c r="AB684" s="5" t="s">
        <v>51</v>
      </c>
      <c r="AC684" s="5" t="s">
        <v>51</v>
      </c>
      <c r="AD684" s="5" t="s">
        <v>51</v>
      </c>
      <c r="AE684" s="5" t="s">
        <v>51</v>
      </c>
      <c r="AF684" s="5" t="s">
        <v>705</v>
      </c>
    </row>
    <row r="685" spans="1:32" ht="15.65" customHeight="1" x14ac:dyDescent="0.35">
      <c r="A685" s="5" t="s">
        <v>73</v>
      </c>
      <c r="B685" s="5" t="s">
        <v>74</v>
      </c>
      <c r="C685" s="5" t="s">
        <v>47</v>
      </c>
      <c r="D685" s="5">
        <v>3000952</v>
      </c>
      <c r="E685" s="11">
        <v>3000952</v>
      </c>
      <c r="F685" s="11" t="s">
        <v>665</v>
      </c>
      <c r="G685" s="5" t="s">
        <v>665</v>
      </c>
      <c r="H685" s="5" t="s">
        <v>54</v>
      </c>
      <c r="I685" s="5">
        <v>6959482</v>
      </c>
      <c r="J685" s="6">
        <v>46127</v>
      </c>
      <c r="K685" s="6">
        <v>46127</v>
      </c>
      <c r="L685" s="6">
        <v>46127</v>
      </c>
      <c r="M685" s="7">
        <v>5</v>
      </c>
      <c r="N685" s="7">
        <v>-13635000</v>
      </c>
      <c r="O685" s="7">
        <v>-13635000</v>
      </c>
      <c r="P685" s="7">
        <v>0</v>
      </c>
      <c r="Q685" s="7">
        <v>-13635000</v>
      </c>
      <c r="R685" s="7">
        <v>0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0</v>
      </c>
      <c r="Y685" s="5" t="s">
        <v>47</v>
      </c>
      <c r="Z685" s="6"/>
      <c r="AA685" s="5" t="s">
        <v>501</v>
      </c>
      <c r="AB685" s="5" t="s">
        <v>51</v>
      </c>
      <c r="AC685" s="5" t="s">
        <v>51</v>
      </c>
      <c r="AD685" s="5" t="s">
        <v>51</v>
      </c>
      <c r="AE685" s="5" t="s">
        <v>51</v>
      </c>
      <c r="AF685" s="5" t="s">
        <v>705</v>
      </c>
    </row>
    <row r="686" spans="1:32" ht="15.65" customHeight="1" x14ac:dyDescent="0.35">
      <c r="A686" s="5" t="s">
        <v>73</v>
      </c>
      <c r="B686" s="5" t="s">
        <v>74</v>
      </c>
      <c r="C686" s="5" t="s">
        <v>47</v>
      </c>
      <c r="D686" s="5">
        <v>3000952</v>
      </c>
      <c r="E686" s="11">
        <v>3000952</v>
      </c>
      <c r="F686" s="11" t="s">
        <v>665</v>
      </c>
      <c r="G686" s="5" t="s">
        <v>665</v>
      </c>
      <c r="H686" s="5" t="s">
        <v>54</v>
      </c>
      <c r="I686" s="5">
        <v>6959483</v>
      </c>
      <c r="J686" s="6">
        <v>46127</v>
      </c>
      <c r="K686" s="6">
        <v>46127</v>
      </c>
      <c r="L686" s="6">
        <v>46127</v>
      </c>
      <c r="M686" s="7">
        <v>5</v>
      </c>
      <c r="N686" s="7">
        <v>-13635000</v>
      </c>
      <c r="O686" s="7">
        <v>-13635000</v>
      </c>
      <c r="P686" s="7">
        <v>0</v>
      </c>
      <c r="Q686" s="7">
        <v>-13635000</v>
      </c>
      <c r="R686" s="7">
        <v>0</v>
      </c>
      <c r="S686" s="7">
        <v>0</v>
      </c>
      <c r="T686" s="7">
        <v>0</v>
      </c>
      <c r="U686" s="7">
        <v>0</v>
      </c>
      <c r="V686" s="7">
        <v>0</v>
      </c>
      <c r="W686" s="7">
        <v>0</v>
      </c>
      <c r="X686" s="7">
        <v>0</v>
      </c>
      <c r="Y686" s="5" t="s">
        <v>47</v>
      </c>
      <c r="Z686" s="6"/>
      <c r="AA686" s="5" t="s">
        <v>501</v>
      </c>
      <c r="AB686" s="5" t="s">
        <v>51</v>
      </c>
      <c r="AC686" s="5" t="s">
        <v>51</v>
      </c>
      <c r="AD686" s="5" t="s">
        <v>51</v>
      </c>
      <c r="AE686" s="5" t="s">
        <v>51</v>
      </c>
      <c r="AF686" s="5" t="s">
        <v>705</v>
      </c>
    </row>
    <row r="687" spans="1:32" ht="15.65" customHeight="1" x14ac:dyDescent="0.35">
      <c r="A687" s="5" t="s">
        <v>73</v>
      </c>
      <c r="B687" s="5" t="s">
        <v>74</v>
      </c>
      <c r="C687" s="5" t="s">
        <v>47</v>
      </c>
      <c r="D687" s="5">
        <v>3000952</v>
      </c>
      <c r="E687" s="11">
        <v>3000952</v>
      </c>
      <c r="F687" s="11" t="s">
        <v>665</v>
      </c>
      <c r="G687" s="5" t="s">
        <v>665</v>
      </c>
      <c r="H687" s="5" t="s">
        <v>54</v>
      </c>
      <c r="I687" s="5">
        <v>6959484</v>
      </c>
      <c r="J687" s="6">
        <v>46127</v>
      </c>
      <c r="K687" s="6">
        <v>46127</v>
      </c>
      <c r="L687" s="6">
        <v>46127</v>
      </c>
      <c r="M687" s="7">
        <v>5</v>
      </c>
      <c r="N687" s="7">
        <v>-16665000</v>
      </c>
      <c r="O687" s="7">
        <v>-16665000</v>
      </c>
      <c r="P687" s="7">
        <v>0</v>
      </c>
      <c r="Q687" s="7">
        <v>-16665000</v>
      </c>
      <c r="R687" s="7">
        <v>0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0</v>
      </c>
      <c r="Y687" s="5" t="s">
        <v>47</v>
      </c>
      <c r="Z687" s="6"/>
      <c r="AA687" s="5" t="s">
        <v>501</v>
      </c>
      <c r="AB687" s="5" t="s">
        <v>51</v>
      </c>
      <c r="AC687" s="5" t="s">
        <v>51</v>
      </c>
      <c r="AD687" s="5" t="s">
        <v>51</v>
      </c>
      <c r="AE687" s="5" t="s">
        <v>51</v>
      </c>
      <c r="AF687" s="5" t="s">
        <v>705</v>
      </c>
    </row>
    <row r="688" spans="1:32" ht="15.65" customHeight="1" x14ac:dyDescent="0.35">
      <c r="A688" s="5" t="s">
        <v>73</v>
      </c>
      <c r="B688" s="5" t="s">
        <v>74</v>
      </c>
      <c r="C688" s="5" t="s">
        <v>47</v>
      </c>
      <c r="D688" s="5">
        <v>3000952</v>
      </c>
      <c r="E688" s="11">
        <v>3000952</v>
      </c>
      <c r="F688" s="11" t="s">
        <v>665</v>
      </c>
      <c r="G688" s="5" t="s">
        <v>665</v>
      </c>
      <c r="H688" s="5" t="s">
        <v>54</v>
      </c>
      <c r="I688" s="5">
        <v>6959519</v>
      </c>
      <c r="J688" s="6">
        <v>46127</v>
      </c>
      <c r="K688" s="6">
        <v>46127</v>
      </c>
      <c r="L688" s="6">
        <v>46127</v>
      </c>
      <c r="M688" s="7">
        <v>5</v>
      </c>
      <c r="N688" s="7">
        <v>-9999000</v>
      </c>
      <c r="O688" s="7">
        <v>-9999000</v>
      </c>
      <c r="P688" s="7">
        <v>0</v>
      </c>
      <c r="Q688" s="7">
        <v>-9999000</v>
      </c>
      <c r="R688" s="7">
        <v>0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  <c r="X688" s="7">
        <v>0</v>
      </c>
      <c r="Y688" s="5" t="s">
        <v>47</v>
      </c>
      <c r="Z688" s="6"/>
      <c r="AA688" s="5" t="s">
        <v>501</v>
      </c>
      <c r="AB688" s="5" t="s">
        <v>51</v>
      </c>
      <c r="AC688" s="5" t="s">
        <v>51</v>
      </c>
      <c r="AD688" s="5" t="s">
        <v>51</v>
      </c>
      <c r="AE688" s="5" t="s">
        <v>51</v>
      </c>
      <c r="AF688" s="5" t="s">
        <v>706</v>
      </c>
    </row>
    <row r="689" spans="1:32" ht="15.65" customHeight="1" x14ac:dyDescent="0.35">
      <c r="A689" s="5" t="s">
        <v>73</v>
      </c>
      <c r="B689" s="5" t="s">
        <v>74</v>
      </c>
      <c r="C689" s="5" t="s">
        <v>47</v>
      </c>
      <c r="D689" s="5">
        <v>3000952</v>
      </c>
      <c r="E689" s="11">
        <v>3001567</v>
      </c>
      <c r="F689" s="11" t="s">
        <v>665</v>
      </c>
      <c r="G689" s="5" t="s">
        <v>665</v>
      </c>
      <c r="H689" s="5" t="s">
        <v>54</v>
      </c>
      <c r="I689" s="5">
        <v>6959530</v>
      </c>
      <c r="J689" s="6">
        <v>46127</v>
      </c>
      <c r="K689" s="6">
        <v>46127</v>
      </c>
      <c r="L689" s="6">
        <v>46127</v>
      </c>
      <c r="M689" s="7">
        <v>5</v>
      </c>
      <c r="N689" s="7">
        <v>-2211900</v>
      </c>
      <c r="O689" s="7">
        <v>-2211900</v>
      </c>
      <c r="P689" s="7">
        <v>0</v>
      </c>
      <c r="Q689" s="7">
        <v>-2211900</v>
      </c>
      <c r="R689" s="7">
        <v>0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5" t="s">
        <v>47</v>
      </c>
      <c r="Z689" s="6"/>
      <c r="AA689" s="5" t="s">
        <v>501</v>
      </c>
      <c r="AB689" s="5" t="s">
        <v>51</v>
      </c>
      <c r="AC689" s="5" t="s">
        <v>51</v>
      </c>
      <c r="AD689" s="5" t="s">
        <v>51</v>
      </c>
      <c r="AE689" s="5" t="s">
        <v>51</v>
      </c>
      <c r="AF689" s="5" t="s">
        <v>707</v>
      </c>
    </row>
    <row r="690" spans="1:32" ht="15.65" customHeight="1" x14ac:dyDescent="0.35">
      <c r="A690" s="5" t="s">
        <v>73</v>
      </c>
      <c r="B690" s="5" t="s">
        <v>74</v>
      </c>
      <c r="C690" s="5" t="s">
        <v>47</v>
      </c>
      <c r="D690" s="5">
        <v>3000952</v>
      </c>
      <c r="E690" s="11">
        <v>3001567</v>
      </c>
      <c r="F690" s="11" t="s">
        <v>665</v>
      </c>
      <c r="G690" s="5" t="s">
        <v>665</v>
      </c>
      <c r="H690" s="5" t="s">
        <v>54</v>
      </c>
      <c r="I690" s="5">
        <v>6959531</v>
      </c>
      <c r="J690" s="6">
        <v>46127</v>
      </c>
      <c r="K690" s="6">
        <v>46127</v>
      </c>
      <c r="L690" s="6">
        <v>46127</v>
      </c>
      <c r="M690" s="7">
        <v>5</v>
      </c>
      <c r="N690" s="7">
        <v>-5605500</v>
      </c>
      <c r="O690" s="7">
        <v>-5605500</v>
      </c>
      <c r="P690" s="7">
        <v>0</v>
      </c>
      <c r="Q690" s="7">
        <v>-5605500</v>
      </c>
      <c r="R690" s="7">
        <v>0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  <c r="X690" s="7">
        <v>0</v>
      </c>
      <c r="Y690" s="5" t="s">
        <v>47</v>
      </c>
      <c r="Z690" s="6"/>
      <c r="AA690" s="5" t="s">
        <v>501</v>
      </c>
      <c r="AB690" s="5" t="s">
        <v>51</v>
      </c>
      <c r="AC690" s="5" t="s">
        <v>51</v>
      </c>
      <c r="AD690" s="5" t="s">
        <v>51</v>
      </c>
      <c r="AE690" s="5" t="s">
        <v>51</v>
      </c>
      <c r="AF690" s="5" t="s">
        <v>707</v>
      </c>
    </row>
    <row r="691" spans="1:32" ht="15.65" customHeight="1" x14ac:dyDescent="0.35">
      <c r="A691" s="5" t="s">
        <v>73</v>
      </c>
      <c r="B691" s="5" t="s">
        <v>74</v>
      </c>
      <c r="C691" s="5" t="s">
        <v>47</v>
      </c>
      <c r="D691" s="5">
        <v>3000952</v>
      </c>
      <c r="E691" s="11">
        <v>3001567</v>
      </c>
      <c r="F691" s="11" t="s">
        <v>665</v>
      </c>
      <c r="G691" s="5" t="s">
        <v>665</v>
      </c>
      <c r="H691" s="5" t="s">
        <v>54</v>
      </c>
      <c r="I691" s="5">
        <v>6959532</v>
      </c>
      <c r="J691" s="6">
        <v>46127</v>
      </c>
      <c r="K691" s="6">
        <v>46127</v>
      </c>
      <c r="L691" s="6">
        <v>46127</v>
      </c>
      <c r="M691" s="7">
        <v>5</v>
      </c>
      <c r="N691" s="7">
        <v>-5302500</v>
      </c>
      <c r="O691" s="7">
        <v>-5302500</v>
      </c>
      <c r="P691" s="7">
        <v>0</v>
      </c>
      <c r="Q691" s="7">
        <v>-5302500</v>
      </c>
      <c r="R691" s="7">
        <v>0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5" t="s">
        <v>47</v>
      </c>
      <c r="Z691" s="6"/>
      <c r="AA691" s="5" t="s">
        <v>501</v>
      </c>
      <c r="AB691" s="5" t="s">
        <v>51</v>
      </c>
      <c r="AC691" s="5" t="s">
        <v>51</v>
      </c>
      <c r="AD691" s="5" t="s">
        <v>51</v>
      </c>
      <c r="AE691" s="5" t="s">
        <v>51</v>
      </c>
      <c r="AF691" s="5" t="s">
        <v>708</v>
      </c>
    </row>
    <row r="692" spans="1:32" ht="15.65" customHeight="1" x14ac:dyDescent="0.35">
      <c r="A692" s="5" t="s">
        <v>73</v>
      </c>
      <c r="B692" s="5" t="s">
        <v>74</v>
      </c>
      <c r="C692" s="5" t="s">
        <v>47</v>
      </c>
      <c r="D692" s="5">
        <v>3000952</v>
      </c>
      <c r="E692" s="11">
        <v>3000950</v>
      </c>
      <c r="F692" s="11" t="s">
        <v>665</v>
      </c>
      <c r="G692" s="5" t="s">
        <v>665</v>
      </c>
      <c r="H692" s="5" t="s">
        <v>54</v>
      </c>
      <c r="I692" s="5">
        <v>6959576</v>
      </c>
      <c r="J692" s="6">
        <v>46127</v>
      </c>
      <c r="K692" s="6">
        <v>46127</v>
      </c>
      <c r="L692" s="6">
        <v>46127</v>
      </c>
      <c r="M692" s="7">
        <v>5</v>
      </c>
      <c r="N692" s="7">
        <v>-9999000</v>
      </c>
      <c r="O692" s="7">
        <v>-9999000</v>
      </c>
      <c r="P692" s="7">
        <v>0</v>
      </c>
      <c r="Q692" s="7">
        <v>-9999000</v>
      </c>
      <c r="R692" s="7">
        <v>0</v>
      </c>
      <c r="S692" s="7">
        <v>0</v>
      </c>
      <c r="T692" s="7">
        <v>0</v>
      </c>
      <c r="U692" s="7">
        <v>0</v>
      </c>
      <c r="V692" s="7">
        <v>0</v>
      </c>
      <c r="W692" s="7">
        <v>0</v>
      </c>
      <c r="X692" s="7">
        <v>0</v>
      </c>
      <c r="Y692" s="5" t="s">
        <v>47</v>
      </c>
      <c r="Z692" s="6"/>
      <c r="AA692" s="5" t="s">
        <v>501</v>
      </c>
      <c r="AB692" s="5" t="s">
        <v>51</v>
      </c>
      <c r="AC692" s="5" t="s">
        <v>51</v>
      </c>
      <c r="AD692" s="5" t="s">
        <v>51</v>
      </c>
      <c r="AE692" s="5" t="s">
        <v>51</v>
      </c>
      <c r="AF692" s="5" t="s">
        <v>709</v>
      </c>
    </row>
    <row r="693" spans="1:32" ht="15.65" customHeight="1" x14ac:dyDescent="0.35">
      <c r="A693" s="5" t="s">
        <v>73</v>
      </c>
      <c r="B693" s="5" t="s">
        <v>74</v>
      </c>
      <c r="C693" s="5" t="s">
        <v>47</v>
      </c>
      <c r="D693" s="5">
        <v>3000952</v>
      </c>
      <c r="E693" s="11">
        <v>3000950</v>
      </c>
      <c r="F693" s="11" t="s">
        <v>665</v>
      </c>
      <c r="G693" s="5" t="s">
        <v>665</v>
      </c>
      <c r="H693" s="5" t="s">
        <v>54</v>
      </c>
      <c r="I693" s="5">
        <v>6959577</v>
      </c>
      <c r="J693" s="6">
        <v>46127</v>
      </c>
      <c r="K693" s="6">
        <v>46127</v>
      </c>
      <c r="L693" s="6">
        <v>46127</v>
      </c>
      <c r="M693" s="7">
        <v>5</v>
      </c>
      <c r="N693" s="7">
        <v>-9393000</v>
      </c>
      <c r="O693" s="7">
        <v>-9393000</v>
      </c>
      <c r="P693" s="7">
        <v>0</v>
      </c>
      <c r="Q693" s="7">
        <v>-9393000</v>
      </c>
      <c r="R693" s="7">
        <v>0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  <c r="Y693" s="5" t="s">
        <v>47</v>
      </c>
      <c r="Z693" s="6"/>
      <c r="AA693" s="5" t="s">
        <v>501</v>
      </c>
      <c r="AB693" s="5" t="s">
        <v>51</v>
      </c>
      <c r="AC693" s="5" t="s">
        <v>51</v>
      </c>
      <c r="AD693" s="5" t="s">
        <v>51</v>
      </c>
      <c r="AE693" s="5" t="s">
        <v>51</v>
      </c>
      <c r="AF693" s="5" t="s">
        <v>710</v>
      </c>
    </row>
    <row r="694" spans="1:32" ht="15.65" customHeight="1" x14ac:dyDescent="0.35">
      <c r="A694" s="5" t="s">
        <v>73</v>
      </c>
      <c r="B694" s="5" t="s">
        <v>74</v>
      </c>
      <c r="C694" s="5" t="s">
        <v>47</v>
      </c>
      <c r="D694" s="5">
        <v>3000952</v>
      </c>
      <c r="E694" s="11">
        <v>3000950</v>
      </c>
      <c r="F694" s="11" t="s">
        <v>665</v>
      </c>
      <c r="G694" s="5" t="s">
        <v>665</v>
      </c>
      <c r="H694" s="5" t="s">
        <v>54</v>
      </c>
      <c r="I694" s="5">
        <v>6959578</v>
      </c>
      <c r="J694" s="6">
        <v>46127</v>
      </c>
      <c r="K694" s="6">
        <v>46127</v>
      </c>
      <c r="L694" s="6">
        <v>46127</v>
      </c>
      <c r="M694" s="7">
        <v>5</v>
      </c>
      <c r="N694" s="7">
        <v>-4242000</v>
      </c>
      <c r="O694" s="7">
        <v>-4242000</v>
      </c>
      <c r="P694" s="7">
        <v>0</v>
      </c>
      <c r="Q694" s="7">
        <v>-4242000</v>
      </c>
      <c r="R694" s="7">
        <v>0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5" t="s">
        <v>47</v>
      </c>
      <c r="Z694" s="6"/>
      <c r="AA694" s="5" t="s">
        <v>501</v>
      </c>
      <c r="AB694" s="5" t="s">
        <v>51</v>
      </c>
      <c r="AC694" s="5" t="s">
        <v>51</v>
      </c>
      <c r="AD694" s="5" t="s">
        <v>51</v>
      </c>
      <c r="AE694" s="5" t="s">
        <v>51</v>
      </c>
      <c r="AF694" s="5" t="s">
        <v>710</v>
      </c>
    </row>
    <row r="695" spans="1:32" ht="15.65" customHeight="1" x14ac:dyDescent="0.35">
      <c r="A695" s="5" t="s">
        <v>73</v>
      </c>
      <c r="B695" s="5" t="s">
        <v>74</v>
      </c>
      <c r="C695" s="5" t="s">
        <v>47</v>
      </c>
      <c r="D695" s="5">
        <v>3000952</v>
      </c>
      <c r="E695" s="11">
        <v>3000952</v>
      </c>
      <c r="F695" s="11" t="s">
        <v>665</v>
      </c>
      <c r="G695" s="5" t="s">
        <v>665</v>
      </c>
      <c r="H695" s="5" t="s">
        <v>54</v>
      </c>
      <c r="I695" s="5">
        <v>6959579</v>
      </c>
      <c r="J695" s="6">
        <v>46127</v>
      </c>
      <c r="K695" s="6">
        <v>46127</v>
      </c>
      <c r="L695" s="6">
        <v>46127</v>
      </c>
      <c r="M695" s="7">
        <v>5</v>
      </c>
      <c r="N695" s="7">
        <v>-11847300</v>
      </c>
      <c r="O695" s="7">
        <v>-11847300</v>
      </c>
      <c r="P695" s="7">
        <v>0</v>
      </c>
      <c r="Q695" s="7">
        <v>-11847300</v>
      </c>
      <c r="R695" s="7">
        <v>0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  <c r="X695" s="7">
        <v>0</v>
      </c>
      <c r="Y695" s="5" t="s">
        <v>47</v>
      </c>
      <c r="Z695" s="6"/>
      <c r="AA695" s="5" t="s">
        <v>501</v>
      </c>
      <c r="AB695" s="5" t="s">
        <v>51</v>
      </c>
      <c r="AC695" s="5" t="s">
        <v>51</v>
      </c>
      <c r="AD695" s="5" t="s">
        <v>51</v>
      </c>
      <c r="AE695" s="5" t="s">
        <v>51</v>
      </c>
      <c r="AF695" s="5" t="s">
        <v>711</v>
      </c>
    </row>
    <row r="696" spans="1:32" ht="15.65" customHeight="1" x14ac:dyDescent="0.35">
      <c r="A696" s="5" t="s">
        <v>73</v>
      </c>
      <c r="B696" s="5" t="s">
        <v>74</v>
      </c>
      <c r="C696" s="5" t="s">
        <v>47</v>
      </c>
      <c r="D696" s="5">
        <v>3000952</v>
      </c>
      <c r="E696" s="11">
        <v>3000952</v>
      </c>
      <c r="F696" s="11" t="s">
        <v>665</v>
      </c>
      <c r="G696" s="5" t="s">
        <v>665</v>
      </c>
      <c r="H696" s="5" t="s">
        <v>54</v>
      </c>
      <c r="I696" s="5">
        <v>6959580</v>
      </c>
      <c r="J696" s="6">
        <v>46127</v>
      </c>
      <c r="K696" s="6">
        <v>46127</v>
      </c>
      <c r="L696" s="6">
        <v>46127</v>
      </c>
      <c r="M696" s="7">
        <v>5</v>
      </c>
      <c r="N696" s="7">
        <v>-9999000</v>
      </c>
      <c r="O696" s="7">
        <v>-9999000</v>
      </c>
      <c r="P696" s="7">
        <v>0</v>
      </c>
      <c r="Q696" s="7">
        <v>-9999000</v>
      </c>
      <c r="R696" s="7">
        <v>0</v>
      </c>
      <c r="S696" s="7">
        <v>0</v>
      </c>
      <c r="T696" s="7">
        <v>0</v>
      </c>
      <c r="U696" s="7">
        <v>0</v>
      </c>
      <c r="V696" s="7">
        <v>0</v>
      </c>
      <c r="W696" s="7">
        <v>0</v>
      </c>
      <c r="X696" s="7">
        <v>0</v>
      </c>
      <c r="Y696" s="5" t="s">
        <v>47</v>
      </c>
      <c r="Z696" s="6"/>
      <c r="AA696" s="5" t="s">
        <v>501</v>
      </c>
      <c r="AB696" s="5" t="s">
        <v>51</v>
      </c>
      <c r="AC696" s="5" t="s">
        <v>51</v>
      </c>
      <c r="AD696" s="5" t="s">
        <v>51</v>
      </c>
      <c r="AE696" s="5" t="s">
        <v>51</v>
      </c>
      <c r="AF696" s="5" t="s">
        <v>712</v>
      </c>
    </row>
    <row r="697" spans="1:32" ht="15.65" customHeight="1" x14ac:dyDescent="0.35">
      <c r="A697" s="5" t="s">
        <v>73</v>
      </c>
      <c r="B697" s="5" t="s">
        <v>74</v>
      </c>
      <c r="C697" s="5" t="s">
        <v>47</v>
      </c>
      <c r="D697" s="5">
        <v>3000952</v>
      </c>
      <c r="E697" s="11">
        <v>3000952</v>
      </c>
      <c r="F697" s="11" t="s">
        <v>665</v>
      </c>
      <c r="G697" s="5" t="s">
        <v>665</v>
      </c>
      <c r="H697" s="5" t="s">
        <v>54</v>
      </c>
      <c r="I697" s="5">
        <v>6959581</v>
      </c>
      <c r="J697" s="6">
        <v>46127</v>
      </c>
      <c r="K697" s="6">
        <v>46127</v>
      </c>
      <c r="L697" s="6">
        <v>46127</v>
      </c>
      <c r="M697" s="7">
        <v>5</v>
      </c>
      <c r="N697" s="7">
        <v>-5151000</v>
      </c>
      <c r="O697" s="7">
        <v>-5151000</v>
      </c>
      <c r="P697" s="7">
        <v>0</v>
      </c>
      <c r="Q697" s="7">
        <v>-5151000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0</v>
      </c>
      <c r="Y697" s="5" t="s">
        <v>47</v>
      </c>
      <c r="Z697" s="6"/>
      <c r="AA697" s="5" t="s">
        <v>501</v>
      </c>
      <c r="AB697" s="5" t="s">
        <v>51</v>
      </c>
      <c r="AC697" s="5" t="s">
        <v>51</v>
      </c>
      <c r="AD697" s="5" t="s">
        <v>51</v>
      </c>
      <c r="AE697" s="5" t="s">
        <v>51</v>
      </c>
      <c r="AF697" s="5" t="s">
        <v>713</v>
      </c>
    </row>
    <row r="698" spans="1:32" ht="15.65" customHeight="1" x14ac:dyDescent="0.35">
      <c r="A698" s="5" t="s">
        <v>73</v>
      </c>
      <c r="B698" s="5" t="s">
        <v>74</v>
      </c>
      <c r="C698" s="5" t="s">
        <v>47</v>
      </c>
      <c r="D698" s="5">
        <v>3000952</v>
      </c>
      <c r="E698" s="11">
        <v>3000952</v>
      </c>
      <c r="F698" s="11" t="s">
        <v>665</v>
      </c>
      <c r="G698" s="5" t="s">
        <v>665</v>
      </c>
      <c r="H698" s="5" t="s">
        <v>54</v>
      </c>
      <c r="I698" s="5">
        <v>6959582</v>
      </c>
      <c r="J698" s="6">
        <v>46127</v>
      </c>
      <c r="K698" s="6">
        <v>46127</v>
      </c>
      <c r="L698" s="6">
        <v>46127</v>
      </c>
      <c r="M698" s="7">
        <v>5</v>
      </c>
      <c r="N698" s="7">
        <v>-10605000</v>
      </c>
      <c r="O698" s="7">
        <v>-10605000</v>
      </c>
      <c r="P698" s="7">
        <v>0</v>
      </c>
      <c r="Q698" s="7">
        <v>-10605000</v>
      </c>
      <c r="R698" s="7">
        <v>0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  <c r="X698" s="7">
        <v>0</v>
      </c>
      <c r="Y698" s="5" t="s">
        <v>47</v>
      </c>
      <c r="Z698" s="6"/>
      <c r="AA698" s="5" t="s">
        <v>501</v>
      </c>
      <c r="AB698" s="5" t="s">
        <v>51</v>
      </c>
      <c r="AC698" s="5" t="s">
        <v>51</v>
      </c>
      <c r="AD698" s="5" t="s">
        <v>51</v>
      </c>
      <c r="AE698" s="5" t="s">
        <v>51</v>
      </c>
      <c r="AF698" s="5" t="s">
        <v>714</v>
      </c>
    </row>
    <row r="699" spans="1:32" ht="15.65" customHeight="1" x14ac:dyDescent="0.35">
      <c r="A699" s="5" t="s">
        <v>73</v>
      </c>
      <c r="B699" s="5" t="s">
        <v>74</v>
      </c>
      <c r="C699" s="5" t="s">
        <v>47</v>
      </c>
      <c r="D699" s="5">
        <v>3000952</v>
      </c>
      <c r="E699" s="11">
        <v>3000952</v>
      </c>
      <c r="F699" s="11" t="s">
        <v>665</v>
      </c>
      <c r="G699" s="5" t="s">
        <v>665</v>
      </c>
      <c r="H699" s="5" t="s">
        <v>54</v>
      </c>
      <c r="I699" s="5">
        <v>6959583</v>
      </c>
      <c r="J699" s="6">
        <v>46127</v>
      </c>
      <c r="K699" s="6">
        <v>46127</v>
      </c>
      <c r="L699" s="6">
        <v>46127</v>
      </c>
      <c r="M699" s="7">
        <v>5</v>
      </c>
      <c r="N699" s="7">
        <v>-11604900</v>
      </c>
      <c r="O699" s="7">
        <v>-11604900</v>
      </c>
      <c r="P699" s="7">
        <v>0</v>
      </c>
      <c r="Q699" s="7">
        <v>-11604900</v>
      </c>
      <c r="R699" s="7">
        <v>0</v>
      </c>
      <c r="S699" s="7">
        <v>0</v>
      </c>
      <c r="T699" s="7">
        <v>0</v>
      </c>
      <c r="U699" s="7">
        <v>0</v>
      </c>
      <c r="V699" s="7">
        <v>0</v>
      </c>
      <c r="W699" s="7">
        <v>0</v>
      </c>
      <c r="X699" s="7">
        <v>0</v>
      </c>
      <c r="Y699" s="5" t="s">
        <v>47</v>
      </c>
      <c r="Z699" s="6"/>
      <c r="AA699" s="5" t="s">
        <v>501</v>
      </c>
      <c r="AB699" s="5" t="s">
        <v>51</v>
      </c>
      <c r="AC699" s="5" t="s">
        <v>51</v>
      </c>
      <c r="AD699" s="5" t="s">
        <v>51</v>
      </c>
      <c r="AE699" s="5" t="s">
        <v>51</v>
      </c>
      <c r="AF699" s="5" t="s">
        <v>715</v>
      </c>
    </row>
    <row r="700" spans="1:32" ht="15.65" customHeight="1" x14ac:dyDescent="0.35">
      <c r="A700" s="5" t="s">
        <v>73</v>
      </c>
      <c r="B700" s="5" t="s">
        <v>74</v>
      </c>
      <c r="C700" s="5" t="s">
        <v>47</v>
      </c>
      <c r="D700" s="5">
        <v>3000952</v>
      </c>
      <c r="E700" s="11">
        <v>3000952</v>
      </c>
      <c r="F700" s="11" t="s">
        <v>665</v>
      </c>
      <c r="G700" s="5" t="s">
        <v>665</v>
      </c>
      <c r="H700" s="5" t="s">
        <v>54</v>
      </c>
      <c r="I700" s="5">
        <v>6959584</v>
      </c>
      <c r="J700" s="6">
        <v>46127</v>
      </c>
      <c r="K700" s="6">
        <v>46127</v>
      </c>
      <c r="L700" s="6">
        <v>46127</v>
      </c>
      <c r="M700" s="7">
        <v>5</v>
      </c>
      <c r="N700" s="7">
        <v>-9393000</v>
      </c>
      <c r="O700" s="7">
        <v>-9393000</v>
      </c>
      <c r="P700" s="7">
        <v>0</v>
      </c>
      <c r="Q700" s="7">
        <v>-9393000</v>
      </c>
      <c r="R700" s="7">
        <v>0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5" t="s">
        <v>47</v>
      </c>
      <c r="Z700" s="6"/>
      <c r="AA700" s="5" t="s">
        <v>501</v>
      </c>
      <c r="AB700" s="5" t="s">
        <v>51</v>
      </c>
      <c r="AC700" s="5" t="s">
        <v>51</v>
      </c>
      <c r="AD700" s="5" t="s">
        <v>51</v>
      </c>
      <c r="AE700" s="5" t="s">
        <v>51</v>
      </c>
      <c r="AF700" s="5" t="s">
        <v>716</v>
      </c>
    </row>
    <row r="701" spans="1:32" ht="15.65" customHeight="1" x14ac:dyDescent="0.35">
      <c r="A701" s="5" t="s">
        <v>73</v>
      </c>
      <c r="B701" s="5" t="s">
        <v>74</v>
      </c>
      <c r="C701" s="5" t="s">
        <v>47</v>
      </c>
      <c r="D701" s="5">
        <v>3000952</v>
      </c>
      <c r="E701" s="5">
        <v>3000952</v>
      </c>
      <c r="F701" s="5" t="s">
        <v>665</v>
      </c>
      <c r="G701" s="5" t="s">
        <v>665</v>
      </c>
      <c r="H701" s="5" t="s">
        <v>54</v>
      </c>
      <c r="I701" s="5">
        <v>6959585</v>
      </c>
      <c r="J701" s="6">
        <v>46127</v>
      </c>
      <c r="K701" s="6">
        <v>46127</v>
      </c>
      <c r="L701" s="6">
        <v>46127</v>
      </c>
      <c r="M701" s="7">
        <v>5</v>
      </c>
      <c r="N701" s="7">
        <v>-17271000</v>
      </c>
      <c r="O701" s="7">
        <v>-17271000</v>
      </c>
      <c r="P701" s="7">
        <v>0</v>
      </c>
      <c r="Q701" s="7">
        <v>-17271000</v>
      </c>
      <c r="R701" s="7">
        <v>0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  <c r="X701" s="7">
        <v>0</v>
      </c>
      <c r="Y701" s="5" t="s">
        <v>47</v>
      </c>
      <c r="Z701" s="6"/>
      <c r="AA701" s="5" t="s">
        <v>501</v>
      </c>
      <c r="AB701" s="5" t="s">
        <v>51</v>
      </c>
      <c r="AC701" s="5" t="s">
        <v>51</v>
      </c>
      <c r="AD701" s="5" t="s">
        <v>51</v>
      </c>
      <c r="AE701" s="5" t="s">
        <v>51</v>
      </c>
      <c r="AF701" s="5" t="s">
        <v>717</v>
      </c>
    </row>
    <row r="702" spans="1:32" ht="15.65" customHeight="1" x14ac:dyDescent="0.35">
      <c r="A702" s="5" t="s">
        <v>73</v>
      </c>
      <c r="B702" s="5" t="s">
        <v>74</v>
      </c>
      <c r="C702" s="5" t="s">
        <v>47</v>
      </c>
      <c r="D702" s="5">
        <v>3000952</v>
      </c>
      <c r="E702" s="11">
        <v>3000952</v>
      </c>
      <c r="F702" s="11" t="s">
        <v>665</v>
      </c>
      <c r="G702" s="5" t="s">
        <v>665</v>
      </c>
      <c r="H702" s="5" t="s">
        <v>54</v>
      </c>
      <c r="I702" s="5">
        <v>6959586</v>
      </c>
      <c r="J702" s="6">
        <v>46127</v>
      </c>
      <c r="K702" s="6">
        <v>46127</v>
      </c>
      <c r="L702" s="6">
        <v>46127</v>
      </c>
      <c r="M702" s="7">
        <v>5</v>
      </c>
      <c r="N702" s="7">
        <v>-5211600</v>
      </c>
      <c r="O702" s="7">
        <v>-5211600</v>
      </c>
      <c r="P702" s="7">
        <v>0</v>
      </c>
      <c r="Q702" s="7">
        <v>-5211600</v>
      </c>
      <c r="R702" s="7">
        <v>0</v>
      </c>
      <c r="S702" s="7">
        <v>0</v>
      </c>
      <c r="T702" s="7">
        <v>0</v>
      </c>
      <c r="U702" s="7">
        <v>0</v>
      </c>
      <c r="V702" s="7">
        <v>0</v>
      </c>
      <c r="W702" s="7">
        <v>0</v>
      </c>
      <c r="X702" s="7">
        <v>0</v>
      </c>
      <c r="Y702" s="5" t="s">
        <v>47</v>
      </c>
      <c r="Z702" s="6"/>
      <c r="AA702" s="5" t="s">
        <v>501</v>
      </c>
      <c r="AB702" s="5" t="s">
        <v>51</v>
      </c>
      <c r="AC702" s="5" t="s">
        <v>51</v>
      </c>
      <c r="AD702" s="5" t="s">
        <v>51</v>
      </c>
      <c r="AE702" s="5" t="s">
        <v>51</v>
      </c>
      <c r="AF702" s="5" t="s">
        <v>717</v>
      </c>
    </row>
    <row r="703" spans="1:32" ht="15.65" customHeight="1" x14ac:dyDescent="0.35">
      <c r="A703" s="5" t="s">
        <v>73</v>
      </c>
      <c r="B703" s="5" t="s">
        <v>74</v>
      </c>
      <c r="C703" s="5" t="s">
        <v>47</v>
      </c>
      <c r="D703" s="5">
        <v>3000952</v>
      </c>
      <c r="E703" s="11">
        <v>3000952</v>
      </c>
      <c r="F703" s="11" t="s">
        <v>665</v>
      </c>
      <c r="G703" s="5" t="s">
        <v>665</v>
      </c>
      <c r="H703" s="5" t="s">
        <v>54</v>
      </c>
      <c r="I703" s="5">
        <v>6959587</v>
      </c>
      <c r="J703" s="6">
        <v>46127</v>
      </c>
      <c r="K703" s="6">
        <v>46127</v>
      </c>
      <c r="L703" s="6">
        <v>46127</v>
      </c>
      <c r="M703" s="7">
        <v>5</v>
      </c>
      <c r="N703" s="7">
        <v>-2878500</v>
      </c>
      <c r="O703" s="7">
        <v>-2878500</v>
      </c>
      <c r="P703" s="7">
        <v>0</v>
      </c>
      <c r="Q703" s="7">
        <v>-2878500</v>
      </c>
      <c r="R703" s="7">
        <v>0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  <c r="X703" s="7">
        <v>0</v>
      </c>
      <c r="Y703" s="5" t="s">
        <v>47</v>
      </c>
      <c r="Z703" s="6"/>
      <c r="AA703" s="5" t="s">
        <v>501</v>
      </c>
      <c r="AB703" s="5" t="s">
        <v>51</v>
      </c>
      <c r="AC703" s="5" t="s">
        <v>51</v>
      </c>
      <c r="AD703" s="5" t="s">
        <v>51</v>
      </c>
      <c r="AE703" s="5" t="s">
        <v>51</v>
      </c>
      <c r="AF703" s="5" t="s">
        <v>717</v>
      </c>
    </row>
    <row r="704" spans="1:32" ht="15.65" customHeight="1" x14ac:dyDescent="0.35">
      <c r="A704" s="5" t="s">
        <v>73</v>
      </c>
      <c r="B704" s="5" t="s">
        <v>74</v>
      </c>
      <c r="C704" s="5" t="s">
        <v>47</v>
      </c>
      <c r="D704" s="5">
        <v>3000952</v>
      </c>
      <c r="E704" s="11">
        <v>3000952</v>
      </c>
      <c r="F704" s="11" t="s">
        <v>665</v>
      </c>
      <c r="G704" s="5" t="s">
        <v>665</v>
      </c>
      <c r="H704" s="5" t="s">
        <v>54</v>
      </c>
      <c r="I704" s="5">
        <v>6959588</v>
      </c>
      <c r="J704" s="6">
        <v>46127</v>
      </c>
      <c r="K704" s="6">
        <v>46127</v>
      </c>
      <c r="L704" s="6">
        <v>46127</v>
      </c>
      <c r="M704" s="7">
        <v>5</v>
      </c>
      <c r="N704" s="7">
        <v>-14570361</v>
      </c>
      <c r="O704" s="7">
        <v>-14570361</v>
      </c>
      <c r="P704" s="7">
        <v>0</v>
      </c>
      <c r="Q704" s="7">
        <v>-14570361</v>
      </c>
      <c r="R704" s="7">
        <v>0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5" t="s">
        <v>47</v>
      </c>
      <c r="Z704" s="6"/>
      <c r="AA704" s="5" t="s">
        <v>501</v>
      </c>
      <c r="AB704" s="5" t="s">
        <v>51</v>
      </c>
      <c r="AC704" s="5" t="s">
        <v>51</v>
      </c>
      <c r="AD704" s="5" t="s">
        <v>51</v>
      </c>
      <c r="AE704" s="5" t="s">
        <v>51</v>
      </c>
      <c r="AF704" s="5" t="s">
        <v>718</v>
      </c>
    </row>
    <row r="705" spans="1:32" ht="15.65" customHeight="1" x14ac:dyDescent="0.35">
      <c r="A705" s="5" t="s">
        <v>73</v>
      </c>
      <c r="B705" s="5" t="s">
        <v>74</v>
      </c>
      <c r="C705" s="5" t="s">
        <v>47</v>
      </c>
      <c r="D705" s="5">
        <v>3000952</v>
      </c>
      <c r="E705" s="5">
        <v>3000952</v>
      </c>
      <c r="F705" s="5" t="s">
        <v>665</v>
      </c>
      <c r="G705" s="5" t="s">
        <v>665</v>
      </c>
      <c r="H705" s="5" t="s">
        <v>54</v>
      </c>
      <c r="I705" s="5">
        <v>6959589</v>
      </c>
      <c r="J705" s="6">
        <v>46127</v>
      </c>
      <c r="K705" s="6">
        <v>46127</v>
      </c>
      <c r="L705" s="6">
        <v>46127</v>
      </c>
      <c r="M705" s="7">
        <v>5</v>
      </c>
      <c r="N705" s="7">
        <v>-14570361</v>
      </c>
      <c r="O705" s="7">
        <v>-14570361</v>
      </c>
      <c r="P705" s="7">
        <v>0</v>
      </c>
      <c r="Q705" s="7">
        <v>-14570361</v>
      </c>
      <c r="R705" s="7">
        <v>0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  <c r="X705" s="7">
        <v>0</v>
      </c>
      <c r="Y705" s="5" t="s">
        <v>47</v>
      </c>
      <c r="Z705" s="6"/>
      <c r="AA705" s="5" t="s">
        <v>501</v>
      </c>
      <c r="AB705" s="5" t="s">
        <v>51</v>
      </c>
      <c r="AC705" s="5" t="s">
        <v>51</v>
      </c>
      <c r="AD705" s="5" t="s">
        <v>51</v>
      </c>
      <c r="AE705" s="5" t="s">
        <v>51</v>
      </c>
      <c r="AF705" s="5" t="s">
        <v>718</v>
      </c>
    </row>
    <row r="706" spans="1:32" ht="15.65" customHeight="1" x14ac:dyDescent="0.35">
      <c r="A706" s="5" t="s">
        <v>73</v>
      </c>
      <c r="B706" s="5" t="s">
        <v>74</v>
      </c>
      <c r="C706" s="5" t="s">
        <v>47</v>
      </c>
      <c r="D706" s="5">
        <v>3000952</v>
      </c>
      <c r="E706" s="11">
        <v>3000952</v>
      </c>
      <c r="F706" s="11" t="s">
        <v>665</v>
      </c>
      <c r="G706" s="5" t="s">
        <v>665</v>
      </c>
      <c r="H706" s="5" t="s">
        <v>54</v>
      </c>
      <c r="I706" s="5">
        <v>6959590</v>
      </c>
      <c r="J706" s="6">
        <v>46127</v>
      </c>
      <c r="K706" s="6">
        <v>46127</v>
      </c>
      <c r="L706" s="6">
        <v>46127</v>
      </c>
      <c r="M706" s="7">
        <v>5</v>
      </c>
      <c r="N706" s="7">
        <v>-10302000</v>
      </c>
      <c r="O706" s="7">
        <v>-10302000</v>
      </c>
      <c r="P706" s="7">
        <v>0</v>
      </c>
      <c r="Q706" s="7">
        <v>-10302000</v>
      </c>
      <c r="R706" s="7">
        <v>0</v>
      </c>
      <c r="S706" s="7">
        <v>0</v>
      </c>
      <c r="T706" s="7">
        <v>0</v>
      </c>
      <c r="U706" s="7">
        <v>0</v>
      </c>
      <c r="V706" s="7">
        <v>0</v>
      </c>
      <c r="W706" s="7">
        <v>0</v>
      </c>
      <c r="X706" s="7">
        <v>0</v>
      </c>
      <c r="Y706" s="5" t="s">
        <v>47</v>
      </c>
      <c r="Z706" s="6"/>
      <c r="AA706" s="5" t="s">
        <v>501</v>
      </c>
      <c r="AB706" s="5" t="s">
        <v>51</v>
      </c>
      <c r="AC706" s="5" t="s">
        <v>51</v>
      </c>
      <c r="AD706" s="5" t="s">
        <v>51</v>
      </c>
      <c r="AE706" s="5" t="s">
        <v>51</v>
      </c>
      <c r="AF706" s="5" t="s">
        <v>719</v>
      </c>
    </row>
    <row r="707" spans="1:32" ht="15.65" customHeight="1" x14ac:dyDescent="0.35">
      <c r="A707" s="5" t="s">
        <v>73</v>
      </c>
      <c r="B707" s="5" t="s">
        <v>74</v>
      </c>
      <c r="C707" s="5" t="s">
        <v>47</v>
      </c>
      <c r="D707" s="5">
        <v>3000952</v>
      </c>
      <c r="E707" s="11">
        <v>3000952</v>
      </c>
      <c r="F707" s="11" t="s">
        <v>665</v>
      </c>
      <c r="G707" s="5" t="s">
        <v>665</v>
      </c>
      <c r="H707" s="5" t="s">
        <v>54</v>
      </c>
      <c r="I707" s="5">
        <v>6959591</v>
      </c>
      <c r="J707" s="6">
        <v>46127</v>
      </c>
      <c r="K707" s="6">
        <v>46127</v>
      </c>
      <c r="L707" s="6">
        <v>46127</v>
      </c>
      <c r="M707" s="7">
        <v>5</v>
      </c>
      <c r="N707" s="7">
        <v>-9938400</v>
      </c>
      <c r="O707" s="7">
        <v>-9938400</v>
      </c>
      <c r="P707" s="7">
        <v>0</v>
      </c>
      <c r="Q707" s="7">
        <v>-9938400</v>
      </c>
      <c r="R707" s="7">
        <v>0</v>
      </c>
      <c r="S707" s="7">
        <v>0</v>
      </c>
      <c r="T707" s="7">
        <v>0</v>
      </c>
      <c r="U707" s="7">
        <v>0</v>
      </c>
      <c r="V707" s="7">
        <v>0</v>
      </c>
      <c r="W707" s="7">
        <v>0</v>
      </c>
      <c r="X707" s="7">
        <v>0</v>
      </c>
      <c r="Y707" s="5" t="s">
        <v>47</v>
      </c>
      <c r="Z707" s="6"/>
      <c r="AA707" s="5" t="s">
        <v>501</v>
      </c>
      <c r="AB707" s="5" t="s">
        <v>51</v>
      </c>
      <c r="AC707" s="5" t="s">
        <v>51</v>
      </c>
      <c r="AD707" s="5" t="s">
        <v>51</v>
      </c>
      <c r="AE707" s="5" t="s">
        <v>51</v>
      </c>
      <c r="AF707" s="5" t="s">
        <v>720</v>
      </c>
    </row>
    <row r="708" spans="1:32" ht="15.65" customHeight="1" x14ac:dyDescent="0.35">
      <c r="A708" s="5" t="s">
        <v>73</v>
      </c>
      <c r="B708" s="5" t="s">
        <v>74</v>
      </c>
      <c r="C708" s="5" t="s">
        <v>47</v>
      </c>
      <c r="D708" s="5">
        <v>3000952</v>
      </c>
      <c r="E708" s="11">
        <v>3000952</v>
      </c>
      <c r="F708" s="11" t="s">
        <v>665</v>
      </c>
      <c r="G708" s="5" t="s">
        <v>665</v>
      </c>
      <c r="H708" s="5" t="s">
        <v>54</v>
      </c>
      <c r="I708" s="5">
        <v>6959592</v>
      </c>
      <c r="J708" s="6">
        <v>46127</v>
      </c>
      <c r="K708" s="6">
        <v>46127</v>
      </c>
      <c r="L708" s="6">
        <v>46127</v>
      </c>
      <c r="M708" s="7">
        <v>5</v>
      </c>
      <c r="N708" s="7">
        <v>-13786500</v>
      </c>
      <c r="O708" s="7">
        <v>-13786500</v>
      </c>
      <c r="P708" s="7">
        <v>0</v>
      </c>
      <c r="Q708" s="7">
        <v>-13786500</v>
      </c>
      <c r="R708" s="7">
        <v>0</v>
      </c>
      <c r="S708" s="7">
        <v>0</v>
      </c>
      <c r="T708" s="7">
        <v>0</v>
      </c>
      <c r="U708" s="7">
        <v>0</v>
      </c>
      <c r="V708" s="7">
        <v>0</v>
      </c>
      <c r="W708" s="7">
        <v>0</v>
      </c>
      <c r="X708" s="7">
        <v>0</v>
      </c>
      <c r="Y708" s="5" t="s">
        <v>47</v>
      </c>
      <c r="Z708" s="6"/>
      <c r="AA708" s="5" t="s">
        <v>501</v>
      </c>
      <c r="AB708" s="5" t="s">
        <v>51</v>
      </c>
      <c r="AC708" s="5" t="s">
        <v>51</v>
      </c>
      <c r="AD708" s="5" t="s">
        <v>51</v>
      </c>
      <c r="AE708" s="5" t="s">
        <v>51</v>
      </c>
      <c r="AF708" s="5" t="s">
        <v>719</v>
      </c>
    </row>
    <row r="709" spans="1:32" ht="15.65" customHeight="1" x14ac:dyDescent="0.35">
      <c r="A709" s="5" t="s">
        <v>73</v>
      </c>
      <c r="B709" s="5" t="s">
        <v>74</v>
      </c>
      <c r="C709" s="5" t="s">
        <v>47</v>
      </c>
      <c r="D709" s="5">
        <v>3000952</v>
      </c>
      <c r="E709" s="11">
        <v>3000952</v>
      </c>
      <c r="F709" s="11" t="s">
        <v>665</v>
      </c>
      <c r="G709" s="5" t="s">
        <v>665</v>
      </c>
      <c r="H709" s="5" t="s">
        <v>54</v>
      </c>
      <c r="I709" s="5">
        <v>6959593</v>
      </c>
      <c r="J709" s="6">
        <v>46127</v>
      </c>
      <c r="K709" s="6">
        <v>46127</v>
      </c>
      <c r="L709" s="6">
        <v>46127</v>
      </c>
      <c r="M709" s="7">
        <v>5</v>
      </c>
      <c r="N709" s="7">
        <v>-10605000</v>
      </c>
      <c r="O709" s="7">
        <v>-10605000</v>
      </c>
      <c r="P709" s="7">
        <v>0</v>
      </c>
      <c r="Q709" s="7">
        <v>-10605000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0</v>
      </c>
      <c r="Y709" s="5" t="s">
        <v>47</v>
      </c>
      <c r="Z709" s="6"/>
      <c r="AA709" s="5" t="s">
        <v>501</v>
      </c>
      <c r="AB709" s="5" t="s">
        <v>51</v>
      </c>
      <c r="AC709" s="5" t="s">
        <v>51</v>
      </c>
      <c r="AD709" s="5" t="s">
        <v>51</v>
      </c>
      <c r="AE709" s="5" t="s">
        <v>51</v>
      </c>
      <c r="AF709" s="5" t="s">
        <v>720</v>
      </c>
    </row>
    <row r="710" spans="1:32" ht="15.65" customHeight="1" x14ac:dyDescent="0.35">
      <c r="A710" s="5" t="s">
        <v>73</v>
      </c>
      <c r="B710" s="5" t="s">
        <v>74</v>
      </c>
      <c r="C710" s="5" t="s">
        <v>47</v>
      </c>
      <c r="D710" s="5">
        <v>3000952</v>
      </c>
      <c r="E710" s="11">
        <v>3000952</v>
      </c>
      <c r="F710" s="11" t="s">
        <v>665</v>
      </c>
      <c r="G710" s="5" t="s">
        <v>665</v>
      </c>
      <c r="H710" s="5" t="s">
        <v>54</v>
      </c>
      <c r="I710" s="5">
        <v>6959594</v>
      </c>
      <c r="J710" s="6">
        <v>46127</v>
      </c>
      <c r="K710" s="6">
        <v>46127</v>
      </c>
      <c r="L710" s="6">
        <v>46127</v>
      </c>
      <c r="M710" s="7">
        <v>5</v>
      </c>
      <c r="N710" s="7">
        <v>-14392500</v>
      </c>
      <c r="O710" s="7">
        <v>-14392500</v>
      </c>
      <c r="P710" s="7">
        <v>0</v>
      </c>
      <c r="Q710" s="7">
        <v>-14392500</v>
      </c>
      <c r="R710" s="7">
        <v>0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 s="7">
        <v>0</v>
      </c>
      <c r="Y710" s="5" t="s">
        <v>47</v>
      </c>
      <c r="Z710" s="6"/>
      <c r="AA710" s="5" t="s">
        <v>501</v>
      </c>
      <c r="AB710" s="5" t="s">
        <v>51</v>
      </c>
      <c r="AC710" s="5" t="s">
        <v>51</v>
      </c>
      <c r="AD710" s="5" t="s">
        <v>51</v>
      </c>
      <c r="AE710" s="5" t="s">
        <v>51</v>
      </c>
      <c r="AF710" s="5" t="s">
        <v>720</v>
      </c>
    </row>
    <row r="711" spans="1:32" ht="15.65" customHeight="1" x14ac:dyDescent="0.35">
      <c r="A711" s="5" t="s">
        <v>73</v>
      </c>
      <c r="B711" s="5" t="s">
        <v>74</v>
      </c>
      <c r="C711" s="5" t="s">
        <v>47</v>
      </c>
      <c r="D711" s="5">
        <v>3000952</v>
      </c>
      <c r="E711" s="11">
        <v>3000952</v>
      </c>
      <c r="F711" s="11" t="s">
        <v>665</v>
      </c>
      <c r="G711" s="5" t="s">
        <v>665</v>
      </c>
      <c r="H711" s="5" t="s">
        <v>54</v>
      </c>
      <c r="I711" s="5">
        <v>6959595</v>
      </c>
      <c r="J711" s="6">
        <v>46127</v>
      </c>
      <c r="K711" s="6">
        <v>46127</v>
      </c>
      <c r="L711" s="6">
        <v>46127</v>
      </c>
      <c r="M711" s="7">
        <v>5</v>
      </c>
      <c r="N711" s="7">
        <v>-2620950</v>
      </c>
      <c r="O711" s="7">
        <v>-2620950</v>
      </c>
      <c r="P711" s="7">
        <v>0</v>
      </c>
      <c r="Q711" s="7">
        <v>-2620950</v>
      </c>
      <c r="R711" s="7">
        <v>0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5" t="s">
        <v>47</v>
      </c>
      <c r="Z711" s="6"/>
      <c r="AA711" s="5" t="s">
        <v>501</v>
      </c>
      <c r="AB711" s="5" t="s">
        <v>51</v>
      </c>
      <c r="AC711" s="5" t="s">
        <v>51</v>
      </c>
      <c r="AD711" s="5" t="s">
        <v>51</v>
      </c>
      <c r="AE711" s="5" t="s">
        <v>51</v>
      </c>
      <c r="AF711" s="5" t="s">
        <v>721</v>
      </c>
    </row>
    <row r="712" spans="1:32" ht="15.65" customHeight="1" x14ac:dyDescent="0.35">
      <c r="A712" s="5" t="s">
        <v>73</v>
      </c>
      <c r="B712" s="5" t="s">
        <v>74</v>
      </c>
      <c r="C712" s="5" t="s">
        <v>47</v>
      </c>
      <c r="D712" s="5">
        <v>3000952</v>
      </c>
      <c r="E712" s="11">
        <v>3001567</v>
      </c>
      <c r="F712" s="11" t="s">
        <v>665</v>
      </c>
      <c r="G712" s="5" t="s">
        <v>665</v>
      </c>
      <c r="H712" s="5" t="s">
        <v>54</v>
      </c>
      <c r="I712" s="5">
        <v>6959599</v>
      </c>
      <c r="J712" s="6">
        <v>46127</v>
      </c>
      <c r="K712" s="6">
        <v>46127</v>
      </c>
      <c r="L712" s="6">
        <v>46127</v>
      </c>
      <c r="M712" s="7">
        <v>5</v>
      </c>
      <c r="N712" s="7">
        <v>-8938500</v>
      </c>
      <c r="O712" s="7">
        <v>-8938500</v>
      </c>
      <c r="P712" s="7">
        <v>0</v>
      </c>
      <c r="Q712" s="7">
        <v>-8938500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5" t="s">
        <v>47</v>
      </c>
      <c r="Z712" s="6"/>
      <c r="AA712" s="5" t="s">
        <v>501</v>
      </c>
      <c r="AB712" s="5" t="s">
        <v>51</v>
      </c>
      <c r="AC712" s="5" t="s">
        <v>51</v>
      </c>
      <c r="AD712" s="5" t="s">
        <v>51</v>
      </c>
      <c r="AE712" s="5" t="s">
        <v>51</v>
      </c>
      <c r="AF712" s="5" t="s">
        <v>722</v>
      </c>
    </row>
    <row r="713" spans="1:32" ht="15.65" customHeight="1" x14ac:dyDescent="0.35">
      <c r="A713" s="5" t="s">
        <v>73</v>
      </c>
      <c r="B713" s="5" t="s">
        <v>74</v>
      </c>
      <c r="C713" s="5" t="s">
        <v>47</v>
      </c>
      <c r="D713" s="5">
        <v>3000952</v>
      </c>
      <c r="E713" s="11">
        <v>3000950</v>
      </c>
      <c r="F713" s="11" t="s">
        <v>665</v>
      </c>
      <c r="G713" s="5" t="s">
        <v>665</v>
      </c>
      <c r="H713" s="5" t="s">
        <v>54</v>
      </c>
      <c r="I713" s="5">
        <v>6959638</v>
      </c>
      <c r="J713" s="6">
        <v>46127</v>
      </c>
      <c r="K713" s="6">
        <v>46127</v>
      </c>
      <c r="L713" s="6">
        <v>46127</v>
      </c>
      <c r="M713" s="7">
        <v>5</v>
      </c>
      <c r="N713" s="7">
        <v>-54500</v>
      </c>
      <c r="O713" s="7">
        <v>-54500</v>
      </c>
      <c r="P713" s="7">
        <v>0</v>
      </c>
      <c r="Q713" s="7">
        <v>-54500</v>
      </c>
      <c r="R713" s="7">
        <v>0</v>
      </c>
      <c r="S713" s="7">
        <v>0</v>
      </c>
      <c r="T713" s="7">
        <v>0</v>
      </c>
      <c r="U713" s="7">
        <v>0</v>
      </c>
      <c r="V713" s="7">
        <v>0</v>
      </c>
      <c r="W713" s="7">
        <v>0</v>
      </c>
      <c r="X713" s="7">
        <v>0</v>
      </c>
      <c r="Y713" s="5" t="s">
        <v>47</v>
      </c>
      <c r="Z713" s="6"/>
      <c r="AA713" s="5" t="s">
        <v>501</v>
      </c>
      <c r="AB713" s="5" t="s">
        <v>51</v>
      </c>
      <c r="AC713" s="5" t="s">
        <v>51</v>
      </c>
      <c r="AD713" s="5" t="s">
        <v>51</v>
      </c>
      <c r="AE713" s="5" t="s">
        <v>51</v>
      </c>
      <c r="AF713" s="5" t="s">
        <v>723</v>
      </c>
    </row>
    <row r="714" spans="1:32" ht="15.65" customHeight="1" x14ac:dyDescent="0.35">
      <c r="A714" s="5" t="s">
        <v>73</v>
      </c>
      <c r="B714" s="5" t="s">
        <v>74</v>
      </c>
      <c r="C714" s="5" t="s">
        <v>47</v>
      </c>
      <c r="D714" s="5">
        <v>3000952</v>
      </c>
      <c r="E714" s="11">
        <v>3000952</v>
      </c>
      <c r="F714" s="11" t="s">
        <v>665</v>
      </c>
      <c r="G714" s="5" t="s">
        <v>665</v>
      </c>
      <c r="H714" s="5" t="s">
        <v>111</v>
      </c>
      <c r="I714" s="5">
        <v>6959683</v>
      </c>
      <c r="J714" s="6">
        <v>46128</v>
      </c>
      <c r="K714" s="6">
        <v>46128</v>
      </c>
      <c r="L714" s="6">
        <v>46128</v>
      </c>
      <c r="M714" s="7">
        <v>4</v>
      </c>
      <c r="N714" s="7">
        <v>-6093847</v>
      </c>
      <c r="O714" s="7">
        <v>-6093847</v>
      </c>
      <c r="P714" s="7">
        <v>0</v>
      </c>
      <c r="Q714" s="7">
        <v>-6093847</v>
      </c>
      <c r="R714" s="7">
        <v>0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5" t="s">
        <v>47</v>
      </c>
      <c r="Z714" s="6"/>
      <c r="AA714" s="5" t="s">
        <v>501</v>
      </c>
      <c r="AB714" s="5" t="s">
        <v>51</v>
      </c>
      <c r="AC714" s="5" t="s">
        <v>51</v>
      </c>
      <c r="AD714" s="5" t="s">
        <v>51</v>
      </c>
      <c r="AE714" s="5" t="s">
        <v>51</v>
      </c>
      <c r="AF714" s="5" t="s">
        <v>64</v>
      </c>
    </row>
    <row r="715" spans="1:32" ht="15.65" customHeight="1" x14ac:dyDescent="0.35">
      <c r="A715" s="5" t="s">
        <v>73</v>
      </c>
      <c r="B715" s="5" t="s">
        <v>74</v>
      </c>
      <c r="C715" s="5" t="s">
        <v>47</v>
      </c>
      <c r="D715" s="5">
        <v>3000952</v>
      </c>
      <c r="E715" s="11">
        <v>3000952</v>
      </c>
      <c r="F715" s="11" t="s">
        <v>665</v>
      </c>
      <c r="G715" s="5" t="s">
        <v>665</v>
      </c>
      <c r="H715" s="5" t="s">
        <v>54</v>
      </c>
      <c r="I715" s="5">
        <v>6960013</v>
      </c>
      <c r="J715" s="6">
        <v>46130</v>
      </c>
      <c r="K715" s="6">
        <v>46130</v>
      </c>
      <c r="L715" s="6">
        <v>46130</v>
      </c>
      <c r="M715" s="7">
        <v>2</v>
      </c>
      <c r="N715" s="7">
        <v>-30139</v>
      </c>
      <c r="O715" s="7">
        <v>-30139</v>
      </c>
      <c r="P715" s="7">
        <v>0</v>
      </c>
      <c r="Q715" s="7">
        <v>-30139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  <c r="Y715" s="5" t="s">
        <v>47</v>
      </c>
      <c r="Z715" s="6"/>
      <c r="AA715" s="5" t="s">
        <v>501</v>
      </c>
      <c r="AB715" s="5" t="s">
        <v>51</v>
      </c>
      <c r="AC715" s="5" t="s">
        <v>51</v>
      </c>
      <c r="AD715" s="5" t="s">
        <v>51</v>
      </c>
      <c r="AE715" s="5" t="s">
        <v>51</v>
      </c>
      <c r="AF715" s="5" t="s">
        <v>724</v>
      </c>
    </row>
    <row r="716" spans="1:32" ht="15.65" customHeight="1" x14ac:dyDescent="0.35">
      <c r="A716" s="5" t="s">
        <v>73</v>
      </c>
      <c r="B716" s="5" t="s">
        <v>74</v>
      </c>
      <c r="C716" s="5" t="s">
        <v>47</v>
      </c>
      <c r="D716" s="5">
        <v>3000952</v>
      </c>
      <c r="E716" s="11">
        <v>3000952</v>
      </c>
      <c r="F716" s="11" t="s">
        <v>665</v>
      </c>
      <c r="G716" s="5" t="s">
        <v>665</v>
      </c>
      <c r="H716" s="5" t="s">
        <v>54</v>
      </c>
      <c r="I716" s="5">
        <v>6960014</v>
      </c>
      <c r="J716" s="6">
        <v>46130</v>
      </c>
      <c r="K716" s="6">
        <v>46130</v>
      </c>
      <c r="L716" s="6">
        <v>46130</v>
      </c>
      <c r="M716" s="7">
        <v>2</v>
      </c>
      <c r="N716" s="7">
        <v>-21326</v>
      </c>
      <c r="O716" s="7">
        <v>-21326</v>
      </c>
      <c r="P716" s="7">
        <v>0</v>
      </c>
      <c r="Q716" s="7">
        <v>-21326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5" t="s">
        <v>47</v>
      </c>
      <c r="Z716" s="6"/>
      <c r="AA716" s="5" t="s">
        <v>501</v>
      </c>
      <c r="AB716" s="5" t="s">
        <v>51</v>
      </c>
      <c r="AC716" s="5" t="s">
        <v>51</v>
      </c>
      <c r="AD716" s="5" t="s">
        <v>51</v>
      </c>
      <c r="AE716" s="5" t="s">
        <v>51</v>
      </c>
      <c r="AF716" s="5" t="s">
        <v>724</v>
      </c>
    </row>
    <row r="717" spans="1:32" ht="15.65" customHeight="1" x14ac:dyDescent="0.35">
      <c r="A717" s="5" t="s">
        <v>73</v>
      </c>
      <c r="B717" s="5" t="s">
        <v>74</v>
      </c>
      <c r="C717" s="5" t="s">
        <v>47</v>
      </c>
      <c r="D717" s="5">
        <v>3000952</v>
      </c>
      <c r="E717" s="11">
        <v>3000952</v>
      </c>
      <c r="F717" s="11" t="s">
        <v>665</v>
      </c>
      <c r="G717" s="5" t="s">
        <v>665</v>
      </c>
      <c r="H717" s="5" t="s">
        <v>54</v>
      </c>
      <c r="I717" s="5">
        <v>6960089</v>
      </c>
      <c r="J717" s="6">
        <v>46130</v>
      </c>
      <c r="K717" s="6">
        <v>46130</v>
      </c>
      <c r="L717" s="6">
        <v>46130</v>
      </c>
      <c r="M717" s="7">
        <v>2</v>
      </c>
      <c r="N717" s="7">
        <v>-19324</v>
      </c>
      <c r="O717" s="7">
        <v>-19324</v>
      </c>
      <c r="P717" s="7">
        <v>0</v>
      </c>
      <c r="Q717" s="7">
        <v>-19324</v>
      </c>
      <c r="R717" s="7">
        <v>0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5" t="s">
        <v>47</v>
      </c>
      <c r="Z717" s="6"/>
      <c r="AA717" s="5" t="s">
        <v>501</v>
      </c>
      <c r="AB717" s="5" t="s">
        <v>51</v>
      </c>
      <c r="AC717" s="5" t="s">
        <v>51</v>
      </c>
      <c r="AD717" s="5" t="s">
        <v>51</v>
      </c>
      <c r="AE717" s="5" t="s">
        <v>51</v>
      </c>
      <c r="AF717" s="5" t="s">
        <v>725</v>
      </c>
    </row>
    <row r="718" spans="1:32" ht="15.65" customHeight="1" x14ac:dyDescent="0.35">
      <c r="A718" s="5" t="s">
        <v>73</v>
      </c>
      <c r="B718" s="5" t="s">
        <v>74</v>
      </c>
      <c r="C718" s="5" t="s">
        <v>47</v>
      </c>
      <c r="D718" s="5">
        <v>3000952</v>
      </c>
      <c r="E718" s="11">
        <v>3000952</v>
      </c>
      <c r="F718" s="11" t="s">
        <v>665</v>
      </c>
      <c r="G718" s="5" t="s">
        <v>665</v>
      </c>
      <c r="H718" s="5" t="s">
        <v>54</v>
      </c>
      <c r="I718" s="5">
        <v>6960090</v>
      </c>
      <c r="J718" s="6">
        <v>46130</v>
      </c>
      <c r="K718" s="6">
        <v>46130</v>
      </c>
      <c r="L718" s="6">
        <v>46130</v>
      </c>
      <c r="M718" s="7">
        <v>2</v>
      </c>
      <c r="N718" s="7">
        <v>-72606</v>
      </c>
      <c r="O718" s="7">
        <v>-72606</v>
      </c>
      <c r="P718" s="7">
        <v>0</v>
      </c>
      <c r="Q718" s="7">
        <v>-72606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5" t="s">
        <v>47</v>
      </c>
      <c r="Z718" s="6"/>
      <c r="AA718" s="5" t="s">
        <v>501</v>
      </c>
      <c r="AB718" s="5" t="s">
        <v>51</v>
      </c>
      <c r="AC718" s="5" t="s">
        <v>51</v>
      </c>
      <c r="AD718" s="5" t="s">
        <v>51</v>
      </c>
      <c r="AE718" s="5" t="s">
        <v>51</v>
      </c>
      <c r="AF718" s="5" t="s">
        <v>724</v>
      </c>
    </row>
    <row r="719" spans="1:32" ht="15.65" customHeight="1" x14ac:dyDescent="0.35">
      <c r="A719" s="5" t="s">
        <v>73</v>
      </c>
      <c r="B719" s="5" t="s">
        <v>74</v>
      </c>
      <c r="C719" s="5" t="s">
        <v>47</v>
      </c>
      <c r="D719" s="5">
        <v>3000952</v>
      </c>
      <c r="E719" s="11">
        <v>3000952</v>
      </c>
      <c r="F719" s="11" t="s">
        <v>665</v>
      </c>
      <c r="G719" s="5" t="s">
        <v>665</v>
      </c>
      <c r="H719" s="5" t="s">
        <v>54</v>
      </c>
      <c r="I719" s="5">
        <v>6960091</v>
      </c>
      <c r="J719" s="6">
        <v>46130</v>
      </c>
      <c r="K719" s="6">
        <v>46130</v>
      </c>
      <c r="L719" s="6">
        <v>46130</v>
      </c>
      <c r="M719" s="7">
        <v>2</v>
      </c>
      <c r="N719" s="7">
        <v>-4864</v>
      </c>
      <c r="O719" s="7">
        <v>-4864</v>
      </c>
      <c r="P719" s="7">
        <v>0</v>
      </c>
      <c r="Q719" s="7">
        <v>-4864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5" t="s">
        <v>47</v>
      </c>
      <c r="Z719" s="6"/>
      <c r="AA719" s="5" t="s">
        <v>501</v>
      </c>
      <c r="AB719" s="5" t="s">
        <v>51</v>
      </c>
      <c r="AC719" s="5" t="s">
        <v>51</v>
      </c>
      <c r="AD719" s="5" t="s">
        <v>51</v>
      </c>
      <c r="AE719" s="5" t="s">
        <v>51</v>
      </c>
      <c r="AF719" s="5" t="s">
        <v>724</v>
      </c>
    </row>
    <row r="720" spans="1:32" ht="15.65" customHeight="1" x14ac:dyDescent="0.35">
      <c r="A720" s="5" t="s">
        <v>73</v>
      </c>
      <c r="B720" s="5" t="s">
        <v>74</v>
      </c>
      <c r="C720" s="5" t="s">
        <v>47</v>
      </c>
      <c r="D720" s="5">
        <v>3000952</v>
      </c>
      <c r="E720" s="11">
        <v>3000952</v>
      </c>
      <c r="F720" s="11" t="s">
        <v>665</v>
      </c>
      <c r="G720" s="5" t="s">
        <v>665</v>
      </c>
      <c r="H720" s="5" t="s">
        <v>54</v>
      </c>
      <c r="I720" s="5">
        <v>6960092</v>
      </c>
      <c r="J720" s="6">
        <v>46130</v>
      </c>
      <c r="K720" s="6">
        <v>46130</v>
      </c>
      <c r="L720" s="6">
        <v>46130</v>
      </c>
      <c r="M720" s="7">
        <v>2</v>
      </c>
      <c r="N720" s="7">
        <v>-23836</v>
      </c>
      <c r="O720" s="7">
        <v>-23836</v>
      </c>
      <c r="P720" s="7">
        <v>0</v>
      </c>
      <c r="Q720" s="7">
        <v>-23836</v>
      </c>
      <c r="R720" s="7">
        <v>0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7">
        <v>0</v>
      </c>
      <c r="Y720" s="5" t="s">
        <v>47</v>
      </c>
      <c r="Z720" s="6"/>
      <c r="AA720" s="5" t="s">
        <v>501</v>
      </c>
      <c r="AB720" s="5" t="s">
        <v>51</v>
      </c>
      <c r="AC720" s="5" t="s">
        <v>51</v>
      </c>
      <c r="AD720" s="5" t="s">
        <v>51</v>
      </c>
      <c r="AE720" s="5" t="s">
        <v>51</v>
      </c>
      <c r="AF720" s="5" t="s">
        <v>725</v>
      </c>
    </row>
    <row r="721" spans="1:47" ht="15.65" customHeight="1" x14ac:dyDescent="0.35">
      <c r="A721" s="5" t="s">
        <v>73</v>
      </c>
      <c r="B721" s="5" t="s">
        <v>74</v>
      </c>
      <c r="C721" s="5" t="s">
        <v>47</v>
      </c>
      <c r="D721" s="5">
        <v>3000952</v>
      </c>
      <c r="E721" s="11">
        <v>3000952</v>
      </c>
      <c r="F721" s="11" t="s">
        <v>665</v>
      </c>
      <c r="G721" s="5" t="s">
        <v>665</v>
      </c>
      <c r="H721" s="5" t="s">
        <v>54</v>
      </c>
      <c r="I721" s="5">
        <v>6960093</v>
      </c>
      <c r="J721" s="6">
        <v>46130</v>
      </c>
      <c r="K721" s="6">
        <v>46130</v>
      </c>
      <c r="L721" s="6">
        <v>46130</v>
      </c>
      <c r="M721" s="7">
        <v>2</v>
      </c>
      <c r="N721" s="7">
        <v>-122261</v>
      </c>
      <c r="O721" s="7">
        <v>-122261</v>
      </c>
      <c r="P721" s="7">
        <v>0</v>
      </c>
      <c r="Q721" s="7">
        <v>-122261</v>
      </c>
      <c r="R721" s="7">
        <v>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0</v>
      </c>
      <c r="Y721" s="5" t="s">
        <v>47</v>
      </c>
      <c r="Z721" s="6"/>
      <c r="AA721" s="5" t="s">
        <v>501</v>
      </c>
      <c r="AB721" s="5" t="s">
        <v>51</v>
      </c>
      <c r="AC721" s="5" t="s">
        <v>51</v>
      </c>
      <c r="AD721" s="5" t="s">
        <v>51</v>
      </c>
      <c r="AE721" s="5" t="s">
        <v>51</v>
      </c>
      <c r="AF721" s="5" t="s">
        <v>725</v>
      </c>
    </row>
    <row r="722" spans="1:47" ht="15.65" customHeight="1" x14ac:dyDescent="0.35">
      <c r="A722" s="5" t="s">
        <v>73</v>
      </c>
      <c r="B722" s="5" t="s">
        <v>74</v>
      </c>
      <c r="C722" s="5" t="s">
        <v>47</v>
      </c>
      <c r="D722" s="5">
        <v>3000952</v>
      </c>
      <c r="E722" s="11">
        <v>3000952</v>
      </c>
      <c r="F722" s="11" t="s">
        <v>665</v>
      </c>
      <c r="G722" s="5" t="s">
        <v>665</v>
      </c>
      <c r="H722" s="5" t="s">
        <v>54</v>
      </c>
      <c r="I722" s="5">
        <v>6960094</v>
      </c>
      <c r="J722" s="6">
        <v>46130</v>
      </c>
      <c r="K722" s="6">
        <v>46130</v>
      </c>
      <c r="L722" s="6">
        <v>46130</v>
      </c>
      <c r="M722" s="7">
        <v>2</v>
      </c>
      <c r="N722" s="7">
        <v>-190681</v>
      </c>
      <c r="O722" s="7">
        <v>-190681</v>
      </c>
      <c r="P722" s="7">
        <v>0</v>
      </c>
      <c r="Q722" s="7">
        <v>-190681</v>
      </c>
      <c r="R722" s="7">
        <v>0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  <c r="X722" s="7">
        <v>0</v>
      </c>
      <c r="Y722" s="5" t="s">
        <v>47</v>
      </c>
      <c r="Z722" s="6"/>
      <c r="AA722" s="5" t="s">
        <v>501</v>
      </c>
      <c r="AB722" s="5" t="s">
        <v>51</v>
      </c>
      <c r="AC722" s="5" t="s">
        <v>51</v>
      </c>
      <c r="AD722" s="5" t="s">
        <v>51</v>
      </c>
      <c r="AE722" s="5" t="s">
        <v>51</v>
      </c>
      <c r="AF722" s="5" t="s">
        <v>724</v>
      </c>
    </row>
    <row r="723" spans="1:47" ht="15.65" customHeight="1" x14ac:dyDescent="0.35">
      <c r="A723" s="5" t="s">
        <v>73</v>
      </c>
      <c r="B723" s="5" t="s">
        <v>74</v>
      </c>
      <c r="C723" s="5" t="s">
        <v>47</v>
      </c>
      <c r="D723" s="5">
        <v>3000952</v>
      </c>
      <c r="E723" s="11">
        <v>3000952</v>
      </c>
      <c r="F723" s="11" t="s">
        <v>665</v>
      </c>
      <c r="G723" s="5" t="s">
        <v>665</v>
      </c>
      <c r="H723" s="5" t="s">
        <v>54</v>
      </c>
      <c r="I723" s="5">
        <v>6960095</v>
      </c>
      <c r="J723" s="6">
        <v>46130</v>
      </c>
      <c r="K723" s="6">
        <v>46130</v>
      </c>
      <c r="L723" s="6">
        <v>46130</v>
      </c>
      <c r="M723" s="7">
        <v>2</v>
      </c>
      <c r="N723" s="7">
        <v>-107094</v>
      </c>
      <c r="O723" s="7">
        <v>-107094</v>
      </c>
      <c r="P723" s="7">
        <v>0</v>
      </c>
      <c r="Q723" s="7">
        <v>-107094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5" t="s">
        <v>47</v>
      </c>
      <c r="Z723" s="6"/>
      <c r="AA723" s="5" t="s">
        <v>501</v>
      </c>
      <c r="AB723" s="5" t="s">
        <v>51</v>
      </c>
      <c r="AC723" s="5" t="s">
        <v>51</v>
      </c>
      <c r="AD723" s="5" t="s">
        <v>51</v>
      </c>
      <c r="AE723" s="5" t="s">
        <v>51</v>
      </c>
      <c r="AF723" s="5" t="s">
        <v>724</v>
      </c>
    </row>
    <row r="724" spans="1:47" ht="15.65" customHeight="1" x14ac:dyDescent="0.35">
      <c r="A724" s="5" t="s">
        <v>73</v>
      </c>
      <c r="B724" s="5" t="s">
        <v>74</v>
      </c>
      <c r="C724" s="5" t="s">
        <v>47</v>
      </c>
      <c r="D724" s="5">
        <v>3000952</v>
      </c>
      <c r="E724" s="11">
        <v>3000952</v>
      </c>
      <c r="F724" s="11" t="s">
        <v>665</v>
      </c>
      <c r="G724" s="5" t="s">
        <v>665</v>
      </c>
      <c r="H724" s="5" t="s">
        <v>54</v>
      </c>
      <c r="I724" s="5">
        <v>6960096</v>
      </c>
      <c r="J724" s="6">
        <v>46130</v>
      </c>
      <c r="K724" s="6">
        <v>46130</v>
      </c>
      <c r="L724" s="6">
        <v>46130</v>
      </c>
      <c r="M724" s="7">
        <v>2</v>
      </c>
      <c r="N724" s="7">
        <v>-45098</v>
      </c>
      <c r="O724" s="7">
        <v>-45098</v>
      </c>
      <c r="P724" s="7">
        <v>0</v>
      </c>
      <c r="Q724" s="7">
        <v>-45098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  <c r="X724" s="7">
        <v>0</v>
      </c>
      <c r="Y724" s="5" t="s">
        <v>47</v>
      </c>
      <c r="Z724" s="6"/>
      <c r="AA724" s="5" t="s">
        <v>501</v>
      </c>
      <c r="AB724" s="5" t="s">
        <v>51</v>
      </c>
      <c r="AC724" s="5" t="s">
        <v>51</v>
      </c>
      <c r="AD724" s="5" t="s">
        <v>51</v>
      </c>
      <c r="AE724" s="5" t="s">
        <v>51</v>
      </c>
      <c r="AF724" s="5" t="s">
        <v>724</v>
      </c>
    </row>
    <row r="725" spans="1:47" ht="15.65" customHeight="1" x14ac:dyDescent="0.35">
      <c r="A725" s="5" t="s">
        <v>73</v>
      </c>
      <c r="B725" s="5" t="s">
        <v>74</v>
      </c>
      <c r="C725" s="5" t="s">
        <v>47</v>
      </c>
      <c r="D725" s="5">
        <v>3000952</v>
      </c>
      <c r="E725" s="11">
        <v>3000952</v>
      </c>
      <c r="F725" s="11" t="s">
        <v>665</v>
      </c>
      <c r="G725" s="5" t="s">
        <v>665</v>
      </c>
      <c r="H725" s="5" t="s">
        <v>54</v>
      </c>
      <c r="I725" s="5">
        <v>6960098</v>
      </c>
      <c r="J725" s="6">
        <v>46130</v>
      </c>
      <c r="K725" s="6">
        <v>46130</v>
      </c>
      <c r="L725" s="6">
        <v>46130</v>
      </c>
      <c r="M725" s="7">
        <v>2</v>
      </c>
      <c r="N725" s="7">
        <v>-46553</v>
      </c>
      <c r="O725" s="7">
        <v>-46553</v>
      </c>
      <c r="P725" s="7">
        <v>0</v>
      </c>
      <c r="Q725" s="7">
        <v>-46553</v>
      </c>
      <c r="R725" s="7">
        <v>0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5" t="s">
        <v>47</v>
      </c>
      <c r="Z725" s="6"/>
      <c r="AA725" s="5" t="s">
        <v>501</v>
      </c>
      <c r="AB725" s="5" t="s">
        <v>51</v>
      </c>
      <c r="AC725" s="5" t="s">
        <v>51</v>
      </c>
      <c r="AD725" s="5" t="s">
        <v>51</v>
      </c>
      <c r="AE725" s="5" t="s">
        <v>51</v>
      </c>
      <c r="AF725" s="5" t="s">
        <v>725</v>
      </c>
    </row>
    <row r="726" spans="1:47" ht="15.65" customHeight="1" x14ac:dyDescent="0.35">
      <c r="A726" s="5" t="s">
        <v>73</v>
      </c>
      <c r="B726" s="5" t="s">
        <v>74</v>
      </c>
      <c r="C726" s="5" t="s">
        <v>47</v>
      </c>
      <c r="D726" s="5">
        <v>3000952</v>
      </c>
      <c r="E726" s="11">
        <v>3000952</v>
      </c>
      <c r="F726" s="11" t="s">
        <v>665</v>
      </c>
      <c r="G726" s="5" t="s">
        <v>665</v>
      </c>
      <c r="H726" s="5" t="s">
        <v>54</v>
      </c>
      <c r="I726" s="5">
        <v>6960099</v>
      </c>
      <c r="J726" s="6">
        <v>46130</v>
      </c>
      <c r="K726" s="6">
        <v>46130</v>
      </c>
      <c r="L726" s="6">
        <v>46130</v>
      </c>
      <c r="M726" s="7">
        <v>2</v>
      </c>
      <c r="N726" s="7">
        <v>-68668</v>
      </c>
      <c r="O726" s="7">
        <v>-68668</v>
      </c>
      <c r="P726" s="7">
        <v>0</v>
      </c>
      <c r="Q726" s="7">
        <v>-68668</v>
      </c>
      <c r="R726" s="7">
        <v>0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5" t="s">
        <v>47</v>
      </c>
      <c r="Z726" s="6"/>
      <c r="AA726" s="5" t="s">
        <v>501</v>
      </c>
      <c r="AB726" s="5" t="s">
        <v>51</v>
      </c>
      <c r="AC726" s="5" t="s">
        <v>51</v>
      </c>
      <c r="AD726" s="5" t="s">
        <v>51</v>
      </c>
      <c r="AE726" s="5" t="s">
        <v>51</v>
      </c>
      <c r="AF726" s="5" t="s">
        <v>725</v>
      </c>
    </row>
    <row r="727" spans="1:47" ht="15.65" customHeight="1" x14ac:dyDescent="0.35">
      <c r="A727" s="5" t="s">
        <v>73</v>
      </c>
      <c r="B727" s="5" t="s">
        <v>74</v>
      </c>
      <c r="C727" s="5" t="s">
        <v>47</v>
      </c>
      <c r="D727" s="5">
        <v>3000952</v>
      </c>
      <c r="E727" s="11">
        <v>3000950</v>
      </c>
      <c r="F727" s="11" t="s">
        <v>665</v>
      </c>
      <c r="G727" s="5" t="s">
        <v>665</v>
      </c>
      <c r="H727" s="5" t="s">
        <v>54</v>
      </c>
      <c r="I727" s="5">
        <v>6960241</v>
      </c>
      <c r="J727" s="6">
        <v>46130</v>
      </c>
      <c r="K727" s="6">
        <v>46130</v>
      </c>
      <c r="L727" s="6">
        <v>46130</v>
      </c>
      <c r="M727" s="7">
        <v>2</v>
      </c>
      <c r="N727" s="7">
        <v>-1223665</v>
      </c>
      <c r="O727" s="7">
        <v>-1223665</v>
      </c>
      <c r="P727" s="7">
        <v>0</v>
      </c>
      <c r="Q727" s="7">
        <v>-1223665</v>
      </c>
      <c r="R727" s="7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5" t="s">
        <v>47</v>
      </c>
      <c r="Z727" s="6"/>
      <c r="AA727" s="5" t="s">
        <v>501</v>
      </c>
      <c r="AB727" s="5" t="s">
        <v>51</v>
      </c>
      <c r="AC727" s="5" t="s">
        <v>51</v>
      </c>
      <c r="AD727" s="5" t="s">
        <v>51</v>
      </c>
      <c r="AE727" s="5" t="s">
        <v>51</v>
      </c>
      <c r="AF727" s="5" t="s">
        <v>726</v>
      </c>
    </row>
    <row r="728" spans="1:47" ht="15.65" customHeight="1" x14ac:dyDescent="0.35">
      <c r="A728" s="5" t="s">
        <v>73</v>
      </c>
      <c r="B728" s="5" t="s">
        <v>74</v>
      </c>
      <c r="C728" s="5" t="s">
        <v>47</v>
      </c>
      <c r="D728" s="5">
        <v>3000952</v>
      </c>
      <c r="E728" s="11">
        <v>3000950</v>
      </c>
      <c r="F728" s="11" t="s">
        <v>665</v>
      </c>
      <c r="G728" s="5" t="s">
        <v>665</v>
      </c>
      <c r="H728" s="5" t="s">
        <v>54</v>
      </c>
      <c r="I728" s="5">
        <v>6960242</v>
      </c>
      <c r="J728" s="6">
        <v>46130</v>
      </c>
      <c r="K728" s="6">
        <v>46130</v>
      </c>
      <c r="L728" s="6">
        <v>46130</v>
      </c>
      <c r="M728" s="7">
        <v>2</v>
      </c>
      <c r="N728" s="7">
        <v>-1040652</v>
      </c>
      <c r="O728" s="7">
        <v>-1040652</v>
      </c>
      <c r="P728" s="7">
        <v>0</v>
      </c>
      <c r="Q728" s="7">
        <v>-1040652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5" t="s">
        <v>47</v>
      </c>
      <c r="Z728" s="6"/>
      <c r="AA728" s="5" t="s">
        <v>501</v>
      </c>
      <c r="AB728" s="5" t="s">
        <v>51</v>
      </c>
      <c r="AC728" s="5" t="s">
        <v>51</v>
      </c>
      <c r="AD728" s="5" t="s">
        <v>51</v>
      </c>
      <c r="AE728" s="5" t="s">
        <v>51</v>
      </c>
      <c r="AF728" s="5" t="s">
        <v>726</v>
      </c>
    </row>
    <row r="729" spans="1:47" ht="15.65" customHeight="1" x14ac:dyDescent="0.35">
      <c r="A729" s="5" t="s">
        <v>73</v>
      </c>
      <c r="B729" s="5" t="s">
        <v>74</v>
      </c>
      <c r="C729" s="5" t="s">
        <v>47</v>
      </c>
      <c r="D729" s="5">
        <v>3000952</v>
      </c>
      <c r="E729" s="11">
        <v>3000952</v>
      </c>
      <c r="F729" s="11" t="s">
        <v>665</v>
      </c>
      <c r="G729" s="5" t="s">
        <v>665</v>
      </c>
      <c r="H729" s="5" t="s">
        <v>54</v>
      </c>
      <c r="I729" s="5">
        <v>6960243</v>
      </c>
      <c r="J729" s="6">
        <v>46130</v>
      </c>
      <c r="K729" s="6">
        <v>46130</v>
      </c>
      <c r="L729" s="6">
        <v>46130</v>
      </c>
      <c r="M729" s="7">
        <v>2</v>
      </c>
      <c r="N729" s="7">
        <v>-287832</v>
      </c>
      <c r="O729" s="7">
        <v>-287832</v>
      </c>
      <c r="P729" s="7">
        <v>0</v>
      </c>
      <c r="Q729" s="7">
        <v>-287832</v>
      </c>
      <c r="R729" s="7">
        <v>0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5" t="s">
        <v>47</v>
      </c>
      <c r="Z729" s="6"/>
      <c r="AA729" s="5" t="s">
        <v>501</v>
      </c>
      <c r="AB729" s="5" t="s">
        <v>51</v>
      </c>
      <c r="AC729" s="5" t="s">
        <v>51</v>
      </c>
      <c r="AD729" s="5" t="s">
        <v>51</v>
      </c>
      <c r="AE729" s="5" t="s">
        <v>51</v>
      </c>
      <c r="AF729" s="5" t="s">
        <v>727</v>
      </c>
    </row>
    <row r="730" spans="1:47" ht="15.65" customHeight="1" x14ac:dyDescent="0.35">
      <c r="A730" s="5" t="s">
        <v>73</v>
      </c>
      <c r="B730" s="5" t="s">
        <v>74</v>
      </c>
      <c r="C730" s="5" t="s">
        <v>47</v>
      </c>
      <c r="D730" s="5">
        <v>3000952</v>
      </c>
      <c r="E730" s="11">
        <v>3000952</v>
      </c>
      <c r="F730" s="11" t="s">
        <v>665</v>
      </c>
      <c r="G730" s="5" t="s">
        <v>665</v>
      </c>
      <c r="H730" s="5" t="s">
        <v>54</v>
      </c>
      <c r="I730" s="5">
        <v>6960244</v>
      </c>
      <c r="J730" s="6">
        <v>46130</v>
      </c>
      <c r="K730" s="6">
        <v>46130</v>
      </c>
      <c r="L730" s="6">
        <v>46130</v>
      </c>
      <c r="M730" s="7">
        <v>2</v>
      </c>
      <c r="N730" s="7">
        <v>-316973</v>
      </c>
      <c r="O730" s="7">
        <v>-316973</v>
      </c>
      <c r="P730" s="7">
        <v>0</v>
      </c>
      <c r="Q730" s="7">
        <v>-316973</v>
      </c>
      <c r="R730" s="7">
        <v>0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5" t="s">
        <v>47</v>
      </c>
      <c r="Z730" s="6"/>
      <c r="AA730" s="5" t="s">
        <v>501</v>
      </c>
      <c r="AB730" s="5" t="s">
        <v>51</v>
      </c>
      <c r="AC730" s="5" t="s">
        <v>51</v>
      </c>
      <c r="AD730" s="5" t="s">
        <v>51</v>
      </c>
      <c r="AE730" s="5" t="s">
        <v>51</v>
      </c>
      <c r="AF730" s="5" t="s">
        <v>727</v>
      </c>
    </row>
    <row r="731" spans="1:47" ht="15.65" customHeight="1" x14ac:dyDescent="0.35">
      <c r="A731" s="5" t="s">
        <v>73</v>
      </c>
      <c r="B731" s="5" t="s">
        <v>74</v>
      </c>
      <c r="C731" s="5" t="s">
        <v>47</v>
      </c>
      <c r="D731" s="5">
        <v>3000952</v>
      </c>
      <c r="E731" s="11">
        <v>3000952</v>
      </c>
      <c r="F731" s="11" t="s">
        <v>665</v>
      </c>
      <c r="G731" s="5" t="s">
        <v>665</v>
      </c>
      <c r="H731" s="5" t="s">
        <v>54</v>
      </c>
      <c r="I731" s="5">
        <v>6960245</v>
      </c>
      <c r="J731" s="6">
        <v>46130</v>
      </c>
      <c r="K731" s="6">
        <v>46130</v>
      </c>
      <c r="L731" s="6">
        <v>46130</v>
      </c>
      <c r="M731" s="7">
        <v>2</v>
      </c>
      <c r="N731" s="7">
        <v>-519664</v>
      </c>
      <c r="O731" s="7">
        <v>-519664</v>
      </c>
      <c r="P731" s="7">
        <v>0</v>
      </c>
      <c r="Q731" s="7">
        <v>-519664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5" t="s">
        <v>47</v>
      </c>
      <c r="Z731" s="6"/>
      <c r="AA731" s="5" t="s">
        <v>501</v>
      </c>
      <c r="AB731" s="5" t="s">
        <v>51</v>
      </c>
      <c r="AC731" s="5" t="s">
        <v>51</v>
      </c>
      <c r="AD731" s="5" t="s">
        <v>51</v>
      </c>
      <c r="AE731" s="5" t="s">
        <v>51</v>
      </c>
      <c r="AF731" s="5" t="s">
        <v>728</v>
      </c>
    </row>
    <row r="732" spans="1:47" ht="15.65" customHeight="1" x14ac:dyDescent="0.35">
      <c r="A732" t="s">
        <v>73</v>
      </c>
      <c r="B732" t="s">
        <v>74</v>
      </c>
      <c r="C732" t="s">
        <v>47</v>
      </c>
      <c r="D732">
        <v>3000952</v>
      </c>
      <c r="E732" s="12">
        <v>3000952</v>
      </c>
      <c r="F732" s="12" t="s">
        <v>665</v>
      </c>
      <c r="G732" s="5" t="s">
        <v>665</v>
      </c>
      <c r="H732" s="5" t="s">
        <v>54</v>
      </c>
      <c r="I732" s="5">
        <v>6960246</v>
      </c>
      <c r="J732" s="11">
        <v>46130</v>
      </c>
      <c r="K732" s="11">
        <v>46130</v>
      </c>
      <c r="L732" s="11">
        <v>46130</v>
      </c>
      <c r="M732" s="5">
        <v>2</v>
      </c>
      <c r="N732" s="5">
        <v>-546576</v>
      </c>
      <c r="O732" s="5">
        <v>-546576</v>
      </c>
      <c r="P732" s="5">
        <v>0</v>
      </c>
      <c r="Q732" s="6">
        <v>-546576</v>
      </c>
      <c r="R732" s="6">
        <v>0</v>
      </c>
      <c r="S732" s="7">
        <v>0</v>
      </c>
      <c r="T732" s="7">
        <v>0</v>
      </c>
      <c r="U732" s="7">
        <v>0</v>
      </c>
      <c r="V732" s="7">
        <v>0</v>
      </c>
      <c r="W732" s="7">
        <v>0</v>
      </c>
      <c r="X732" s="7">
        <v>0</v>
      </c>
      <c r="Y732" s="7" t="s">
        <v>47</v>
      </c>
      <c r="Z732" s="7"/>
      <c r="AA732" s="7" t="s">
        <v>501</v>
      </c>
      <c r="AB732" s="7" t="s">
        <v>51</v>
      </c>
      <c r="AC732" s="7" t="s">
        <v>51</v>
      </c>
      <c r="AD732" s="7" t="s">
        <v>51</v>
      </c>
      <c r="AE732" s="5" t="s">
        <v>51</v>
      </c>
      <c r="AF732" s="6" t="s">
        <v>729</v>
      </c>
      <c r="AG732" s="5"/>
      <c r="AH732" s="5"/>
      <c r="AI732" s="5"/>
      <c r="AJ732" s="5"/>
      <c r="AK732" s="5"/>
      <c r="AL732" s="5"/>
      <c r="AU732" s="2"/>
    </row>
    <row r="733" spans="1:47" ht="15.65" customHeight="1" x14ac:dyDescent="0.35">
      <c r="A733" t="s">
        <v>73</v>
      </c>
      <c r="B733" t="s">
        <v>74</v>
      </c>
      <c r="C733" t="s">
        <v>47</v>
      </c>
      <c r="D733">
        <v>3000952</v>
      </c>
      <c r="E733" s="12">
        <v>3001567</v>
      </c>
      <c r="F733" s="12" t="s">
        <v>665</v>
      </c>
      <c r="G733" s="5" t="s">
        <v>665</v>
      </c>
      <c r="H733" s="5" t="s">
        <v>54</v>
      </c>
      <c r="I733" s="5">
        <v>6960252</v>
      </c>
      <c r="J733" s="11">
        <v>46130</v>
      </c>
      <c r="K733" s="11">
        <v>46130</v>
      </c>
      <c r="L733" s="11">
        <v>46130</v>
      </c>
      <c r="M733" s="5">
        <v>2</v>
      </c>
      <c r="N733" s="5">
        <v>-564707</v>
      </c>
      <c r="O733" s="5">
        <v>-564707</v>
      </c>
      <c r="P733" s="5">
        <v>0</v>
      </c>
      <c r="Q733" s="6">
        <v>-564707</v>
      </c>
      <c r="R733" s="6">
        <v>0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  <c r="X733" s="7">
        <v>0</v>
      </c>
      <c r="Y733" s="7" t="s">
        <v>47</v>
      </c>
      <c r="Z733" s="7"/>
      <c r="AA733" s="7" t="s">
        <v>501</v>
      </c>
      <c r="AB733" s="7" t="s">
        <v>51</v>
      </c>
      <c r="AC733" s="7" t="s">
        <v>51</v>
      </c>
      <c r="AD733" s="7" t="s">
        <v>51</v>
      </c>
      <c r="AE733" s="5" t="s">
        <v>51</v>
      </c>
      <c r="AF733" s="6" t="s">
        <v>730</v>
      </c>
      <c r="AG733" s="5"/>
      <c r="AH733" s="5"/>
      <c r="AI733" s="5"/>
      <c r="AJ733" s="5"/>
      <c r="AK733" s="5"/>
      <c r="AL733" s="5"/>
      <c r="AU733" s="2"/>
    </row>
    <row r="734" spans="1:47" ht="15.65" customHeight="1" x14ac:dyDescent="0.35">
      <c r="A734" t="s">
        <v>73</v>
      </c>
      <c r="B734" t="s">
        <v>74</v>
      </c>
      <c r="C734" t="s">
        <v>47</v>
      </c>
      <c r="D734">
        <v>3000952</v>
      </c>
      <c r="E734" s="12">
        <v>3001567</v>
      </c>
      <c r="F734" s="12" t="s">
        <v>665</v>
      </c>
      <c r="G734" s="5" t="s">
        <v>665</v>
      </c>
      <c r="H734" s="5" t="s">
        <v>54</v>
      </c>
      <c r="I734" s="5">
        <v>6960253</v>
      </c>
      <c r="J734" s="11">
        <v>46130</v>
      </c>
      <c r="K734" s="11">
        <v>46130</v>
      </c>
      <c r="L734" s="11">
        <v>46130</v>
      </c>
      <c r="M734" s="5">
        <v>2</v>
      </c>
      <c r="N734" s="5">
        <v>-132954</v>
      </c>
      <c r="O734" s="5">
        <v>-132954</v>
      </c>
      <c r="P734" s="5">
        <v>0</v>
      </c>
      <c r="Q734" s="6">
        <v>-132954</v>
      </c>
      <c r="R734" s="6">
        <v>0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 t="s">
        <v>47</v>
      </c>
      <c r="Z734" s="7"/>
      <c r="AA734" s="7" t="s">
        <v>501</v>
      </c>
      <c r="AB734" s="7" t="s">
        <v>51</v>
      </c>
      <c r="AC734" s="7" t="s">
        <v>51</v>
      </c>
      <c r="AD734" s="7" t="s">
        <v>51</v>
      </c>
      <c r="AE734" s="5" t="s">
        <v>51</v>
      </c>
      <c r="AF734" s="6" t="s">
        <v>731</v>
      </c>
      <c r="AG734" s="5"/>
      <c r="AH734" s="5"/>
      <c r="AI734" s="5"/>
      <c r="AJ734" s="5"/>
      <c r="AK734" s="5"/>
      <c r="AL734" s="5"/>
      <c r="AU734" s="2"/>
    </row>
    <row r="735" spans="1:47" ht="15.65" customHeight="1" x14ac:dyDescent="0.35">
      <c r="A735" t="s">
        <v>73</v>
      </c>
      <c r="B735" t="s">
        <v>74</v>
      </c>
      <c r="C735" t="s">
        <v>47</v>
      </c>
      <c r="D735">
        <v>3000952</v>
      </c>
      <c r="E735" s="12">
        <v>3000950</v>
      </c>
      <c r="F735" s="12" t="s">
        <v>665</v>
      </c>
      <c r="G735" s="5" t="s">
        <v>665</v>
      </c>
      <c r="H735" s="5" t="s">
        <v>54</v>
      </c>
      <c r="I735" s="5">
        <v>6960283</v>
      </c>
      <c r="J735" s="11">
        <v>46130</v>
      </c>
      <c r="K735" s="11">
        <v>46130</v>
      </c>
      <c r="L735" s="11">
        <v>46130</v>
      </c>
      <c r="M735" s="5">
        <v>2</v>
      </c>
      <c r="N735" s="5">
        <v>-70870</v>
      </c>
      <c r="O735" s="5">
        <v>-70870</v>
      </c>
      <c r="P735" s="5">
        <v>0</v>
      </c>
      <c r="Q735" s="6">
        <v>-70870</v>
      </c>
      <c r="R735" s="6">
        <v>0</v>
      </c>
      <c r="S735" s="7">
        <v>0</v>
      </c>
      <c r="T735" s="7">
        <v>0</v>
      </c>
      <c r="U735" s="7">
        <v>0</v>
      </c>
      <c r="V735" s="7">
        <v>0</v>
      </c>
      <c r="W735" s="7">
        <v>0</v>
      </c>
      <c r="X735" s="7">
        <v>0</v>
      </c>
      <c r="Y735" s="7" t="s">
        <v>47</v>
      </c>
      <c r="Z735" s="7"/>
      <c r="AA735" s="7" t="s">
        <v>501</v>
      </c>
      <c r="AB735" s="7" t="s">
        <v>51</v>
      </c>
      <c r="AC735" s="7" t="s">
        <v>51</v>
      </c>
      <c r="AD735" s="7" t="s">
        <v>51</v>
      </c>
      <c r="AE735" s="5" t="s">
        <v>51</v>
      </c>
      <c r="AF735" s="6" t="s">
        <v>732</v>
      </c>
      <c r="AG735" s="5"/>
      <c r="AH735" s="5"/>
      <c r="AI735" s="5"/>
      <c r="AJ735" s="5"/>
      <c r="AK735" s="5"/>
      <c r="AL735" s="5"/>
      <c r="AU735" s="2"/>
    </row>
    <row r="736" spans="1:47" ht="15.65" customHeight="1" x14ac:dyDescent="0.35">
      <c r="A736" t="s">
        <v>73</v>
      </c>
      <c r="B736" t="s">
        <v>74</v>
      </c>
      <c r="C736" t="s">
        <v>47</v>
      </c>
      <c r="D736">
        <v>3000952</v>
      </c>
      <c r="E736">
        <v>3000950</v>
      </c>
      <c r="F736" t="s">
        <v>665</v>
      </c>
      <c r="G736" s="5" t="s">
        <v>665</v>
      </c>
      <c r="H736" s="5" t="s">
        <v>54</v>
      </c>
      <c r="I736" s="5">
        <v>6960284</v>
      </c>
      <c r="J736" s="11">
        <v>46130</v>
      </c>
      <c r="K736" s="11">
        <v>46130</v>
      </c>
      <c r="L736" s="11">
        <v>46130</v>
      </c>
      <c r="M736" s="5">
        <v>2</v>
      </c>
      <c r="N736" s="5">
        <v>-53008</v>
      </c>
      <c r="O736" s="5">
        <v>-53008</v>
      </c>
      <c r="P736" s="5">
        <v>0</v>
      </c>
      <c r="Q736" s="6">
        <v>-53008</v>
      </c>
      <c r="R736" s="6">
        <v>0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>
        <v>0</v>
      </c>
      <c r="Y736" s="7" t="s">
        <v>47</v>
      </c>
      <c r="Z736" s="7"/>
      <c r="AA736" s="7" t="s">
        <v>501</v>
      </c>
      <c r="AB736" s="7" t="s">
        <v>51</v>
      </c>
      <c r="AC736" s="7" t="s">
        <v>51</v>
      </c>
      <c r="AD736" s="7" t="s">
        <v>51</v>
      </c>
      <c r="AE736" s="5" t="s">
        <v>51</v>
      </c>
      <c r="AF736" s="6" t="s">
        <v>733</v>
      </c>
      <c r="AG736" s="5"/>
      <c r="AH736" s="5"/>
      <c r="AI736" s="5"/>
      <c r="AJ736" s="5"/>
      <c r="AK736" s="5"/>
      <c r="AL736" s="5"/>
      <c r="AU736" s="2"/>
    </row>
    <row r="737" spans="1:47" ht="15.65" customHeight="1" x14ac:dyDescent="0.35">
      <c r="A737" t="s">
        <v>73</v>
      </c>
      <c r="B737" t="s">
        <v>74</v>
      </c>
      <c r="C737" t="s">
        <v>47</v>
      </c>
      <c r="D737">
        <v>3000952</v>
      </c>
      <c r="E737" s="12">
        <v>3001567</v>
      </c>
      <c r="F737" s="12" t="s">
        <v>665</v>
      </c>
      <c r="G737" s="5" t="s">
        <v>665</v>
      </c>
      <c r="H737" s="5" t="s">
        <v>54</v>
      </c>
      <c r="I737" s="5">
        <v>6960308</v>
      </c>
      <c r="J737" s="11">
        <v>46132</v>
      </c>
      <c r="K737" s="11">
        <v>46132</v>
      </c>
      <c r="L737" s="11">
        <v>46132</v>
      </c>
      <c r="M737" s="5">
        <v>0</v>
      </c>
      <c r="N737" s="5">
        <v>-77011</v>
      </c>
      <c r="O737" s="5">
        <v>-77011</v>
      </c>
      <c r="P737" s="5">
        <v>-77011</v>
      </c>
      <c r="Q737" s="6">
        <v>0</v>
      </c>
      <c r="R737" s="6">
        <v>0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  <c r="Y737" s="7" t="s">
        <v>47</v>
      </c>
      <c r="Z737" s="7"/>
      <c r="AA737" s="7" t="s">
        <v>501</v>
      </c>
      <c r="AB737" s="7" t="s">
        <v>734</v>
      </c>
      <c r="AC737" s="7" t="s">
        <v>51</v>
      </c>
      <c r="AD737" s="7" t="s">
        <v>51</v>
      </c>
      <c r="AE737" s="5" t="s">
        <v>51</v>
      </c>
      <c r="AF737" s="6" t="s">
        <v>735</v>
      </c>
      <c r="AG737" s="5"/>
      <c r="AH737" s="5"/>
      <c r="AI737" s="5"/>
      <c r="AJ737" s="5"/>
      <c r="AK737" s="5"/>
      <c r="AL737" s="5"/>
      <c r="AU737" s="2"/>
    </row>
    <row r="738" spans="1:47" ht="15.65" customHeight="1" x14ac:dyDescent="0.35">
      <c r="A738" t="s">
        <v>73</v>
      </c>
      <c r="B738" t="s">
        <v>74</v>
      </c>
      <c r="C738" t="s">
        <v>47</v>
      </c>
      <c r="D738">
        <v>3000952</v>
      </c>
      <c r="E738" s="12">
        <v>3000950</v>
      </c>
      <c r="F738" s="12" t="s">
        <v>665</v>
      </c>
      <c r="G738" s="5" t="s">
        <v>665</v>
      </c>
      <c r="H738" s="5" t="s">
        <v>140</v>
      </c>
      <c r="I738" s="5">
        <v>9911054</v>
      </c>
      <c r="J738" s="11">
        <v>46084</v>
      </c>
      <c r="K738" s="11">
        <v>46084</v>
      </c>
      <c r="L738" s="11">
        <v>46114</v>
      </c>
      <c r="M738" s="5">
        <v>18</v>
      </c>
      <c r="N738" s="5">
        <v>270226</v>
      </c>
      <c r="O738" s="5">
        <v>0</v>
      </c>
      <c r="P738" s="5">
        <v>0</v>
      </c>
      <c r="Q738" s="6">
        <v>270226</v>
      </c>
      <c r="R738" s="6">
        <v>0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 t="s">
        <v>47</v>
      </c>
      <c r="Z738" s="7"/>
      <c r="AA738" s="7" t="s">
        <v>501</v>
      </c>
      <c r="AB738" s="7" t="s">
        <v>51</v>
      </c>
      <c r="AC738" s="7" t="s">
        <v>51</v>
      </c>
      <c r="AD738" s="7" t="s">
        <v>51</v>
      </c>
      <c r="AE738" s="5" t="s">
        <v>51</v>
      </c>
      <c r="AF738" s="6" t="s">
        <v>736</v>
      </c>
      <c r="AG738" s="5"/>
      <c r="AH738" s="5"/>
      <c r="AI738" s="5"/>
      <c r="AJ738" s="5"/>
      <c r="AK738" s="5"/>
      <c r="AL738" s="5"/>
      <c r="AU738" s="2"/>
    </row>
    <row r="739" spans="1:47" ht="15.65" customHeight="1" x14ac:dyDescent="0.35">
      <c r="A739" t="s">
        <v>73</v>
      </c>
      <c r="B739" t="s">
        <v>74</v>
      </c>
      <c r="C739" t="s">
        <v>47</v>
      </c>
      <c r="D739">
        <v>3000952</v>
      </c>
      <c r="E739" s="12">
        <v>3000952</v>
      </c>
      <c r="F739" s="12" t="s">
        <v>665</v>
      </c>
      <c r="G739" s="5" t="s">
        <v>665</v>
      </c>
      <c r="H739" s="5" t="s">
        <v>140</v>
      </c>
      <c r="I739" s="5">
        <v>9911055</v>
      </c>
      <c r="J739" s="11">
        <v>46084</v>
      </c>
      <c r="K739" s="11">
        <v>46084</v>
      </c>
      <c r="L739" s="11">
        <v>46114</v>
      </c>
      <c r="M739" s="5">
        <v>18</v>
      </c>
      <c r="N739" s="5">
        <v>6897153</v>
      </c>
      <c r="O739" s="5">
        <v>0</v>
      </c>
      <c r="P739" s="5">
        <v>0</v>
      </c>
      <c r="Q739" s="6">
        <v>6897153</v>
      </c>
      <c r="R739" s="6">
        <v>0</v>
      </c>
      <c r="S739" s="7">
        <v>0</v>
      </c>
      <c r="T739" s="7">
        <v>0</v>
      </c>
      <c r="U739" s="7">
        <v>0</v>
      </c>
      <c r="V739" s="7">
        <v>0</v>
      </c>
      <c r="W739" s="7">
        <v>0</v>
      </c>
      <c r="X739" s="7">
        <v>0</v>
      </c>
      <c r="Y739" s="7" t="s">
        <v>47</v>
      </c>
      <c r="Z739" s="7"/>
      <c r="AA739" s="7" t="s">
        <v>501</v>
      </c>
      <c r="AB739" s="7" t="s">
        <v>51</v>
      </c>
      <c r="AC739" s="7" t="s">
        <v>51</v>
      </c>
      <c r="AD739" s="7" t="s">
        <v>51</v>
      </c>
      <c r="AE739" s="5" t="s">
        <v>51</v>
      </c>
      <c r="AF739" s="6" t="s">
        <v>56</v>
      </c>
      <c r="AG739" s="5"/>
      <c r="AH739" s="5"/>
      <c r="AI739" s="5"/>
      <c r="AJ739" s="5"/>
      <c r="AK739" s="5"/>
      <c r="AL739" s="5"/>
      <c r="AU739" s="2"/>
    </row>
    <row r="740" spans="1:47" ht="15.65" customHeight="1" x14ac:dyDescent="0.35">
      <c r="A740" t="s">
        <v>73</v>
      </c>
      <c r="B740" t="s">
        <v>74</v>
      </c>
      <c r="C740" t="s">
        <v>47</v>
      </c>
      <c r="D740">
        <v>3000952</v>
      </c>
      <c r="E740">
        <v>3001567</v>
      </c>
      <c r="F740" t="s">
        <v>665</v>
      </c>
      <c r="G740" s="5" t="s">
        <v>665</v>
      </c>
      <c r="H740" s="5" t="s">
        <v>54</v>
      </c>
      <c r="I740" s="5">
        <v>9912136</v>
      </c>
      <c r="J740" s="11">
        <v>46088</v>
      </c>
      <c r="K740" s="11">
        <v>46088</v>
      </c>
      <c r="L740" s="11">
        <v>46119</v>
      </c>
      <c r="M740" s="5">
        <v>13</v>
      </c>
      <c r="N740" s="5">
        <v>1959119</v>
      </c>
      <c r="O740" s="5">
        <v>0</v>
      </c>
      <c r="P740" s="5">
        <v>0</v>
      </c>
      <c r="Q740" s="6">
        <v>1959119</v>
      </c>
      <c r="R740" s="6">
        <v>0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  <c r="X740" s="7">
        <v>0</v>
      </c>
      <c r="Y740" s="7" t="s">
        <v>47</v>
      </c>
      <c r="Z740" s="7"/>
      <c r="AA740" s="7" t="s">
        <v>501</v>
      </c>
      <c r="AB740" s="7" t="s">
        <v>51</v>
      </c>
      <c r="AC740" s="7" t="s">
        <v>51</v>
      </c>
      <c r="AD740" s="7" t="s">
        <v>51</v>
      </c>
      <c r="AE740" s="5" t="s">
        <v>51</v>
      </c>
      <c r="AF740" s="6" t="s">
        <v>420</v>
      </c>
      <c r="AG740" s="5"/>
      <c r="AH740" s="5"/>
      <c r="AI740" s="5"/>
      <c r="AJ740" s="5"/>
      <c r="AK740" s="5"/>
      <c r="AL740" s="5"/>
      <c r="AU740" s="2"/>
    </row>
    <row r="741" spans="1:47" ht="15.65" customHeight="1" x14ac:dyDescent="0.35">
      <c r="A741" t="s">
        <v>73</v>
      </c>
      <c r="B741" t="s">
        <v>74</v>
      </c>
      <c r="C741" t="s">
        <v>47</v>
      </c>
      <c r="D741">
        <v>3000952</v>
      </c>
      <c r="E741" s="12">
        <v>3000952</v>
      </c>
      <c r="F741" s="12" t="s">
        <v>665</v>
      </c>
      <c r="G741" s="5" t="s">
        <v>665</v>
      </c>
      <c r="H741" s="5" t="s">
        <v>140</v>
      </c>
      <c r="I741" s="5">
        <v>9915818</v>
      </c>
      <c r="J741" s="11">
        <v>46096</v>
      </c>
      <c r="K741" s="11">
        <v>46096</v>
      </c>
      <c r="L741" s="11">
        <v>46126</v>
      </c>
      <c r="M741" s="5">
        <v>6</v>
      </c>
      <c r="N741" s="5">
        <v>34336174</v>
      </c>
      <c r="O741" s="5">
        <v>0</v>
      </c>
      <c r="P741" s="5">
        <v>0</v>
      </c>
      <c r="Q741" s="6">
        <v>34336174</v>
      </c>
      <c r="R741" s="6">
        <v>0</v>
      </c>
      <c r="S741" s="7">
        <v>0</v>
      </c>
      <c r="T741" s="7">
        <v>0</v>
      </c>
      <c r="U741" s="7">
        <v>0</v>
      </c>
      <c r="V741" s="7">
        <v>0</v>
      </c>
      <c r="W741" s="7">
        <v>0</v>
      </c>
      <c r="X741" s="7">
        <v>0</v>
      </c>
      <c r="Y741" s="7" t="s">
        <v>47</v>
      </c>
      <c r="Z741" s="7"/>
      <c r="AA741" s="7" t="s">
        <v>501</v>
      </c>
      <c r="AB741" s="7" t="s">
        <v>51</v>
      </c>
      <c r="AC741" s="7" t="s">
        <v>51</v>
      </c>
      <c r="AD741" s="7" t="s">
        <v>51</v>
      </c>
      <c r="AE741" s="5" t="s">
        <v>51</v>
      </c>
      <c r="AF741" s="6" t="s">
        <v>737</v>
      </c>
      <c r="AG741" s="5"/>
      <c r="AH741" s="5"/>
      <c r="AI741" s="5"/>
      <c r="AJ741" s="5"/>
      <c r="AK741" s="5"/>
      <c r="AL741" s="5"/>
      <c r="AU741" s="2"/>
    </row>
    <row r="742" spans="1:47" ht="15.65" customHeight="1" x14ac:dyDescent="0.35">
      <c r="A742" t="s">
        <v>73</v>
      </c>
      <c r="B742" t="s">
        <v>74</v>
      </c>
      <c r="C742" t="s">
        <v>47</v>
      </c>
      <c r="D742">
        <v>3000952</v>
      </c>
      <c r="E742" s="12">
        <v>3000952</v>
      </c>
      <c r="F742" s="12" t="s">
        <v>665</v>
      </c>
      <c r="G742" s="5" t="s">
        <v>665</v>
      </c>
      <c r="H742" s="5" t="s">
        <v>140</v>
      </c>
      <c r="I742" s="5">
        <v>9915819</v>
      </c>
      <c r="J742" s="11">
        <v>46096</v>
      </c>
      <c r="K742" s="11">
        <v>46096</v>
      </c>
      <c r="L742" s="11">
        <v>46156</v>
      </c>
      <c r="M742" s="5">
        <v>-24</v>
      </c>
      <c r="N742" s="5">
        <v>34336174</v>
      </c>
      <c r="O742" s="5">
        <v>0</v>
      </c>
      <c r="P742" s="5">
        <v>34336174</v>
      </c>
      <c r="Q742" s="6">
        <v>0</v>
      </c>
      <c r="R742" s="6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 t="s">
        <v>47</v>
      </c>
      <c r="Z742" s="7"/>
      <c r="AA742" s="7" t="s">
        <v>738</v>
      </c>
      <c r="AB742" s="7" t="s">
        <v>51</v>
      </c>
      <c r="AC742" s="7" t="s">
        <v>51</v>
      </c>
      <c r="AD742" s="7" t="s">
        <v>51</v>
      </c>
      <c r="AE742" s="5" t="s">
        <v>739</v>
      </c>
      <c r="AF742" s="6" t="s">
        <v>737</v>
      </c>
      <c r="AG742" s="5"/>
      <c r="AH742" s="5"/>
      <c r="AI742" s="5"/>
      <c r="AJ742" s="5"/>
      <c r="AK742" s="5"/>
      <c r="AL742" s="5"/>
      <c r="AU742" s="2"/>
    </row>
    <row r="743" spans="1:47" ht="15.65" customHeight="1" x14ac:dyDescent="0.35">
      <c r="A743" t="s">
        <v>73</v>
      </c>
      <c r="B743" t="s">
        <v>74</v>
      </c>
      <c r="C743" t="s">
        <v>47</v>
      </c>
      <c r="D743">
        <v>3000952</v>
      </c>
      <c r="E743" s="12">
        <v>3000952</v>
      </c>
      <c r="F743" s="12" t="s">
        <v>665</v>
      </c>
      <c r="G743" s="5" t="s">
        <v>665</v>
      </c>
      <c r="H743" s="5" t="s">
        <v>140</v>
      </c>
      <c r="I743" s="5">
        <v>9916433</v>
      </c>
      <c r="J743" s="11">
        <v>46098</v>
      </c>
      <c r="K743" s="11">
        <v>46098</v>
      </c>
      <c r="L743" s="11">
        <v>46128</v>
      </c>
      <c r="M743" s="5">
        <v>4</v>
      </c>
      <c r="N743" s="5">
        <v>4400275</v>
      </c>
      <c r="O743" s="5">
        <v>0</v>
      </c>
      <c r="P743" s="5">
        <v>0</v>
      </c>
      <c r="Q743" s="6">
        <v>4400275</v>
      </c>
      <c r="R743" s="6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 t="s">
        <v>47</v>
      </c>
      <c r="Z743" s="7"/>
      <c r="AA743" s="7" t="s">
        <v>501</v>
      </c>
      <c r="AB743" s="7" t="s">
        <v>51</v>
      </c>
      <c r="AC743" s="7" t="s">
        <v>51</v>
      </c>
      <c r="AD743" s="7" t="s">
        <v>51</v>
      </c>
      <c r="AE743" s="5" t="s">
        <v>51</v>
      </c>
      <c r="AF743" s="6" t="s">
        <v>183</v>
      </c>
      <c r="AG743" s="5"/>
      <c r="AH743" s="5"/>
      <c r="AI743" s="5"/>
      <c r="AJ743" s="5"/>
      <c r="AK743" s="5"/>
      <c r="AL743" s="5"/>
      <c r="AU743" s="2"/>
    </row>
    <row r="744" spans="1:47" ht="15.65" customHeight="1" x14ac:dyDescent="0.35">
      <c r="A744" t="s">
        <v>73</v>
      </c>
      <c r="B744" t="s">
        <v>74</v>
      </c>
      <c r="C744" t="s">
        <v>47</v>
      </c>
      <c r="D744">
        <v>3000952</v>
      </c>
      <c r="E744" s="12">
        <v>3001567</v>
      </c>
      <c r="F744" s="12" t="s">
        <v>665</v>
      </c>
      <c r="G744" s="5" t="s">
        <v>665</v>
      </c>
      <c r="H744" s="5" t="s">
        <v>140</v>
      </c>
      <c r="I744" s="5">
        <v>9916462</v>
      </c>
      <c r="J744" s="11">
        <v>46098</v>
      </c>
      <c r="K744" s="11">
        <v>46098</v>
      </c>
      <c r="L744" s="11">
        <v>46128</v>
      </c>
      <c r="M744" s="5">
        <v>4</v>
      </c>
      <c r="N744" s="5">
        <v>806873</v>
      </c>
      <c r="O744" s="5">
        <v>0</v>
      </c>
      <c r="P744" s="5">
        <v>0</v>
      </c>
      <c r="Q744" s="6">
        <v>806873</v>
      </c>
      <c r="R744" s="6">
        <v>0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0</v>
      </c>
      <c r="Y744" s="7" t="s">
        <v>47</v>
      </c>
      <c r="Z744" s="7"/>
      <c r="AA744" s="7" t="s">
        <v>501</v>
      </c>
      <c r="AB744" s="7" t="s">
        <v>51</v>
      </c>
      <c r="AC744" s="7" t="s">
        <v>51</v>
      </c>
      <c r="AD744" s="7" t="s">
        <v>51</v>
      </c>
      <c r="AE744" s="5" t="s">
        <v>51</v>
      </c>
      <c r="AF744" s="6" t="s">
        <v>144</v>
      </c>
      <c r="AG744" s="5"/>
      <c r="AH744" s="5"/>
      <c r="AI744" s="5"/>
      <c r="AJ744" s="5"/>
      <c r="AK744" s="5"/>
      <c r="AL744" s="5"/>
      <c r="AU744" s="2"/>
    </row>
    <row r="745" spans="1:47" ht="15.65" customHeight="1" x14ac:dyDescent="0.35">
      <c r="A745" t="s">
        <v>73</v>
      </c>
      <c r="B745" t="s">
        <v>74</v>
      </c>
      <c r="C745" t="s">
        <v>47</v>
      </c>
      <c r="D745">
        <v>3000952</v>
      </c>
      <c r="E745" s="12">
        <v>3000950</v>
      </c>
      <c r="F745" s="12" t="s">
        <v>665</v>
      </c>
      <c r="G745" s="5" t="s">
        <v>665</v>
      </c>
      <c r="H745" s="5" t="s">
        <v>140</v>
      </c>
      <c r="I745" s="5">
        <v>9916489</v>
      </c>
      <c r="J745" s="11">
        <v>46098</v>
      </c>
      <c r="K745" s="11">
        <v>46098</v>
      </c>
      <c r="L745" s="11">
        <v>46128</v>
      </c>
      <c r="M745" s="5">
        <v>4</v>
      </c>
      <c r="N745" s="5">
        <v>2938830</v>
      </c>
      <c r="O745" s="5">
        <v>0</v>
      </c>
      <c r="P745" s="5">
        <v>0</v>
      </c>
      <c r="Q745" s="6">
        <v>2938830</v>
      </c>
      <c r="R745" s="6">
        <v>0</v>
      </c>
      <c r="S745" s="7">
        <v>0</v>
      </c>
      <c r="T745" s="7">
        <v>0</v>
      </c>
      <c r="U745" s="7">
        <v>0</v>
      </c>
      <c r="V745" s="7">
        <v>0</v>
      </c>
      <c r="W745" s="7">
        <v>0</v>
      </c>
      <c r="X745" s="7">
        <v>0</v>
      </c>
      <c r="Y745" s="7" t="s">
        <v>47</v>
      </c>
      <c r="Z745" s="7"/>
      <c r="AA745" s="7" t="s">
        <v>501</v>
      </c>
      <c r="AB745" s="7" t="s">
        <v>51</v>
      </c>
      <c r="AC745" s="7" t="s">
        <v>51</v>
      </c>
      <c r="AD745" s="7" t="s">
        <v>51</v>
      </c>
      <c r="AE745" s="5" t="s">
        <v>51</v>
      </c>
      <c r="AF745" s="6" t="s">
        <v>493</v>
      </c>
      <c r="AG745" s="5"/>
      <c r="AH745" s="5"/>
      <c r="AI745" s="5"/>
      <c r="AJ745" s="5"/>
      <c r="AK745" s="5"/>
      <c r="AL745" s="5"/>
      <c r="AU745" s="2"/>
    </row>
    <row r="746" spans="1:47" ht="15.65" customHeight="1" x14ac:dyDescent="0.35">
      <c r="A746" t="s">
        <v>73</v>
      </c>
      <c r="B746" t="s">
        <v>74</v>
      </c>
      <c r="C746" t="s">
        <v>47</v>
      </c>
      <c r="D746">
        <v>3000952</v>
      </c>
      <c r="E746" s="12">
        <v>3000952</v>
      </c>
      <c r="F746" s="12" t="s">
        <v>665</v>
      </c>
      <c r="G746" s="5" t="s">
        <v>665</v>
      </c>
      <c r="H746" s="5" t="s">
        <v>54</v>
      </c>
      <c r="I746" s="5">
        <v>9918629</v>
      </c>
      <c r="J746" s="11">
        <v>46108</v>
      </c>
      <c r="K746" s="11">
        <v>46108</v>
      </c>
      <c r="L746" s="11">
        <v>46139</v>
      </c>
      <c r="M746" s="5">
        <v>-7</v>
      </c>
      <c r="N746" s="5">
        <v>235432345</v>
      </c>
      <c r="O746" s="5">
        <v>0</v>
      </c>
      <c r="P746" s="5">
        <v>235432345</v>
      </c>
      <c r="Q746" s="6">
        <v>0</v>
      </c>
      <c r="R746" s="6">
        <v>0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0</v>
      </c>
      <c r="Y746" s="7" t="s">
        <v>47</v>
      </c>
      <c r="Z746" s="7"/>
      <c r="AA746" s="7" t="s">
        <v>501</v>
      </c>
      <c r="AB746" s="7" t="s">
        <v>51</v>
      </c>
      <c r="AC746" s="7" t="s">
        <v>740</v>
      </c>
      <c r="AD746" s="7" t="s">
        <v>51</v>
      </c>
      <c r="AE746" s="5" t="s">
        <v>51</v>
      </c>
      <c r="AF746" s="6" t="s">
        <v>277</v>
      </c>
      <c r="AG746" s="5"/>
      <c r="AH746" s="5"/>
      <c r="AI746" s="5"/>
      <c r="AJ746" s="5"/>
      <c r="AK746" s="5"/>
      <c r="AL746" s="5"/>
      <c r="AU746" s="2"/>
    </row>
    <row r="747" spans="1:47" ht="15.65" customHeight="1" x14ac:dyDescent="0.35">
      <c r="A747" t="s">
        <v>73</v>
      </c>
      <c r="B747" t="s">
        <v>74</v>
      </c>
      <c r="C747" t="s">
        <v>47</v>
      </c>
      <c r="D747">
        <v>3000952</v>
      </c>
      <c r="E747" s="12">
        <v>3000952</v>
      </c>
      <c r="F747" s="12" t="s">
        <v>665</v>
      </c>
      <c r="G747" s="5" t="s">
        <v>665</v>
      </c>
      <c r="H747" s="5" t="s">
        <v>54</v>
      </c>
      <c r="I747" s="5">
        <v>9922628</v>
      </c>
      <c r="J747" s="11">
        <v>46119</v>
      </c>
      <c r="K747" s="11">
        <v>46119</v>
      </c>
      <c r="L747" s="11">
        <v>46150</v>
      </c>
      <c r="M747" s="5">
        <v>-18</v>
      </c>
      <c r="N747" s="5">
        <v>869050</v>
      </c>
      <c r="O747" s="5">
        <v>0</v>
      </c>
      <c r="P747" s="5">
        <v>869050</v>
      </c>
      <c r="Q747" s="6">
        <v>0</v>
      </c>
      <c r="R747" s="6">
        <v>0</v>
      </c>
      <c r="S747" s="7">
        <v>0</v>
      </c>
      <c r="T747" s="7">
        <v>0</v>
      </c>
      <c r="U747" s="7">
        <v>0</v>
      </c>
      <c r="V747" s="7">
        <v>0</v>
      </c>
      <c r="W747" s="7">
        <v>0</v>
      </c>
      <c r="X747" s="7">
        <v>0</v>
      </c>
      <c r="Y747" s="7" t="s">
        <v>47</v>
      </c>
      <c r="Z747" s="7"/>
      <c r="AA747" s="7" t="s">
        <v>501</v>
      </c>
      <c r="AB747" s="7" t="s">
        <v>51</v>
      </c>
      <c r="AC747" s="7" t="s">
        <v>51</v>
      </c>
      <c r="AD747" s="7" t="s">
        <v>51</v>
      </c>
      <c r="AE747" s="5" t="s">
        <v>741</v>
      </c>
      <c r="AF747" s="6" t="s">
        <v>742</v>
      </c>
      <c r="AG747" s="5"/>
      <c r="AH747" s="5"/>
      <c r="AI747" s="5"/>
      <c r="AJ747" s="5"/>
      <c r="AK747" s="5"/>
      <c r="AL747" s="5"/>
      <c r="AU747" s="2"/>
    </row>
    <row r="748" spans="1:47" ht="15.65" customHeight="1" x14ac:dyDescent="0.35">
      <c r="A748" t="s">
        <v>73</v>
      </c>
      <c r="B748" t="s">
        <v>74</v>
      </c>
      <c r="C748" t="s">
        <v>47</v>
      </c>
      <c r="D748">
        <v>3000952</v>
      </c>
      <c r="E748" s="12">
        <v>3000952</v>
      </c>
      <c r="F748" s="12" t="s">
        <v>665</v>
      </c>
      <c r="G748" s="5" t="s">
        <v>665</v>
      </c>
      <c r="H748" s="5" t="s">
        <v>54</v>
      </c>
      <c r="I748" s="5">
        <v>9923054</v>
      </c>
      <c r="J748" s="11">
        <v>46120</v>
      </c>
      <c r="K748" s="11">
        <v>46120</v>
      </c>
      <c r="L748" s="11">
        <v>46151</v>
      </c>
      <c r="M748" s="5">
        <v>-19</v>
      </c>
      <c r="N748" s="5">
        <v>454334173</v>
      </c>
      <c r="O748" s="5">
        <v>0</v>
      </c>
      <c r="P748" s="5">
        <v>454334173</v>
      </c>
      <c r="Q748" s="6">
        <v>0</v>
      </c>
      <c r="R748" s="6">
        <v>0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  <c r="X748" s="7">
        <v>0</v>
      </c>
      <c r="Y748" s="7" t="s">
        <v>47</v>
      </c>
      <c r="Z748" s="7"/>
      <c r="AA748" s="7" t="s">
        <v>501</v>
      </c>
      <c r="AB748" s="7" t="s">
        <v>51</v>
      </c>
      <c r="AC748" s="7" t="s">
        <v>51</v>
      </c>
      <c r="AD748" s="7" t="s">
        <v>51</v>
      </c>
      <c r="AE748" s="5" t="s">
        <v>743</v>
      </c>
      <c r="AF748" s="6" t="s">
        <v>744</v>
      </c>
      <c r="AG748" s="5"/>
      <c r="AH748" s="5"/>
      <c r="AI748" s="5"/>
      <c r="AJ748" s="5"/>
      <c r="AK748" s="5"/>
      <c r="AL748" s="5"/>
      <c r="AU748" s="2"/>
    </row>
    <row r="749" spans="1:47" ht="15.65" customHeight="1" x14ac:dyDescent="0.35">
      <c r="A749" t="s">
        <v>73</v>
      </c>
      <c r="B749" t="s">
        <v>74</v>
      </c>
      <c r="C749" t="s">
        <v>47</v>
      </c>
      <c r="D749">
        <v>3000952</v>
      </c>
      <c r="E749" s="12">
        <v>3000952</v>
      </c>
      <c r="F749" s="12" t="s">
        <v>665</v>
      </c>
      <c r="G749" s="5" t="s">
        <v>665</v>
      </c>
      <c r="H749" s="5" t="s">
        <v>54</v>
      </c>
      <c r="I749" s="5">
        <v>9923060</v>
      </c>
      <c r="J749" s="11">
        <v>46120</v>
      </c>
      <c r="K749" s="11">
        <v>46120</v>
      </c>
      <c r="L749" s="11">
        <v>46151</v>
      </c>
      <c r="M749" s="5">
        <v>-19</v>
      </c>
      <c r="N749" s="5">
        <v>4447921</v>
      </c>
      <c r="O749" s="5">
        <v>0</v>
      </c>
      <c r="P749" s="5">
        <v>4447921</v>
      </c>
      <c r="Q749" s="6">
        <v>0</v>
      </c>
      <c r="R749" s="6">
        <v>0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  <c r="X749" s="7">
        <v>0</v>
      </c>
      <c r="Y749" s="7" t="s">
        <v>47</v>
      </c>
      <c r="Z749" s="7"/>
      <c r="AA749" s="7" t="s">
        <v>501</v>
      </c>
      <c r="AB749" s="7" t="s">
        <v>51</v>
      </c>
      <c r="AC749" s="7" t="s">
        <v>51</v>
      </c>
      <c r="AD749" s="7" t="s">
        <v>51</v>
      </c>
      <c r="AE749" s="5" t="s">
        <v>745</v>
      </c>
      <c r="AF749" s="6" t="s">
        <v>158</v>
      </c>
      <c r="AG749" s="5"/>
      <c r="AH749" s="5"/>
      <c r="AI749" s="5"/>
      <c r="AJ749" s="5"/>
      <c r="AK749" s="5"/>
      <c r="AL749" s="5"/>
      <c r="AU749" s="2"/>
    </row>
    <row r="750" spans="1:47" ht="15.65" customHeight="1" x14ac:dyDescent="0.35">
      <c r="A750" t="s">
        <v>73</v>
      </c>
      <c r="B750" t="s">
        <v>74</v>
      </c>
      <c r="C750" t="s">
        <v>47</v>
      </c>
      <c r="D750">
        <v>3000952</v>
      </c>
      <c r="E750" s="12">
        <v>3001567</v>
      </c>
      <c r="F750" s="12" t="s">
        <v>665</v>
      </c>
      <c r="G750" s="5" t="s">
        <v>665</v>
      </c>
      <c r="H750" s="5" t="s">
        <v>54</v>
      </c>
      <c r="I750" s="5">
        <v>9924086</v>
      </c>
      <c r="J750" s="11">
        <v>46122</v>
      </c>
      <c r="K750" s="11">
        <v>46122</v>
      </c>
      <c r="L750" s="11">
        <v>46153</v>
      </c>
      <c r="M750" s="5">
        <v>-21</v>
      </c>
      <c r="N750" s="5">
        <v>275425466</v>
      </c>
      <c r="O750" s="5">
        <v>0</v>
      </c>
      <c r="P750" s="5">
        <v>275425466</v>
      </c>
      <c r="Q750" s="6">
        <v>0</v>
      </c>
      <c r="R750" s="6">
        <v>0</v>
      </c>
      <c r="S750" s="7">
        <v>0</v>
      </c>
      <c r="T750" s="7">
        <v>0</v>
      </c>
      <c r="U750" s="7">
        <v>0</v>
      </c>
      <c r="V750" s="7">
        <v>0</v>
      </c>
      <c r="W750" s="7">
        <v>0</v>
      </c>
      <c r="X750" s="7">
        <v>0</v>
      </c>
      <c r="Y750" s="7" t="s">
        <v>47</v>
      </c>
      <c r="Z750" s="7"/>
      <c r="AA750" s="7" t="s">
        <v>501</v>
      </c>
      <c r="AB750" s="7" t="s">
        <v>51</v>
      </c>
      <c r="AC750" s="7" t="s">
        <v>51</v>
      </c>
      <c r="AD750" s="7" t="s">
        <v>51</v>
      </c>
      <c r="AE750" s="5" t="s">
        <v>746</v>
      </c>
      <c r="AF750" s="6" t="s">
        <v>744</v>
      </c>
      <c r="AG750" s="5"/>
      <c r="AH750" s="5"/>
      <c r="AI750" s="5"/>
      <c r="AJ750" s="5"/>
      <c r="AK750" s="5"/>
      <c r="AL750" s="5"/>
      <c r="AU750" s="2"/>
    </row>
    <row r="751" spans="1:47" ht="15.65" customHeight="1" x14ac:dyDescent="0.35">
      <c r="A751" t="s">
        <v>73</v>
      </c>
      <c r="B751" t="s">
        <v>74</v>
      </c>
      <c r="C751" t="s">
        <v>47</v>
      </c>
      <c r="D751">
        <v>3000952</v>
      </c>
      <c r="E751" s="12">
        <v>3001567</v>
      </c>
      <c r="F751" s="12" t="s">
        <v>665</v>
      </c>
      <c r="G751" s="5" t="s">
        <v>665</v>
      </c>
      <c r="H751" s="5" t="s">
        <v>54</v>
      </c>
      <c r="I751" s="5">
        <v>9924108</v>
      </c>
      <c r="J751" s="11">
        <v>46122</v>
      </c>
      <c r="K751" s="11">
        <v>46122</v>
      </c>
      <c r="L751" s="11">
        <v>46153</v>
      </c>
      <c r="M751" s="5">
        <v>-21</v>
      </c>
      <c r="N751" s="5">
        <v>1441100</v>
      </c>
      <c r="O751" s="5">
        <v>0</v>
      </c>
      <c r="P751" s="5">
        <v>1441100</v>
      </c>
      <c r="Q751" s="6">
        <v>0</v>
      </c>
      <c r="R751" s="6">
        <v>0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  <c r="X751" s="7">
        <v>0</v>
      </c>
      <c r="Y751" s="7" t="s">
        <v>47</v>
      </c>
      <c r="Z751" s="7"/>
      <c r="AA751" s="7" t="s">
        <v>501</v>
      </c>
      <c r="AB751" s="7" t="s">
        <v>51</v>
      </c>
      <c r="AC751" s="7" t="s">
        <v>51</v>
      </c>
      <c r="AD751" s="7" t="s">
        <v>51</v>
      </c>
      <c r="AE751" s="5" t="s">
        <v>747</v>
      </c>
      <c r="AF751" s="6" t="s">
        <v>163</v>
      </c>
      <c r="AG751" s="5"/>
      <c r="AH751" s="5"/>
      <c r="AI751" s="5"/>
      <c r="AJ751" s="5"/>
      <c r="AK751" s="5"/>
      <c r="AL751" s="5"/>
      <c r="AU751" s="2"/>
    </row>
    <row r="752" spans="1:47" ht="15.65" customHeight="1" x14ac:dyDescent="0.35">
      <c r="A752" t="s">
        <v>73</v>
      </c>
      <c r="B752" t="s">
        <v>74</v>
      </c>
      <c r="C752" t="s">
        <v>47</v>
      </c>
      <c r="D752">
        <v>3000952</v>
      </c>
      <c r="E752" s="12">
        <v>3000952</v>
      </c>
      <c r="F752" s="12" t="s">
        <v>665</v>
      </c>
      <c r="G752" s="5" t="s">
        <v>665</v>
      </c>
      <c r="H752" s="5" t="s">
        <v>54</v>
      </c>
      <c r="I752" s="5">
        <v>9924111</v>
      </c>
      <c r="J752" s="11">
        <v>46122</v>
      </c>
      <c r="K752" s="11">
        <v>46122</v>
      </c>
      <c r="L752" s="11">
        <v>46153</v>
      </c>
      <c r="M752" s="5">
        <v>-21</v>
      </c>
      <c r="N752" s="5">
        <v>443399637</v>
      </c>
      <c r="O752" s="5">
        <v>0</v>
      </c>
      <c r="P752" s="5">
        <v>443399637</v>
      </c>
      <c r="Q752" s="6">
        <v>0</v>
      </c>
      <c r="R752" s="6">
        <v>0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  <c r="X752" s="7">
        <v>0</v>
      </c>
      <c r="Y752" s="7" t="s">
        <v>47</v>
      </c>
      <c r="Z752" s="7"/>
      <c r="AA752" s="7" t="s">
        <v>501</v>
      </c>
      <c r="AB752" s="7" t="s">
        <v>51</v>
      </c>
      <c r="AC752" s="7" t="s">
        <v>51</v>
      </c>
      <c r="AD752" s="7" t="s">
        <v>51</v>
      </c>
      <c r="AE752" s="5" t="s">
        <v>748</v>
      </c>
      <c r="AF752" s="6" t="s">
        <v>521</v>
      </c>
      <c r="AG752" s="5"/>
      <c r="AH752" s="5"/>
      <c r="AI752" s="5"/>
      <c r="AJ752" s="5"/>
      <c r="AK752" s="5"/>
      <c r="AL752" s="5"/>
      <c r="AU752" s="2"/>
    </row>
    <row r="753" spans="1:47" ht="15.65" customHeight="1" x14ac:dyDescent="0.35">
      <c r="A753" t="s">
        <v>73</v>
      </c>
      <c r="B753" t="s">
        <v>74</v>
      </c>
      <c r="C753" t="s">
        <v>47</v>
      </c>
      <c r="D753">
        <v>3000952</v>
      </c>
      <c r="E753" s="12">
        <v>3000950</v>
      </c>
      <c r="F753" s="12" t="s">
        <v>665</v>
      </c>
      <c r="G753" s="5" t="s">
        <v>665</v>
      </c>
      <c r="H753" s="5" t="s">
        <v>54</v>
      </c>
      <c r="I753" s="5">
        <v>9924117</v>
      </c>
      <c r="J753" s="11">
        <v>46122</v>
      </c>
      <c r="K753" s="11">
        <v>46122</v>
      </c>
      <c r="L753" s="11">
        <v>46153</v>
      </c>
      <c r="M753" s="5">
        <v>-21</v>
      </c>
      <c r="N753" s="5">
        <v>310890290</v>
      </c>
      <c r="O753" s="5">
        <v>0</v>
      </c>
      <c r="P753" s="5">
        <v>310890290</v>
      </c>
      <c r="Q753" s="6">
        <v>0</v>
      </c>
      <c r="R753" s="6">
        <v>0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  <c r="X753" s="7">
        <v>0</v>
      </c>
      <c r="Y753" s="7" t="s">
        <v>47</v>
      </c>
      <c r="Z753" s="7"/>
      <c r="AA753" s="7" t="s">
        <v>501</v>
      </c>
      <c r="AB753" s="7" t="s">
        <v>51</v>
      </c>
      <c r="AC753" s="7" t="s">
        <v>51</v>
      </c>
      <c r="AD753" s="7" t="s">
        <v>51</v>
      </c>
      <c r="AE753" s="5" t="s">
        <v>749</v>
      </c>
      <c r="AF753" s="6" t="s">
        <v>436</v>
      </c>
      <c r="AG753" s="5"/>
      <c r="AH753" s="5"/>
      <c r="AI753" s="5"/>
      <c r="AJ753" s="5"/>
      <c r="AK753" s="5"/>
      <c r="AL753" s="5"/>
      <c r="AU753" s="2"/>
    </row>
    <row r="754" spans="1:47" ht="15.65" customHeight="1" x14ac:dyDescent="0.35">
      <c r="A754" t="s">
        <v>73</v>
      </c>
      <c r="B754" t="s">
        <v>74</v>
      </c>
      <c r="C754" t="s">
        <v>47</v>
      </c>
      <c r="D754">
        <v>3000952</v>
      </c>
      <c r="E754" s="12">
        <v>3000952</v>
      </c>
      <c r="F754" s="12" t="s">
        <v>665</v>
      </c>
      <c r="G754" s="5" t="s">
        <v>665</v>
      </c>
      <c r="H754" s="5" t="s">
        <v>54</v>
      </c>
      <c r="I754" s="5">
        <v>9924180</v>
      </c>
      <c r="J754" s="11">
        <v>46123</v>
      </c>
      <c r="K754" s="11">
        <v>46123</v>
      </c>
      <c r="L754" s="11">
        <v>46154</v>
      </c>
      <c r="M754" s="5">
        <v>-22</v>
      </c>
      <c r="N754" s="5">
        <v>397516632</v>
      </c>
      <c r="O754" s="5">
        <v>0</v>
      </c>
      <c r="P754" s="5">
        <v>397516632</v>
      </c>
      <c r="Q754" s="6">
        <v>0</v>
      </c>
      <c r="R754" s="6">
        <v>0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0</v>
      </c>
      <c r="Y754" s="7" t="s">
        <v>47</v>
      </c>
      <c r="Z754" s="7"/>
      <c r="AA754" s="7" t="s">
        <v>501</v>
      </c>
      <c r="AB754" s="7" t="s">
        <v>51</v>
      </c>
      <c r="AC754" s="7" t="s">
        <v>51</v>
      </c>
      <c r="AD754" s="7" t="s">
        <v>51</v>
      </c>
      <c r="AE754" s="5" t="s">
        <v>750</v>
      </c>
      <c r="AF754" s="6" t="s">
        <v>62</v>
      </c>
      <c r="AG754" s="5"/>
      <c r="AH754" s="5"/>
      <c r="AI754" s="5"/>
      <c r="AJ754" s="5"/>
      <c r="AK754" s="5"/>
      <c r="AL754" s="5"/>
      <c r="AU754" s="2"/>
    </row>
    <row r="755" spans="1:47" ht="15.65" customHeight="1" x14ac:dyDescent="0.35">
      <c r="A755" t="s">
        <v>73</v>
      </c>
      <c r="B755" t="s">
        <v>74</v>
      </c>
      <c r="C755" t="s">
        <v>47</v>
      </c>
      <c r="D755">
        <v>3000952</v>
      </c>
      <c r="E755" s="12">
        <v>3000952</v>
      </c>
      <c r="F755" s="12" t="s">
        <v>665</v>
      </c>
      <c r="G755" s="5" t="s">
        <v>665</v>
      </c>
      <c r="H755" s="5" t="s">
        <v>54</v>
      </c>
      <c r="I755" s="5">
        <v>9925000</v>
      </c>
      <c r="J755" s="11">
        <v>46126</v>
      </c>
      <c r="K755" s="11">
        <v>46126</v>
      </c>
      <c r="L755" s="11">
        <v>46157</v>
      </c>
      <c r="M755" s="5">
        <v>-25</v>
      </c>
      <c r="N755" s="5">
        <v>300848464</v>
      </c>
      <c r="O755" s="5">
        <v>0</v>
      </c>
      <c r="P755" s="5">
        <v>300848464</v>
      </c>
      <c r="Q755" s="6">
        <v>0</v>
      </c>
      <c r="R755" s="6">
        <v>0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 t="s">
        <v>47</v>
      </c>
      <c r="Z755" s="7"/>
      <c r="AA755" s="7" t="s">
        <v>501</v>
      </c>
      <c r="AB755" s="7" t="s">
        <v>51</v>
      </c>
      <c r="AC755" s="7" t="s">
        <v>51</v>
      </c>
      <c r="AD755" s="7" t="s">
        <v>51</v>
      </c>
      <c r="AE755" s="5" t="s">
        <v>751</v>
      </c>
      <c r="AF755" s="6" t="s">
        <v>752</v>
      </c>
      <c r="AG755" s="5"/>
      <c r="AH755" s="5"/>
      <c r="AI755" s="5"/>
      <c r="AJ755" s="5"/>
      <c r="AK755" s="5"/>
      <c r="AL755" s="5"/>
      <c r="AU755" s="2"/>
    </row>
    <row r="756" spans="1:47" ht="15.65" customHeight="1" x14ac:dyDescent="0.35">
      <c r="A756" t="s">
        <v>73</v>
      </c>
      <c r="B756" t="s">
        <v>74</v>
      </c>
      <c r="C756" t="s">
        <v>47</v>
      </c>
      <c r="D756">
        <v>3000952</v>
      </c>
      <c r="E756" s="12">
        <v>3000952</v>
      </c>
      <c r="F756" s="12" t="s">
        <v>665</v>
      </c>
      <c r="G756" s="5" t="s">
        <v>665</v>
      </c>
      <c r="H756" s="5" t="s">
        <v>54</v>
      </c>
      <c r="I756" s="5">
        <v>9925622</v>
      </c>
      <c r="J756" s="11">
        <v>46127</v>
      </c>
      <c r="K756" s="11">
        <v>46127</v>
      </c>
      <c r="L756" s="11">
        <v>46158</v>
      </c>
      <c r="M756" s="5">
        <v>-26</v>
      </c>
      <c r="N756" s="5">
        <v>352210264</v>
      </c>
      <c r="O756" s="5">
        <v>0</v>
      </c>
      <c r="P756" s="5">
        <v>352210264</v>
      </c>
      <c r="Q756" s="6">
        <v>0</v>
      </c>
      <c r="R756" s="6">
        <v>0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  <c r="Y756" s="7" t="s">
        <v>47</v>
      </c>
      <c r="Z756" s="7"/>
      <c r="AA756" s="7" t="s">
        <v>501</v>
      </c>
      <c r="AB756" s="7" t="s">
        <v>51</v>
      </c>
      <c r="AC756" s="7" t="s">
        <v>51</v>
      </c>
      <c r="AD756" s="7" t="s">
        <v>51</v>
      </c>
      <c r="AE756" s="5" t="s">
        <v>753</v>
      </c>
      <c r="AF756" s="6" t="s">
        <v>206</v>
      </c>
      <c r="AG756" s="5"/>
      <c r="AH756" s="5"/>
      <c r="AI756" s="5"/>
      <c r="AJ756" s="5"/>
      <c r="AK756" s="5"/>
      <c r="AL756" s="5"/>
      <c r="AU756" s="2"/>
    </row>
    <row r="757" spans="1:47" ht="15.65" customHeight="1" x14ac:dyDescent="0.35">
      <c r="A757" t="s">
        <v>73</v>
      </c>
      <c r="B757" t="s">
        <v>74</v>
      </c>
      <c r="C757" t="s">
        <v>47</v>
      </c>
      <c r="D757">
        <v>3000952</v>
      </c>
      <c r="E757" s="12">
        <v>3000952</v>
      </c>
      <c r="F757" s="12" t="s">
        <v>665</v>
      </c>
      <c r="G757" s="5" t="s">
        <v>665</v>
      </c>
      <c r="H757" s="5" t="s">
        <v>54</v>
      </c>
      <c r="I757" s="5">
        <v>9926123</v>
      </c>
      <c r="J757" s="11">
        <v>46127</v>
      </c>
      <c r="K757" s="11">
        <v>46127</v>
      </c>
      <c r="L757" s="11">
        <v>46158</v>
      </c>
      <c r="M757" s="5">
        <v>-26</v>
      </c>
      <c r="N757" s="5">
        <v>365195099</v>
      </c>
      <c r="O757" s="5">
        <v>0</v>
      </c>
      <c r="P757" s="5">
        <v>365195099</v>
      </c>
      <c r="Q757" s="6">
        <v>0</v>
      </c>
      <c r="R757" s="6">
        <v>0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  <c r="X757" s="7">
        <v>0</v>
      </c>
      <c r="Y757" s="7" t="s">
        <v>47</v>
      </c>
      <c r="Z757" s="7"/>
      <c r="AA757" s="7" t="s">
        <v>501</v>
      </c>
      <c r="AB757" s="7" t="s">
        <v>51</v>
      </c>
      <c r="AC757" s="7" t="s">
        <v>51</v>
      </c>
      <c r="AD757" s="7" t="s">
        <v>51</v>
      </c>
      <c r="AE757" s="5" t="s">
        <v>754</v>
      </c>
      <c r="AF757" s="6" t="s">
        <v>62</v>
      </c>
      <c r="AG757" s="5"/>
      <c r="AH757" s="5"/>
      <c r="AI757" s="5"/>
      <c r="AJ757" s="5"/>
      <c r="AK757" s="5"/>
      <c r="AL757" s="5"/>
      <c r="AU757" s="2"/>
    </row>
    <row r="758" spans="1:47" ht="15.65" customHeight="1" x14ac:dyDescent="0.35">
      <c r="A758" t="s">
        <v>73</v>
      </c>
      <c r="B758" t="s">
        <v>74</v>
      </c>
      <c r="C758" t="s">
        <v>47</v>
      </c>
      <c r="D758">
        <v>3000952</v>
      </c>
      <c r="E758" s="12">
        <v>3001567</v>
      </c>
      <c r="F758" s="12" t="s">
        <v>665</v>
      </c>
      <c r="G758" s="5" t="s">
        <v>665</v>
      </c>
      <c r="H758" s="5" t="s">
        <v>54</v>
      </c>
      <c r="I758" s="5">
        <v>9926543</v>
      </c>
      <c r="J758" s="11">
        <v>46128</v>
      </c>
      <c r="K758" s="11">
        <v>46128</v>
      </c>
      <c r="L758" s="11">
        <v>46159</v>
      </c>
      <c r="M758" s="5">
        <v>-27</v>
      </c>
      <c r="N758" s="5">
        <v>367062002</v>
      </c>
      <c r="O758" s="5">
        <v>0</v>
      </c>
      <c r="P758" s="5">
        <v>367062002</v>
      </c>
      <c r="Q758" s="6">
        <v>0</v>
      </c>
      <c r="R758" s="6">
        <v>0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0</v>
      </c>
      <c r="Y758" s="7" t="s">
        <v>47</v>
      </c>
      <c r="Z758" s="7"/>
      <c r="AA758" s="7" t="s">
        <v>501</v>
      </c>
      <c r="AB758" s="7" t="s">
        <v>51</v>
      </c>
      <c r="AC758" s="7" t="s">
        <v>51</v>
      </c>
      <c r="AD758" s="7" t="s">
        <v>51</v>
      </c>
      <c r="AE758" s="5" t="s">
        <v>755</v>
      </c>
      <c r="AF758" s="6" t="s">
        <v>62</v>
      </c>
      <c r="AG758" s="5"/>
      <c r="AH758" s="5"/>
      <c r="AI758" s="5"/>
      <c r="AJ758" s="5"/>
      <c r="AK758" s="5"/>
      <c r="AL758" s="5"/>
      <c r="AU758" s="2"/>
    </row>
    <row r="759" spans="1:47" ht="15.65" customHeight="1" x14ac:dyDescent="0.35">
      <c r="A759" t="s">
        <v>73</v>
      </c>
      <c r="B759" t="s">
        <v>74</v>
      </c>
      <c r="C759" t="s">
        <v>47</v>
      </c>
      <c r="D759">
        <v>3000952</v>
      </c>
      <c r="E759" s="12">
        <v>3000950</v>
      </c>
      <c r="F759" s="12" t="s">
        <v>665</v>
      </c>
      <c r="G759" s="5" t="s">
        <v>665</v>
      </c>
      <c r="H759" s="5" t="s">
        <v>54</v>
      </c>
      <c r="I759" s="5">
        <v>9927474</v>
      </c>
      <c r="J759" s="11">
        <v>46130</v>
      </c>
      <c r="K759" s="11">
        <v>46130</v>
      </c>
      <c r="L759" s="11">
        <v>46161</v>
      </c>
      <c r="M759" s="5">
        <v>-29</v>
      </c>
      <c r="N759" s="5">
        <v>265443588</v>
      </c>
      <c r="O759" s="5">
        <v>0</v>
      </c>
      <c r="P759" s="5">
        <v>265443588</v>
      </c>
      <c r="Q759" s="6">
        <v>0</v>
      </c>
      <c r="R759" s="6">
        <v>0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  <c r="Y759" s="7" t="s">
        <v>47</v>
      </c>
      <c r="Z759" s="7"/>
      <c r="AA759" s="7" t="s">
        <v>501</v>
      </c>
      <c r="AB759" s="7" t="s">
        <v>51</v>
      </c>
      <c r="AC759" s="7" t="s">
        <v>51</v>
      </c>
      <c r="AD759" s="7" t="s">
        <v>51</v>
      </c>
      <c r="AE759" s="5" t="s">
        <v>756</v>
      </c>
      <c r="AF759" s="6" t="s">
        <v>62</v>
      </c>
      <c r="AG759" s="5"/>
      <c r="AH759" s="5"/>
      <c r="AI759" s="5"/>
      <c r="AJ759" s="5"/>
      <c r="AK759" s="5"/>
      <c r="AL759" s="5"/>
      <c r="AU759" s="2"/>
    </row>
    <row r="760" spans="1:47" ht="15.65" customHeight="1" x14ac:dyDescent="0.35">
      <c r="A760" t="s">
        <v>73</v>
      </c>
      <c r="B760" t="s">
        <v>74</v>
      </c>
      <c r="C760" t="s">
        <v>47</v>
      </c>
      <c r="D760">
        <v>3000952</v>
      </c>
      <c r="E760" s="12">
        <v>3000952</v>
      </c>
      <c r="F760" s="12" t="s">
        <v>665</v>
      </c>
      <c r="G760" s="5" t="s">
        <v>665</v>
      </c>
      <c r="H760" s="5" t="s">
        <v>54</v>
      </c>
      <c r="I760" s="5">
        <v>9927479</v>
      </c>
      <c r="J760" s="11">
        <v>46130</v>
      </c>
      <c r="K760" s="11">
        <v>46130</v>
      </c>
      <c r="L760" s="11">
        <v>46161</v>
      </c>
      <c r="M760" s="5">
        <v>-29</v>
      </c>
      <c r="N760" s="5">
        <v>269563640</v>
      </c>
      <c r="O760" s="5">
        <v>0</v>
      </c>
      <c r="P760" s="5">
        <v>269563640</v>
      </c>
      <c r="Q760" s="6">
        <v>0</v>
      </c>
      <c r="R760" s="6">
        <v>0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7" t="s">
        <v>47</v>
      </c>
      <c r="Z760" s="7"/>
      <c r="AA760" s="7" t="s">
        <v>501</v>
      </c>
      <c r="AB760" s="7" t="s">
        <v>51</v>
      </c>
      <c r="AC760" s="7" t="s">
        <v>51</v>
      </c>
      <c r="AD760" s="7" t="s">
        <v>51</v>
      </c>
      <c r="AE760" s="5" t="s">
        <v>757</v>
      </c>
      <c r="AF760" s="6" t="s">
        <v>758</v>
      </c>
      <c r="AG760" s="5"/>
      <c r="AH760" s="5"/>
      <c r="AI760" s="5"/>
      <c r="AJ760" s="5"/>
      <c r="AK760" s="5"/>
      <c r="AL760" s="5"/>
      <c r="AU760" s="2"/>
    </row>
    <row r="761" spans="1:47" ht="15.65" customHeight="1" x14ac:dyDescent="0.35">
      <c r="A761" t="s">
        <v>73</v>
      </c>
      <c r="B761" t="s">
        <v>74</v>
      </c>
      <c r="C761" t="s">
        <v>47</v>
      </c>
      <c r="D761">
        <v>3000952</v>
      </c>
      <c r="E761" s="12">
        <v>3000952</v>
      </c>
      <c r="F761" s="12" t="s">
        <v>665</v>
      </c>
      <c r="G761" s="5" t="s">
        <v>665</v>
      </c>
      <c r="H761" s="5" t="s">
        <v>54</v>
      </c>
      <c r="I761" s="5">
        <v>9927481</v>
      </c>
      <c r="J761" s="11">
        <v>46130</v>
      </c>
      <c r="K761" s="11">
        <v>46130</v>
      </c>
      <c r="L761" s="11">
        <v>46161</v>
      </c>
      <c r="M761" s="5">
        <v>-29</v>
      </c>
      <c r="N761" s="5">
        <v>392835984</v>
      </c>
      <c r="O761" s="5">
        <v>0</v>
      </c>
      <c r="P761" s="5">
        <v>392835984</v>
      </c>
      <c r="Q761" s="6">
        <v>0</v>
      </c>
      <c r="R761" s="6">
        <v>0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 t="s">
        <v>47</v>
      </c>
      <c r="Z761" s="7"/>
      <c r="AA761" s="7" t="s">
        <v>501</v>
      </c>
      <c r="AB761" s="7" t="s">
        <v>51</v>
      </c>
      <c r="AC761" s="7" t="s">
        <v>51</v>
      </c>
      <c r="AD761" s="7" t="s">
        <v>51</v>
      </c>
      <c r="AE761" s="5" t="s">
        <v>759</v>
      </c>
      <c r="AF761" s="6" t="s">
        <v>336</v>
      </c>
      <c r="AG761" s="5"/>
      <c r="AH761" s="5"/>
      <c r="AI761" s="5"/>
      <c r="AJ761" s="5"/>
      <c r="AK761" s="5"/>
      <c r="AL761" s="5"/>
      <c r="AU761" s="2"/>
    </row>
    <row r="762" spans="1:47" ht="15.65" customHeight="1" x14ac:dyDescent="0.35">
      <c r="A762" t="s">
        <v>73</v>
      </c>
      <c r="B762" t="s">
        <v>74</v>
      </c>
      <c r="C762" t="s">
        <v>47</v>
      </c>
      <c r="D762">
        <v>3000952</v>
      </c>
      <c r="E762" s="12">
        <v>3000952</v>
      </c>
      <c r="F762" s="12" t="s">
        <v>665</v>
      </c>
      <c r="G762" s="5" t="s">
        <v>665</v>
      </c>
      <c r="H762" s="5" t="s">
        <v>49</v>
      </c>
      <c r="I762" s="5">
        <v>9102073760</v>
      </c>
      <c r="J762" s="11">
        <v>46112</v>
      </c>
      <c r="K762" s="11">
        <v>46112</v>
      </c>
      <c r="L762" s="11">
        <v>46112</v>
      </c>
      <c r="M762" s="5">
        <v>20</v>
      </c>
      <c r="N762" s="5">
        <v>-7197396</v>
      </c>
      <c r="O762" s="5">
        <v>-7197396</v>
      </c>
      <c r="P762" s="5">
        <v>0</v>
      </c>
      <c r="Q762" s="6">
        <v>-7197396</v>
      </c>
      <c r="R762" s="6">
        <v>0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 t="s">
        <v>47</v>
      </c>
      <c r="Z762" s="7"/>
      <c r="AA762" s="7" t="s">
        <v>50</v>
      </c>
      <c r="AB762" s="7" t="s">
        <v>51</v>
      </c>
      <c r="AC762" s="7" t="s">
        <v>51</v>
      </c>
      <c r="AD762" s="7" t="s">
        <v>51</v>
      </c>
      <c r="AE762" s="5" t="s">
        <v>51</v>
      </c>
      <c r="AF762" s="6" t="s">
        <v>760</v>
      </c>
      <c r="AG762" s="5"/>
      <c r="AH762" s="5"/>
      <c r="AI762" s="5"/>
      <c r="AJ762" s="5"/>
      <c r="AK762" s="5"/>
      <c r="AL762" s="5"/>
      <c r="AU762" s="2"/>
    </row>
    <row r="763" spans="1:47" ht="15.65" customHeight="1" x14ac:dyDescent="0.35">
      <c r="A763" t="s">
        <v>73</v>
      </c>
      <c r="B763" t="s">
        <v>74</v>
      </c>
      <c r="C763" t="s">
        <v>47</v>
      </c>
      <c r="D763">
        <v>3000952</v>
      </c>
      <c r="E763" s="12">
        <v>3000952</v>
      </c>
      <c r="F763" s="12" t="s">
        <v>665</v>
      </c>
      <c r="G763" s="5" t="s">
        <v>665</v>
      </c>
      <c r="H763" s="5" t="s">
        <v>761</v>
      </c>
      <c r="I763" s="5">
        <v>9103018792</v>
      </c>
      <c r="J763" s="11">
        <v>46091</v>
      </c>
      <c r="K763" s="11">
        <v>46091</v>
      </c>
      <c r="L763" s="11">
        <v>46091</v>
      </c>
      <c r="M763" s="5">
        <v>41</v>
      </c>
      <c r="N763" s="5">
        <v>4000000</v>
      </c>
      <c r="O763" s="5">
        <v>0</v>
      </c>
      <c r="P763" s="5">
        <v>0</v>
      </c>
      <c r="Q763" s="6">
        <v>0</v>
      </c>
      <c r="R763" s="6">
        <v>4000000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  <c r="X763" s="7">
        <v>0</v>
      </c>
      <c r="Y763" s="7" t="s">
        <v>47</v>
      </c>
      <c r="Z763" s="7"/>
      <c r="AA763" s="7" t="s">
        <v>50</v>
      </c>
      <c r="AB763" s="7" t="s">
        <v>51</v>
      </c>
      <c r="AC763" s="7" t="s">
        <v>51</v>
      </c>
      <c r="AD763" s="7" t="s">
        <v>51</v>
      </c>
      <c r="AE763" s="5" t="s">
        <v>51</v>
      </c>
      <c r="AF763" s="6" t="s">
        <v>762</v>
      </c>
      <c r="AG763" s="5"/>
      <c r="AH763" s="5"/>
      <c r="AI763" s="5"/>
      <c r="AJ763" s="5"/>
      <c r="AK763" s="5"/>
      <c r="AL763" s="5"/>
      <c r="AU763" s="2"/>
    </row>
    <row r="764" spans="1:47" ht="15.65" customHeight="1" x14ac:dyDescent="0.35">
      <c r="A764" t="s">
        <v>763</v>
      </c>
      <c r="B764" t="s">
        <v>764</v>
      </c>
      <c r="C764" t="s">
        <v>47</v>
      </c>
      <c r="D764">
        <v>3000954</v>
      </c>
      <c r="E764" s="12">
        <v>3000960</v>
      </c>
      <c r="F764" s="12" t="s">
        <v>765</v>
      </c>
      <c r="G764" s="5" t="s">
        <v>766</v>
      </c>
      <c r="H764" s="5" t="s">
        <v>54</v>
      </c>
      <c r="I764" s="5">
        <v>6958513</v>
      </c>
      <c r="J764" s="11">
        <v>46121</v>
      </c>
      <c r="K764" s="11">
        <v>46121</v>
      </c>
      <c r="L764" s="11">
        <v>46121</v>
      </c>
      <c r="M764" s="5">
        <v>11</v>
      </c>
      <c r="N764" s="5">
        <v>-34826631</v>
      </c>
      <c r="O764" s="5">
        <v>-34826631</v>
      </c>
      <c r="P764" s="5">
        <v>0</v>
      </c>
      <c r="Q764" s="6">
        <v>-34826631</v>
      </c>
      <c r="R764" s="6">
        <v>0</v>
      </c>
      <c r="S764" s="7">
        <v>0</v>
      </c>
      <c r="T764" s="7">
        <v>0</v>
      </c>
      <c r="U764" s="7">
        <v>0</v>
      </c>
      <c r="V764" s="7">
        <v>0</v>
      </c>
      <c r="W764" s="7">
        <v>0</v>
      </c>
      <c r="X764" s="7">
        <v>0</v>
      </c>
      <c r="Y764" s="7" t="s">
        <v>47</v>
      </c>
      <c r="Z764" s="7"/>
      <c r="AA764" s="7" t="s">
        <v>76</v>
      </c>
      <c r="AB764" s="7" t="s">
        <v>51</v>
      </c>
      <c r="AC764" s="7" t="s">
        <v>51</v>
      </c>
      <c r="AD764" s="7" t="s">
        <v>51</v>
      </c>
      <c r="AE764" s="5" t="s">
        <v>51</v>
      </c>
      <c r="AF764" s="6" t="s">
        <v>56</v>
      </c>
      <c r="AG764" s="5"/>
      <c r="AH764" s="5"/>
      <c r="AI764" s="5"/>
      <c r="AJ764" s="5"/>
      <c r="AK764" s="5"/>
      <c r="AL764" s="5"/>
      <c r="AU764" s="2"/>
    </row>
    <row r="765" spans="1:47" ht="15.65" customHeight="1" x14ac:dyDescent="0.35">
      <c r="A765" t="s">
        <v>763</v>
      </c>
      <c r="B765" t="s">
        <v>764</v>
      </c>
      <c r="C765" t="s">
        <v>47</v>
      </c>
      <c r="D765">
        <v>3000954</v>
      </c>
      <c r="E765" s="12">
        <v>3000960</v>
      </c>
      <c r="F765" s="12" t="s">
        <v>765</v>
      </c>
      <c r="G765" s="5" t="s">
        <v>766</v>
      </c>
      <c r="H765" s="5" t="s">
        <v>54</v>
      </c>
      <c r="I765" s="5">
        <v>6959362</v>
      </c>
      <c r="J765" s="11">
        <v>46127</v>
      </c>
      <c r="K765" s="11">
        <v>46127</v>
      </c>
      <c r="L765" s="11">
        <v>46127</v>
      </c>
      <c r="M765" s="5">
        <v>5</v>
      </c>
      <c r="N765" s="5">
        <v>-875407</v>
      </c>
      <c r="O765" s="5">
        <v>-875407</v>
      </c>
      <c r="P765" s="5">
        <v>0</v>
      </c>
      <c r="Q765" s="6">
        <v>-875407</v>
      </c>
      <c r="R765" s="6">
        <v>0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  <c r="X765" s="7">
        <v>0</v>
      </c>
      <c r="Y765" s="7" t="s">
        <v>47</v>
      </c>
      <c r="Z765" s="7"/>
      <c r="AA765" s="7" t="s">
        <v>76</v>
      </c>
      <c r="AB765" s="7" t="s">
        <v>51</v>
      </c>
      <c r="AC765" s="7" t="s">
        <v>51</v>
      </c>
      <c r="AD765" s="7" t="s">
        <v>51</v>
      </c>
      <c r="AE765" s="5" t="s">
        <v>51</v>
      </c>
      <c r="AF765" s="6" t="s">
        <v>767</v>
      </c>
      <c r="AG765" s="5"/>
      <c r="AH765" s="5"/>
      <c r="AI765" s="5"/>
      <c r="AJ765" s="5"/>
      <c r="AK765" s="5"/>
      <c r="AL765" s="5"/>
      <c r="AU765" s="2"/>
    </row>
    <row r="766" spans="1:47" ht="15.65" customHeight="1" x14ac:dyDescent="0.35">
      <c r="A766" t="s">
        <v>763</v>
      </c>
      <c r="B766" t="s">
        <v>764</v>
      </c>
      <c r="C766" t="s">
        <v>47</v>
      </c>
      <c r="D766">
        <v>3000954</v>
      </c>
      <c r="E766">
        <v>3000960</v>
      </c>
      <c r="F766" t="s">
        <v>765</v>
      </c>
      <c r="G766" s="5" t="s">
        <v>766</v>
      </c>
      <c r="H766" s="5" t="s">
        <v>54</v>
      </c>
      <c r="I766" s="5">
        <v>9917596</v>
      </c>
      <c r="J766" s="11">
        <v>46107</v>
      </c>
      <c r="K766" s="11">
        <v>46107</v>
      </c>
      <c r="L766" s="11">
        <v>46143</v>
      </c>
      <c r="M766" s="5">
        <v>-11</v>
      </c>
      <c r="N766" s="5">
        <v>133221435</v>
      </c>
      <c r="O766" s="5">
        <v>0</v>
      </c>
      <c r="P766" s="5">
        <v>133221435</v>
      </c>
      <c r="Q766" s="6">
        <v>0</v>
      </c>
      <c r="R766" s="6">
        <v>0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7" t="s">
        <v>47</v>
      </c>
      <c r="Z766" s="7"/>
      <c r="AA766" s="7" t="s">
        <v>76</v>
      </c>
      <c r="AB766" s="7" t="s">
        <v>51</v>
      </c>
      <c r="AC766" s="7" t="s">
        <v>51</v>
      </c>
      <c r="AD766" s="7" t="s">
        <v>768</v>
      </c>
      <c r="AE766" s="5" t="s">
        <v>51</v>
      </c>
      <c r="AF766" s="6" t="s">
        <v>352</v>
      </c>
      <c r="AG766" s="5"/>
      <c r="AH766" s="5"/>
      <c r="AI766" s="5"/>
      <c r="AJ766" s="5"/>
      <c r="AK766" s="5"/>
      <c r="AL766" s="5"/>
      <c r="AU766" s="2"/>
    </row>
    <row r="767" spans="1:47" ht="15.65" customHeight="1" x14ac:dyDescent="0.35">
      <c r="A767" t="s">
        <v>763</v>
      </c>
      <c r="B767" t="s">
        <v>764</v>
      </c>
      <c r="C767" t="s">
        <v>47</v>
      </c>
      <c r="D767">
        <v>3000954</v>
      </c>
      <c r="E767" s="12">
        <v>3000960</v>
      </c>
      <c r="F767" s="12" t="s">
        <v>765</v>
      </c>
      <c r="G767" s="5" t="s">
        <v>766</v>
      </c>
      <c r="H767" s="5" t="s">
        <v>54</v>
      </c>
      <c r="I767" s="5">
        <v>9921282</v>
      </c>
      <c r="J767" s="11">
        <v>46112</v>
      </c>
      <c r="K767" s="11">
        <v>46112</v>
      </c>
      <c r="L767" s="11">
        <v>46148</v>
      </c>
      <c r="M767" s="5">
        <v>-16</v>
      </c>
      <c r="N767" s="5">
        <v>149778362</v>
      </c>
      <c r="O767" s="5">
        <v>0</v>
      </c>
      <c r="P767" s="5">
        <v>149778362</v>
      </c>
      <c r="Q767" s="6">
        <v>0</v>
      </c>
      <c r="R767" s="6">
        <v>0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0</v>
      </c>
      <c r="Y767" s="7" t="s">
        <v>47</v>
      </c>
      <c r="Z767" s="7"/>
      <c r="AA767" s="7" t="s">
        <v>76</v>
      </c>
      <c r="AB767" s="7" t="s">
        <v>51</v>
      </c>
      <c r="AC767" s="7" t="s">
        <v>51</v>
      </c>
      <c r="AD767" s="7" t="s">
        <v>51</v>
      </c>
      <c r="AE767" s="5" t="s">
        <v>769</v>
      </c>
      <c r="AF767" s="6" t="s">
        <v>770</v>
      </c>
      <c r="AG767" s="5"/>
      <c r="AH767" s="5"/>
      <c r="AI767" s="5"/>
      <c r="AJ767" s="5"/>
      <c r="AK767" s="5"/>
      <c r="AL767" s="5"/>
      <c r="AU767" s="2"/>
    </row>
    <row r="768" spans="1:47" ht="15.65" customHeight="1" x14ac:dyDescent="0.35">
      <c r="A768" t="s">
        <v>763</v>
      </c>
      <c r="B768" t="s">
        <v>764</v>
      </c>
      <c r="C768" t="s">
        <v>47</v>
      </c>
      <c r="D768">
        <v>3000954</v>
      </c>
      <c r="E768" s="12">
        <v>3000960</v>
      </c>
      <c r="F768" s="12" t="s">
        <v>765</v>
      </c>
      <c r="G768" s="5" t="s">
        <v>766</v>
      </c>
      <c r="H768" s="5" t="s">
        <v>54</v>
      </c>
      <c r="I768" s="5">
        <v>9922465</v>
      </c>
      <c r="J768" s="11">
        <v>46118</v>
      </c>
      <c r="K768" s="11">
        <v>46118</v>
      </c>
      <c r="L768" s="11">
        <v>46154</v>
      </c>
      <c r="M768" s="5">
        <v>-22</v>
      </c>
      <c r="N768" s="5">
        <v>64367899</v>
      </c>
      <c r="O768" s="5">
        <v>0</v>
      </c>
      <c r="P768" s="5">
        <v>64367899</v>
      </c>
      <c r="Q768" s="6">
        <v>0</v>
      </c>
      <c r="R768" s="6">
        <v>0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  <c r="X768" s="7">
        <v>0</v>
      </c>
      <c r="Y768" s="7" t="s">
        <v>47</v>
      </c>
      <c r="Z768" s="7"/>
      <c r="AA768" s="7" t="s">
        <v>76</v>
      </c>
      <c r="AB768" s="7" t="s">
        <v>51</v>
      </c>
      <c r="AC768" s="7" t="s">
        <v>51</v>
      </c>
      <c r="AD768" s="7" t="s">
        <v>51</v>
      </c>
      <c r="AE768" s="5" t="s">
        <v>771</v>
      </c>
      <c r="AF768" s="6" t="s">
        <v>158</v>
      </c>
      <c r="AG768" s="5"/>
      <c r="AH768" s="5"/>
      <c r="AI768" s="5"/>
      <c r="AJ768" s="5"/>
      <c r="AK768" s="5"/>
      <c r="AL768" s="5"/>
      <c r="AU768" s="2"/>
    </row>
    <row r="769" spans="1:47" ht="15.65" customHeight="1" x14ac:dyDescent="0.35">
      <c r="A769" t="s">
        <v>763</v>
      </c>
      <c r="B769" t="s">
        <v>764</v>
      </c>
      <c r="C769" t="s">
        <v>47</v>
      </c>
      <c r="D769">
        <v>3000954</v>
      </c>
      <c r="E769" s="12">
        <v>3000960</v>
      </c>
      <c r="F769" s="12" t="s">
        <v>765</v>
      </c>
      <c r="G769" s="5" t="s">
        <v>766</v>
      </c>
      <c r="H769" s="5" t="s">
        <v>140</v>
      </c>
      <c r="I769" s="5">
        <v>9923233</v>
      </c>
      <c r="J769" s="11">
        <v>46121</v>
      </c>
      <c r="K769" s="11">
        <v>46121</v>
      </c>
      <c r="L769" s="11">
        <v>46156</v>
      </c>
      <c r="M769" s="5">
        <v>-24</v>
      </c>
      <c r="N769" s="5">
        <v>30672</v>
      </c>
      <c r="O769" s="5">
        <v>0</v>
      </c>
      <c r="P769" s="5">
        <v>30672</v>
      </c>
      <c r="Q769" s="6">
        <v>0</v>
      </c>
      <c r="R769" s="6">
        <v>0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0</v>
      </c>
      <c r="Y769" s="7" t="s">
        <v>47</v>
      </c>
      <c r="Z769" s="7"/>
      <c r="AA769" s="7" t="s">
        <v>76</v>
      </c>
      <c r="AB769" s="7" t="s">
        <v>51</v>
      </c>
      <c r="AC769" s="7" t="s">
        <v>51</v>
      </c>
      <c r="AD769" s="7" t="s">
        <v>51</v>
      </c>
      <c r="AE769" s="5" t="s">
        <v>772</v>
      </c>
      <c r="AF769" s="6" t="s">
        <v>183</v>
      </c>
      <c r="AG769" s="5"/>
      <c r="AH769" s="5"/>
      <c r="AI769" s="5"/>
      <c r="AJ769" s="5"/>
      <c r="AK769" s="5"/>
      <c r="AL769" s="5"/>
      <c r="AU769" s="2"/>
    </row>
    <row r="770" spans="1:47" ht="15.65" customHeight="1" x14ac:dyDescent="0.35">
      <c r="A770" t="s">
        <v>763</v>
      </c>
      <c r="B770" t="s">
        <v>764</v>
      </c>
      <c r="C770" t="s">
        <v>47</v>
      </c>
      <c r="D770">
        <v>3000954</v>
      </c>
      <c r="E770" s="12">
        <v>3000960</v>
      </c>
      <c r="F770" s="12" t="s">
        <v>765</v>
      </c>
      <c r="G770" s="5" t="s">
        <v>766</v>
      </c>
      <c r="H770" s="5" t="s">
        <v>54</v>
      </c>
      <c r="I770" s="5">
        <v>9924878</v>
      </c>
      <c r="J770" s="11">
        <v>46125</v>
      </c>
      <c r="K770" s="11">
        <v>46125</v>
      </c>
      <c r="L770" s="11">
        <v>46161</v>
      </c>
      <c r="M770" s="5">
        <v>-29</v>
      </c>
      <c r="N770" s="5">
        <v>174942426</v>
      </c>
      <c r="O770" s="5">
        <v>0</v>
      </c>
      <c r="P770" s="5">
        <v>174942426</v>
      </c>
      <c r="Q770" s="6">
        <v>0</v>
      </c>
      <c r="R770" s="6">
        <v>0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0</v>
      </c>
      <c r="Y770" s="7" t="s">
        <v>47</v>
      </c>
      <c r="Z770" s="7"/>
      <c r="AA770" s="7" t="s">
        <v>76</v>
      </c>
      <c r="AB770" s="7" t="s">
        <v>51</v>
      </c>
      <c r="AC770" s="7" t="s">
        <v>51</v>
      </c>
      <c r="AD770" s="7" t="s">
        <v>51</v>
      </c>
      <c r="AE770" s="5" t="s">
        <v>773</v>
      </c>
      <c r="AF770" s="6" t="s">
        <v>167</v>
      </c>
      <c r="AG770" s="5"/>
      <c r="AH770" s="5"/>
      <c r="AI770" s="5"/>
      <c r="AJ770" s="5"/>
      <c r="AK770" s="5"/>
      <c r="AL770" s="5"/>
      <c r="AU770" s="2"/>
    </row>
    <row r="771" spans="1:47" ht="15.65" customHeight="1" x14ac:dyDescent="0.35">
      <c r="A771" t="s">
        <v>774</v>
      </c>
      <c r="B771" t="s">
        <v>775</v>
      </c>
      <c r="C771" t="s">
        <v>47</v>
      </c>
      <c r="D771">
        <v>3000975</v>
      </c>
      <c r="E771">
        <v>3000977</v>
      </c>
      <c r="F771" t="s">
        <v>776</v>
      </c>
      <c r="G771" s="5" t="s">
        <v>776</v>
      </c>
      <c r="H771" s="5" t="s">
        <v>54</v>
      </c>
      <c r="I771" s="5">
        <v>6957653</v>
      </c>
      <c r="J771" s="11">
        <v>46111</v>
      </c>
      <c r="K771" s="11">
        <v>46111</v>
      </c>
      <c r="L771" s="11">
        <v>46111</v>
      </c>
      <c r="M771" s="5">
        <v>21</v>
      </c>
      <c r="N771" s="5">
        <v>-2504943</v>
      </c>
      <c r="O771" s="5">
        <v>-2504943</v>
      </c>
      <c r="P771" s="5">
        <v>0</v>
      </c>
      <c r="Q771" s="6">
        <v>-2504943</v>
      </c>
      <c r="R771" s="6">
        <v>0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 s="7">
        <v>0</v>
      </c>
      <c r="Y771" s="7" t="s">
        <v>47</v>
      </c>
      <c r="Z771" s="7"/>
      <c r="AA771" s="7" t="s">
        <v>76</v>
      </c>
      <c r="AB771" s="7" t="s">
        <v>51</v>
      </c>
      <c r="AC771" s="7" t="s">
        <v>51</v>
      </c>
      <c r="AD771" s="7" t="s">
        <v>51</v>
      </c>
      <c r="AE771" s="5" t="s">
        <v>51</v>
      </c>
      <c r="AF771" s="6" t="s">
        <v>777</v>
      </c>
      <c r="AG771" s="5"/>
      <c r="AH771" s="5"/>
      <c r="AI771" s="5"/>
      <c r="AJ771" s="5"/>
      <c r="AK771" s="5"/>
      <c r="AL771" s="5"/>
      <c r="AU771" s="2"/>
    </row>
    <row r="772" spans="1:47" ht="15.65" customHeight="1" x14ac:dyDescent="0.35">
      <c r="A772" t="s">
        <v>774</v>
      </c>
      <c r="B772" t="s">
        <v>775</v>
      </c>
      <c r="C772" t="s">
        <v>47</v>
      </c>
      <c r="D772">
        <v>3000975</v>
      </c>
      <c r="E772" s="12">
        <v>3000978</v>
      </c>
      <c r="F772" s="12" t="s">
        <v>776</v>
      </c>
      <c r="G772" s="5" t="s">
        <v>776</v>
      </c>
      <c r="H772" s="5" t="s">
        <v>54</v>
      </c>
      <c r="I772" s="5">
        <v>6957750</v>
      </c>
      <c r="J772" s="11">
        <v>46112</v>
      </c>
      <c r="K772" s="11">
        <v>46112</v>
      </c>
      <c r="L772" s="11">
        <v>46112</v>
      </c>
      <c r="M772" s="5">
        <v>20</v>
      </c>
      <c r="N772" s="5">
        <v>-2070364</v>
      </c>
      <c r="O772" s="5">
        <v>-2070364</v>
      </c>
      <c r="P772" s="5">
        <v>0</v>
      </c>
      <c r="Q772" s="6">
        <v>-2070364</v>
      </c>
      <c r="R772" s="6">
        <v>0</v>
      </c>
      <c r="S772" s="7">
        <v>0</v>
      </c>
      <c r="T772" s="7">
        <v>0</v>
      </c>
      <c r="U772" s="7">
        <v>0</v>
      </c>
      <c r="V772" s="7">
        <v>0</v>
      </c>
      <c r="W772" s="7">
        <v>0</v>
      </c>
      <c r="X772" s="7">
        <v>0</v>
      </c>
      <c r="Y772" s="7" t="s">
        <v>47</v>
      </c>
      <c r="Z772" s="7"/>
      <c r="AA772" s="7" t="s">
        <v>76</v>
      </c>
      <c r="AB772" s="7" t="s">
        <v>51</v>
      </c>
      <c r="AC772" s="7" t="s">
        <v>51</v>
      </c>
      <c r="AD772" s="7" t="s">
        <v>51</v>
      </c>
      <c r="AE772" s="5" t="s">
        <v>51</v>
      </c>
      <c r="AF772" s="6" t="s">
        <v>778</v>
      </c>
      <c r="AG772" s="5"/>
      <c r="AH772" s="5"/>
      <c r="AI772" s="5"/>
      <c r="AJ772" s="5"/>
      <c r="AK772" s="5"/>
      <c r="AL772" s="5"/>
      <c r="AU772" s="2"/>
    </row>
    <row r="773" spans="1:47" ht="15.65" customHeight="1" x14ac:dyDescent="0.35">
      <c r="A773" t="s">
        <v>774</v>
      </c>
      <c r="B773" t="s">
        <v>775</v>
      </c>
      <c r="C773" t="s">
        <v>47</v>
      </c>
      <c r="D773">
        <v>3000975</v>
      </c>
      <c r="E773" s="12">
        <v>3000979</v>
      </c>
      <c r="F773" s="12" t="s">
        <v>776</v>
      </c>
      <c r="G773" s="5" t="s">
        <v>776</v>
      </c>
      <c r="H773" s="5" t="s">
        <v>54</v>
      </c>
      <c r="I773" s="5">
        <v>6958005</v>
      </c>
      <c r="J773" s="11">
        <v>46118</v>
      </c>
      <c r="K773" s="11">
        <v>46118</v>
      </c>
      <c r="L773" s="11">
        <v>46118</v>
      </c>
      <c r="M773" s="5">
        <v>14</v>
      </c>
      <c r="N773" s="5">
        <v>-26255677</v>
      </c>
      <c r="O773" s="5">
        <v>-26255677</v>
      </c>
      <c r="P773" s="5">
        <v>0</v>
      </c>
      <c r="Q773" s="6">
        <v>-26255677</v>
      </c>
      <c r="R773" s="6">
        <v>0</v>
      </c>
      <c r="S773" s="7">
        <v>0</v>
      </c>
      <c r="T773" s="7">
        <v>0</v>
      </c>
      <c r="U773" s="7">
        <v>0</v>
      </c>
      <c r="V773" s="7">
        <v>0</v>
      </c>
      <c r="W773" s="7">
        <v>0</v>
      </c>
      <c r="X773" s="7">
        <v>0</v>
      </c>
      <c r="Y773" s="7" t="s">
        <v>47</v>
      </c>
      <c r="Z773" s="7"/>
      <c r="AA773" s="7" t="s">
        <v>76</v>
      </c>
      <c r="AB773" s="7" t="s">
        <v>51</v>
      </c>
      <c r="AC773" s="7" t="s">
        <v>51</v>
      </c>
      <c r="AD773" s="7" t="s">
        <v>51</v>
      </c>
      <c r="AE773" s="5" t="s">
        <v>51</v>
      </c>
      <c r="AF773" s="6" t="s">
        <v>56</v>
      </c>
      <c r="AG773" s="5"/>
      <c r="AH773" s="5"/>
      <c r="AI773" s="5"/>
      <c r="AJ773" s="5"/>
      <c r="AK773" s="5"/>
      <c r="AL773" s="5"/>
      <c r="AU773" s="2"/>
    </row>
    <row r="774" spans="1:47" ht="15.65" customHeight="1" x14ac:dyDescent="0.35">
      <c r="A774" t="s">
        <v>774</v>
      </c>
      <c r="B774" t="s">
        <v>775</v>
      </c>
      <c r="C774" t="s">
        <v>47</v>
      </c>
      <c r="D774">
        <v>3000975</v>
      </c>
      <c r="E774" s="12">
        <v>3000976</v>
      </c>
      <c r="F774" s="12" t="s">
        <v>776</v>
      </c>
      <c r="G774" s="5" t="s">
        <v>776</v>
      </c>
      <c r="H774" s="5" t="s">
        <v>54</v>
      </c>
      <c r="I774" s="5">
        <v>6958394</v>
      </c>
      <c r="J774" s="11">
        <v>46121</v>
      </c>
      <c r="K774" s="11">
        <v>46121</v>
      </c>
      <c r="L774" s="11">
        <v>46121</v>
      </c>
      <c r="M774" s="5">
        <v>11</v>
      </c>
      <c r="N774" s="5">
        <v>-30369366</v>
      </c>
      <c r="O774" s="5">
        <v>-30369366</v>
      </c>
      <c r="P774" s="5">
        <v>0</v>
      </c>
      <c r="Q774" s="6">
        <v>-30369366</v>
      </c>
      <c r="R774" s="6">
        <v>0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 t="s">
        <v>47</v>
      </c>
      <c r="Z774" s="7"/>
      <c r="AA774" s="7" t="s">
        <v>76</v>
      </c>
      <c r="AB774" s="7" t="s">
        <v>51</v>
      </c>
      <c r="AC774" s="7" t="s">
        <v>51</v>
      </c>
      <c r="AD774" s="7" t="s">
        <v>51</v>
      </c>
      <c r="AE774" s="5" t="s">
        <v>51</v>
      </c>
      <c r="AF774" s="6" t="s">
        <v>779</v>
      </c>
      <c r="AG774" s="5"/>
      <c r="AH774" s="5"/>
      <c r="AI774" s="5"/>
      <c r="AJ774" s="5"/>
      <c r="AK774" s="5"/>
      <c r="AL774" s="5"/>
      <c r="AU774" s="2"/>
    </row>
    <row r="775" spans="1:47" ht="15.65" customHeight="1" x14ac:dyDescent="0.35">
      <c r="A775" t="s">
        <v>774</v>
      </c>
      <c r="B775" t="s">
        <v>775</v>
      </c>
      <c r="C775" t="s">
        <v>47</v>
      </c>
      <c r="D775">
        <v>3000975</v>
      </c>
      <c r="E775">
        <v>3000976</v>
      </c>
      <c r="F775" t="s">
        <v>776</v>
      </c>
      <c r="G775" s="5" t="s">
        <v>776</v>
      </c>
      <c r="H775" s="5" t="s">
        <v>54</v>
      </c>
      <c r="I775" s="5">
        <v>6958395</v>
      </c>
      <c r="J775" s="11">
        <v>46121</v>
      </c>
      <c r="K775" s="11">
        <v>46121</v>
      </c>
      <c r="L775" s="11">
        <v>46121</v>
      </c>
      <c r="M775" s="5">
        <v>11</v>
      </c>
      <c r="N775" s="5">
        <v>-1707843</v>
      </c>
      <c r="O775" s="5">
        <v>-1707843</v>
      </c>
      <c r="P775" s="5">
        <v>0</v>
      </c>
      <c r="Q775" s="6">
        <v>-1707843</v>
      </c>
      <c r="R775" s="6">
        <v>0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7" t="s">
        <v>47</v>
      </c>
      <c r="Z775" s="7"/>
      <c r="AA775" s="7" t="s">
        <v>76</v>
      </c>
      <c r="AB775" s="7" t="s">
        <v>51</v>
      </c>
      <c r="AC775" s="7" t="s">
        <v>51</v>
      </c>
      <c r="AD775" s="7" t="s">
        <v>51</v>
      </c>
      <c r="AE775" s="5" t="s">
        <v>51</v>
      </c>
      <c r="AF775" s="6" t="s">
        <v>779</v>
      </c>
      <c r="AG775" s="5"/>
      <c r="AH775" s="5"/>
      <c r="AI775" s="5"/>
      <c r="AJ775" s="5"/>
      <c r="AK775" s="5"/>
      <c r="AL775" s="5"/>
      <c r="AU775" s="2"/>
    </row>
    <row r="776" spans="1:47" ht="15.65" customHeight="1" x14ac:dyDescent="0.35">
      <c r="A776" t="s">
        <v>774</v>
      </c>
      <c r="B776" t="s">
        <v>775</v>
      </c>
      <c r="C776" t="s">
        <v>47</v>
      </c>
      <c r="D776">
        <v>3000975</v>
      </c>
      <c r="E776" s="12">
        <v>3000976</v>
      </c>
      <c r="F776" s="12" t="s">
        <v>776</v>
      </c>
      <c r="G776" s="5" t="s">
        <v>776</v>
      </c>
      <c r="H776" s="5" t="s">
        <v>54</v>
      </c>
      <c r="I776" s="5">
        <v>6958396</v>
      </c>
      <c r="J776" s="11">
        <v>46121</v>
      </c>
      <c r="K776" s="11">
        <v>46121</v>
      </c>
      <c r="L776" s="11">
        <v>46121</v>
      </c>
      <c r="M776" s="5">
        <v>11</v>
      </c>
      <c r="N776" s="5">
        <v>-1437923</v>
      </c>
      <c r="O776" s="5">
        <v>-1437923</v>
      </c>
      <c r="P776" s="5">
        <v>0</v>
      </c>
      <c r="Q776" s="6">
        <v>-1437923</v>
      </c>
      <c r="R776" s="6">
        <v>0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  <c r="X776" s="7">
        <v>0</v>
      </c>
      <c r="Y776" s="7" t="s">
        <v>47</v>
      </c>
      <c r="Z776" s="7"/>
      <c r="AA776" s="7" t="s">
        <v>76</v>
      </c>
      <c r="AB776" s="7" t="s">
        <v>51</v>
      </c>
      <c r="AC776" s="7" t="s">
        <v>51</v>
      </c>
      <c r="AD776" s="7" t="s">
        <v>51</v>
      </c>
      <c r="AE776" s="5" t="s">
        <v>51</v>
      </c>
      <c r="AF776" s="6" t="s">
        <v>779</v>
      </c>
      <c r="AG776" s="5"/>
      <c r="AH776" s="5"/>
      <c r="AI776" s="5"/>
      <c r="AJ776" s="5"/>
      <c r="AK776" s="5"/>
      <c r="AL776" s="5"/>
      <c r="AU776" s="2"/>
    </row>
    <row r="777" spans="1:47" ht="15.65" customHeight="1" x14ac:dyDescent="0.35">
      <c r="A777" t="s">
        <v>774</v>
      </c>
      <c r="B777" t="s">
        <v>775</v>
      </c>
      <c r="C777" t="s">
        <v>47</v>
      </c>
      <c r="D777">
        <v>3000975</v>
      </c>
      <c r="E777" s="12">
        <v>3000976</v>
      </c>
      <c r="F777" s="12" t="s">
        <v>776</v>
      </c>
      <c r="G777" s="5" t="s">
        <v>776</v>
      </c>
      <c r="H777" s="5" t="s">
        <v>54</v>
      </c>
      <c r="I777" s="5">
        <v>6958397</v>
      </c>
      <c r="J777" s="11">
        <v>46121</v>
      </c>
      <c r="K777" s="11">
        <v>46121</v>
      </c>
      <c r="L777" s="11">
        <v>46121</v>
      </c>
      <c r="M777" s="5">
        <v>11</v>
      </c>
      <c r="N777" s="5">
        <v>-1272965</v>
      </c>
      <c r="O777" s="5">
        <v>-1272965</v>
      </c>
      <c r="P777" s="5">
        <v>0</v>
      </c>
      <c r="Q777" s="6">
        <v>-1272965</v>
      </c>
      <c r="R777" s="6">
        <v>0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  <c r="X777" s="7">
        <v>0</v>
      </c>
      <c r="Y777" s="7" t="s">
        <v>47</v>
      </c>
      <c r="Z777" s="7"/>
      <c r="AA777" s="7" t="s">
        <v>76</v>
      </c>
      <c r="AB777" s="7" t="s">
        <v>51</v>
      </c>
      <c r="AC777" s="7" t="s">
        <v>51</v>
      </c>
      <c r="AD777" s="7" t="s">
        <v>51</v>
      </c>
      <c r="AE777" s="5" t="s">
        <v>51</v>
      </c>
      <c r="AF777" s="6" t="s">
        <v>779</v>
      </c>
      <c r="AG777" s="5"/>
      <c r="AH777" s="5"/>
      <c r="AI777" s="5"/>
      <c r="AJ777" s="5"/>
      <c r="AK777" s="5"/>
      <c r="AL777" s="5"/>
      <c r="AU777" s="2"/>
    </row>
    <row r="778" spans="1:47" ht="15.65" customHeight="1" x14ac:dyDescent="0.35">
      <c r="A778" t="s">
        <v>774</v>
      </c>
      <c r="B778" t="s">
        <v>775</v>
      </c>
      <c r="C778" t="s">
        <v>47</v>
      </c>
      <c r="D778">
        <v>3000975</v>
      </c>
      <c r="E778" s="12">
        <v>3000976</v>
      </c>
      <c r="F778" s="12" t="s">
        <v>776</v>
      </c>
      <c r="G778" s="5" t="s">
        <v>776</v>
      </c>
      <c r="H778" s="5" t="s">
        <v>54</v>
      </c>
      <c r="I778" s="5">
        <v>6958398</v>
      </c>
      <c r="J778" s="11">
        <v>46121</v>
      </c>
      <c r="K778" s="11">
        <v>46121</v>
      </c>
      <c r="L778" s="11">
        <v>46121</v>
      </c>
      <c r="M778" s="5">
        <v>11</v>
      </c>
      <c r="N778" s="5">
        <v>-159364</v>
      </c>
      <c r="O778" s="5">
        <v>-159364</v>
      </c>
      <c r="P778" s="5">
        <v>0</v>
      </c>
      <c r="Q778" s="6">
        <v>-159364</v>
      </c>
      <c r="R778" s="6">
        <v>0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  <c r="X778" s="7">
        <v>0</v>
      </c>
      <c r="Y778" s="7" t="s">
        <v>47</v>
      </c>
      <c r="Z778" s="7"/>
      <c r="AA778" s="7" t="s">
        <v>76</v>
      </c>
      <c r="AB778" s="7" t="s">
        <v>51</v>
      </c>
      <c r="AC778" s="7" t="s">
        <v>51</v>
      </c>
      <c r="AD778" s="7" t="s">
        <v>51</v>
      </c>
      <c r="AE778" s="5" t="s">
        <v>51</v>
      </c>
      <c r="AF778" s="6" t="s">
        <v>779</v>
      </c>
      <c r="AG778" s="5"/>
      <c r="AH778" s="5"/>
      <c r="AI778" s="5"/>
      <c r="AJ778" s="5"/>
      <c r="AK778" s="5"/>
      <c r="AL778" s="5"/>
      <c r="AU778" s="2"/>
    </row>
    <row r="779" spans="1:47" ht="15.65" customHeight="1" x14ac:dyDescent="0.35">
      <c r="A779" t="s">
        <v>774</v>
      </c>
      <c r="B779" t="s">
        <v>775</v>
      </c>
      <c r="C779" t="s">
        <v>47</v>
      </c>
      <c r="D779">
        <v>3000975</v>
      </c>
      <c r="E779" s="12">
        <v>3000976</v>
      </c>
      <c r="F779" s="12" t="s">
        <v>776</v>
      </c>
      <c r="G779" s="5" t="s">
        <v>776</v>
      </c>
      <c r="H779" s="5" t="s">
        <v>54</v>
      </c>
      <c r="I779" s="5">
        <v>6958399</v>
      </c>
      <c r="J779" s="11">
        <v>46121</v>
      </c>
      <c r="K779" s="11">
        <v>46121</v>
      </c>
      <c r="L779" s="11">
        <v>46121</v>
      </c>
      <c r="M779" s="5">
        <v>11</v>
      </c>
      <c r="N779" s="5">
        <v>-248537</v>
      </c>
      <c r="O779" s="5">
        <v>-248537</v>
      </c>
      <c r="P779" s="5">
        <v>0</v>
      </c>
      <c r="Q779" s="6">
        <v>-248537</v>
      </c>
      <c r="R779" s="6">
        <v>0</v>
      </c>
      <c r="S779" s="7">
        <v>0</v>
      </c>
      <c r="T779" s="7">
        <v>0</v>
      </c>
      <c r="U779" s="7">
        <v>0</v>
      </c>
      <c r="V779" s="7">
        <v>0</v>
      </c>
      <c r="W779" s="7">
        <v>0</v>
      </c>
      <c r="X779" s="7">
        <v>0</v>
      </c>
      <c r="Y779" s="7" t="s">
        <v>47</v>
      </c>
      <c r="Z779" s="7"/>
      <c r="AA779" s="7" t="s">
        <v>76</v>
      </c>
      <c r="AB779" s="7" t="s">
        <v>51</v>
      </c>
      <c r="AC779" s="7" t="s">
        <v>51</v>
      </c>
      <c r="AD779" s="7" t="s">
        <v>51</v>
      </c>
      <c r="AE779" s="5" t="s">
        <v>51</v>
      </c>
      <c r="AF779" s="6" t="s">
        <v>779</v>
      </c>
      <c r="AG779" s="5"/>
      <c r="AH779" s="5"/>
      <c r="AI779" s="5"/>
      <c r="AJ779" s="5"/>
      <c r="AK779" s="5"/>
      <c r="AL779" s="5"/>
      <c r="AU779" s="2"/>
    </row>
    <row r="780" spans="1:47" ht="15.65" customHeight="1" x14ac:dyDescent="0.35">
      <c r="A780" t="s">
        <v>774</v>
      </c>
      <c r="B780" t="s">
        <v>775</v>
      </c>
      <c r="C780" t="s">
        <v>47</v>
      </c>
      <c r="D780">
        <v>3000975</v>
      </c>
      <c r="E780" s="12">
        <v>3000978</v>
      </c>
      <c r="F780" s="12" t="s">
        <v>776</v>
      </c>
      <c r="G780" s="5" t="s">
        <v>776</v>
      </c>
      <c r="H780" s="5" t="s">
        <v>54</v>
      </c>
      <c r="I780" s="5">
        <v>6958400</v>
      </c>
      <c r="J780" s="11">
        <v>46121</v>
      </c>
      <c r="K780" s="11">
        <v>46121</v>
      </c>
      <c r="L780" s="11">
        <v>46121</v>
      </c>
      <c r="M780" s="5">
        <v>11</v>
      </c>
      <c r="N780" s="5">
        <v>-1685066</v>
      </c>
      <c r="O780" s="5">
        <v>-1685066</v>
      </c>
      <c r="P780" s="5">
        <v>0</v>
      </c>
      <c r="Q780" s="6">
        <v>-1685066</v>
      </c>
      <c r="R780" s="6">
        <v>0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  <c r="X780" s="7">
        <v>0</v>
      </c>
      <c r="Y780" s="7" t="s">
        <v>47</v>
      </c>
      <c r="Z780" s="7"/>
      <c r="AA780" s="7" t="s">
        <v>76</v>
      </c>
      <c r="AB780" s="7" t="s">
        <v>51</v>
      </c>
      <c r="AC780" s="7" t="s">
        <v>51</v>
      </c>
      <c r="AD780" s="7" t="s">
        <v>51</v>
      </c>
      <c r="AE780" s="5" t="s">
        <v>51</v>
      </c>
      <c r="AF780" s="6" t="s">
        <v>779</v>
      </c>
      <c r="AG780" s="5"/>
      <c r="AH780" s="5"/>
      <c r="AI780" s="5"/>
      <c r="AJ780" s="5"/>
      <c r="AK780" s="5"/>
      <c r="AL780" s="5"/>
      <c r="AU780" s="2"/>
    </row>
    <row r="781" spans="1:47" ht="15.65" customHeight="1" x14ac:dyDescent="0.35">
      <c r="A781" t="s">
        <v>774</v>
      </c>
      <c r="B781" t="s">
        <v>775</v>
      </c>
      <c r="C781" t="s">
        <v>47</v>
      </c>
      <c r="D781">
        <v>3000975</v>
      </c>
      <c r="E781" s="12">
        <v>3000978</v>
      </c>
      <c r="F781" s="12" t="s">
        <v>776</v>
      </c>
      <c r="G781" s="5" t="s">
        <v>776</v>
      </c>
      <c r="H781" s="5" t="s">
        <v>54</v>
      </c>
      <c r="I781" s="5">
        <v>6958401</v>
      </c>
      <c r="J781" s="11">
        <v>46121</v>
      </c>
      <c r="K781" s="11">
        <v>46121</v>
      </c>
      <c r="L781" s="11">
        <v>46121</v>
      </c>
      <c r="M781" s="5">
        <v>11</v>
      </c>
      <c r="N781" s="5">
        <v>-548994</v>
      </c>
      <c r="O781" s="5">
        <v>-548994</v>
      </c>
      <c r="P781" s="5">
        <v>0</v>
      </c>
      <c r="Q781" s="6">
        <v>-548994</v>
      </c>
      <c r="R781" s="6">
        <v>0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0</v>
      </c>
      <c r="Y781" s="7" t="s">
        <v>47</v>
      </c>
      <c r="Z781" s="7"/>
      <c r="AA781" s="7" t="s">
        <v>76</v>
      </c>
      <c r="AB781" s="7" t="s">
        <v>51</v>
      </c>
      <c r="AC781" s="7" t="s">
        <v>51</v>
      </c>
      <c r="AD781" s="7" t="s">
        <v>51</v>
      </c>
      <c r="AE781" s="5" t="s">
        <v>51</v>
      </c>
      <c r="AF781" s="6" t="s">
        <v>779</v>
      </c>
      <c r="AG781" s="5"/>
      <c r="AH781" s="5"/>
      <c r="AI781" s="5"/>
      <c r="AJ781" s="5"/>
      <c r="AK781" s="5"/>
      <c r="AL781" s="5"/>
      <c r="AU781" s="2"/>
    </row>
    <row r="782" spans="1:47" ht="15.65" customHeight="1" x14ac:dyDescent="0.35">
      <c r="A782" t="s">
        <v>774</v>
      </c>
      <c r="B782" t="s">
        <v>775</v>
      </c>
      <c r="C782" t="s">
        <v>47</v>
      </c>
      <c r="D782">
        <v>3000975</v>
      </c>
      <c r="E782">
        <v>3000978</v>
      </c>
      <c r="F782" t="s">
        <v>776</v>
      </c>
      <c r="G782" s="5" t="s">
        <v>776</v>
      </c>
      <c r="H782" s="5" t="s">
        <v>54</v>
      </c>
      <c r="I782" s="5">
        <v>6958402</v>
      </c>
      <c r="J782" s="11">
        <v>46121</v>
      </c>
      <c r="K782" s="11">
        <v>46121</v>
      </c>
      <c r="L782" s="11">
        <v>46121</v>
      </c>
      <c r="M782" s="5">
        <v>11</v>
      </c>
      <c r="N782" s="5">
        <v>-183316</v>
      </c>
      <c r="O782" s="5">
        <v>-183316</v>
      </c>
      <c r="P782" s="5">
        <v>0</v>
      </c>
      <c r="Q782" s="6">
        <v>-183316</v>
      </c>
      <c r="R782" s="6">
        <v>0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  <c r="Y782" s="7" t="s">
        <v>47</v>
      </c>
      <c r="Z782" s="7"/>
      <c r="AA782" s="7" t="s">
        <v>76</v>
      </c>
      <c r="AB782" s="7" t="s">
        <v>51</v>
      </c>
      <c r="AC782" s="7" t="s">
        <v>51</v>
      </c>
      <c r="AD782" s="7" t="s">
        <v>51</v>
      </c>
      <c r="AE782" s="5" t="s">
        <v>51</v>
      </c>
      <c r="AF782" s="6" t="s">
        <v>779</v>
      </c>
      <c r="AG782" s="5"/>
      <c r="AH782" s="5"/>
      <c r="AI782" s="5"/>
      <c r="AJ782" s="5"/>
      <c r="AK782" s="5"/>
      <c r="AL782" s="5"/>
      <c r="AU782" s="2"/>
    </row>
    <row r="783" spans="1:47" ht="15.65" customHeight="1" x14ac:dyDescent="0.35">
      <c r="A783" t="s">
        <v>774</v>
      </c>
      <c r="B783" t="s">
        <v>775</v>
      </c>
      <c r="C783" t="s">
        <v>47</v>
      </c>
      <c r="D783">
        <v>3000975</v>
      </c>
      <c r="E783" s="12">
        <v>3000978</v>
      </c>
      <c r="F783" s="12" t="s">
        <v>776</v>
      </c>
      <c r="G783" s="5" t="s">
        <v>776</v>
      </c>
      <c r="H783" s="5" t="s">
        <v>54</v>
      </c>
      <c r="I783" s="5">
        <v>6958403</v>
      </c>
      <c r="J783" s="11">
        <v>46121</v>
      </c>
      <c r="K783" s="11">
        <v>46121</v>
      </c>
      <c r="L783" s="11">
        <v>46121</v>
      </c>
      <c r="M783" s="5">
        <v>11</v>
      </c>
      <c r="N783" s="5">
        <v>-375297</v>
      </c>
      <c r="O783" s="5">
        <v>-375297</v>
      </c>
      <c r="P783" s="5">
        <v>0</v>
      </c>
      <c r="Q783" s="6">
        <v>-375297</v>
      </c>
      <c r="R783" s="6">
        <v>0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  <c r="Y783" s="7" t="s">
        <v>47</v>
      </c>
      <c r="Z783" s="7"/>
      <c r="AA783" s="7" t="s">
        <v>76</v>
      </c>
      <c r="AB783" s="7" t="s">
        <v>51</v>
      </c>
      <c r="AC783" s="7" t="s">
        <v>51</v>
      </c>
      <c r="AD783" s="7" t="s">
        <v>51</v>
      </c>
      <c r="AE783" s="5" t="s">
        <v>51</v>
      </c>
      <c r="AF783" s="6" t="s">
        <v>779</v>
      </c>
      <c r="AG783" s="5"/>
      <c r="AH783" s="5"/>
      <c r="AI783" s="5"/>
      <c r="AJ783" s="5"/>
      <c r="AK783" s="5"/>
      <c r="AL783" s="5"/>
      <c r="AU783" s="2"/>
    </row>
    <row r="784" spans="1:47" ht="15.65" customHeight="1" x14ac:dyDescent="0.35">
      <c r="A784" t="s">
        <v>774</v>
      </c>
      <c r="B784" t="s">
        <v>775</v>
      </c>
      <c r="C784" t="s">
        <v>47</v>
      </c>
      <c r="D784">
        <v>3000975</v>
      </c>
      <c r="E784" s="12">
        <v>3000978</v>
      </c>
      <c r="F784" s="12" t="s">
        <v>776</v>
      </c>
      <c r="G784" s="5" t="s">
        <v>776</v>
      </c>
      <c r="H784" s="5" t="s">
        <v>54</v>
      </c>
      <c r="I784" s="5">
        <v>6958480</v>
      </c>
      <c r="J784" s="11">
        <v>46121</v>
      </c>
      <c r="K784" s="11">
        <v>46121</v>
      </c>
      <c r="L784" s="11">
        <v>46121</v>
      </c>
      <c r="M784" s="5">
        <v>11</v>
      </c>
      <c r="N784" s="5">
        <v>-196200</v>
      </c>
      <c r="O784" s="5">
        <v>-196200</v>
      </c>
      <c r="P784" s="5">
        <v>0</v>
      </c>
      <c r="Q784" s="6">
        <v>-196200</v>
      </c>
      <c r="R784" s="6">
        <v>0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  <c r="X784" s="7">
        <v>0</v>
      </c>
      <c r="Y784" s="7" t="s">
        <v>47</v>
      </c>
      <c r="Z784" s="7"/>
      <c r="AA784" s="7" t="s">
        <v>76</v>
      </c>
      <c r="AB784" s="7" t="s">
        <v>51</v>
      </c>
      <c r="AC784" s="7" t="s">
        <v>51</v>
      </c>
      <c r="AD784" s="7" t="s">
        <v>51</v>
      </c>
      <c r="AE784" s="5" t="s">
        <v>51</v>
      </c>
      <c r="AF784" s="6" t="s">
        <v>780</v>
      </c>
      <c r="AG784" s="5"/>
      <c r="AH784" s="5"/>
      <c r="AI784" s="5"/>
      <c r="AJ784" s="5"/>
      <c r="AK784" s="5"/>
      <c r="AL784" s="5"/>
      <c r="AU784" s="2"/>
    </row>
    <row r="785" spans="1:47" ht="15.65" customHeight="1" x14ac:dyDescent="0.35">
      <c r="A785" t="s">
        <v>774</v>
      </c>
      <c r="B785" t="s">
        <v>775</v>
      </c>
      <c r="C785" t="s">
        <v>47</v>
      </c>
      <c r="D785">
        <v>3000975</v>
      </c>
      <c r="E785" s="12">
        <v>3000978</v>
      </c>
      <c r="F785" s="12" t="s">
        <v>776</v>
      </c>
      <c r="G785" s="5" t="s">
        <v>776</v>
      </c>
      <c r="H785" s="5" t="s">
        <v>111</v>
      </c>
      <c r="I785" s="5">
        <v>6958495</v>
      </c>
      <c r="J785" s="11">
        <v>46121</v>
      </c>
      <c r="K785" s="11">
        <v>46121</v>
      </c>
      <c r="L785" s="11">
        <v>46121</v>
      </c>
      <c r="M785" s="5">
        <v>11</v>
      </c>
      <c r="N785" s="5">
        <v>-20693686</v>
      </c>
      <c r="O785" s="5">
        <v>-20693686</v>
      </c>
      <c r="P785" s="5">
        <v>0</v>
      </c>
      <c r="Q785" s="6">
        <v>-20693686</v>
      </c>
      <c r="R785" s="6">
        <v>0</v>
      </c>
      <c r="S785" s="7">
        <v>0</v>
      </c>
      <c r="T785" s="7">
        <v>0</v>
      </c>
      <c r="U785" s="7">
        <v>0</v>
      </c>
      <c r="V785" s="7">
        <v>0</v>
      </c>
      <c r="W785" s="7">
        <v>0</v>
      </c>
      <c r="X785" s="7">
        <v>0</v>
      </c>
      <c r="Y785" s="7" t="s">
        <v>47</v>
      </c>
      <c r="Z785" s="7"/>
      <c r="AA785" s="7" t="s">
        <v>76</v>
      </c>
      <c r="AB785" s="7" t="s">
        <v>51</v>
      </c>
      <c r="AC785" s="7" t="s">
        <v>51</v>
      </c>
      <c r="AD785" s="7" t="s">
        <v>51</v>
      </c>
      <c r="AE785" s="5" t="s">
        <v>51</v>
      </c>
      <c r="AF785" s="6" t="s">
        <v>781</v>
      </c>
      <c r="AG785" s="5"/>
      <c r="AH785" s="5"/>
      <c r="AI785" s="5"/>
      <c r="AJ785" s="5"/>
      <c r="AK785" s="5"/>
      <c r="AL785" s="5"/>
      <c r="AU785" s="2"/>
    </row>
    <row r="786" spans="1:47" ht="15.65" customHeight="1" x14ac:dyDescent="0.35">
      <c r="A786" t="s">
        <v>774</v>
      </c>
      <c r="B786" t="s">
        <v>775</v>
      </c>
      <c r="C786" t="s">
        <v>47</v>
      </c>
      <c r="D786">
        <v>3000975</v>
      </c>
      <c r="E786">
        <v>3000976</v>
      </c>
      <c r="F786" t="s">
        <v>776</v>
      </c>
      <c r="G786" s="5" t="s">
        <v>776</v>
      </c>
      <c r="H786" s="5" t="s">
        <v>54</v>
      </c>
      <c r="I786" s="5">
        <v>6958623</v>
      </c>
      <c r="J786" s="11">
        <v>46121</v>
      </c>
      <c r="K786" s="11">
        <v>46121</v>
      </c>
      <c r="L786" s="11">
        <v>46121</v>
      </c>
      <c r="M786" s="5">
        <v>11</v>
      </c>
      <c r="N786" s="5">
        <v>-167379793</v>
      </c>
      <c r="O786" s="5">
        <v>-167379793</v>
      </c>
      <c r="P786" s="5">
        <v>0</v>
      </c>
      <c r="Q786" s="6">
        <v>-167379793</v>
      </c>
      <c r="R786" s="6">
        <v>0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7" t="s">
        <v>47</v>
      </c>
      <c r="Z786" s="7"/>
      <c r="AA786" s="7" t="s">
        <v>76</v>
      </c>
      <c r="AB786" s="7" t="s">
        <v>51</v>
      </c>
      <c r="AC786" s="7" t="s">
        <v>51</v>
      </c>
      <c r="AD786" s="7" t="s">
        <v>51</v>
      </c>
      <c r="AE786" s="5" t="s">
        <v>51</v>
      </c>
      <c r="AF786" s="6" t="s">
        <v>782</v>
      </c>
      <c r="AG786" s="5"/>
      <c r="AH786" s="5"/>
      <c r="AI786" s="5"/>
      <c r="AJ786" s="5"/>
      <c r="AK786" s="5"/>
      <c r="AL786" s="5"/>
      <c r="AU786" s="2"/>
    </row>
    <row r="787" spans="1:47" ht="15.65" customHeight="1" x14ac:dyDescent="0.35">
      <c r="A787" t="s">
        <v>774</v>
      </c>
      <c r="B787" t="s">
        <v>775</v>
      </c>
      <c r="C787" t="s">
        <v>47</v>
      </c>
      <c r="D787">
        <v>3000975</v>
      </c>
      <c r="E787" s="12">
        <v>3000977</v>
      </c>
      <c r="F787" s="12" t="s">
        <v>776</v>
      </c>
      <c r="G787" s="5" t="s">
        <v>776</v>
      </c>
      <c r="H787" s="5" t="s">
        <v>54</v>
      </c>
      <c r="I787" s="5">
        <v>6958642</v>
      </c>
      <c r="J787" s="11">
        <v>46121</v>
      </c>
      <c r="K787" s="11">
        <v>46121</v>
      </c>
      <c r="L787" s="11">
        <v>46121</v>
      </c>
      <c r="M787" s="5">
        <v>11</v>
      </c>
      <c r="N787" s="5">
        <v>-49482357</v>
      </c>
      <c r="O787" s="5">
        <v>-49482357</v>
      </c>
      <c r="P787" s="5">
        <v>0</v>
      </c>
      <c r="Q787" s="6">
        <v>-49482357</v>
      </c>
      <c r="R787" s="6">
        <v>0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  <c r="X787" s="7">
        <v>0</v>
      </c>
      <c r="Y787" s="7" t="s">
        <v>47</v>
      </c>
      <c r="Z787" s="7"/>
      <c r="AA787" s="7" t="s">
        <v>76</v>
      </c>
      <c r="AB787" s="7" t="s">
        <v>51</v>
      </c>
      <c r="AC787" s="7" t="s">
        <v>51</v>
      </c>
      <c r="AD787" s="7" t="s">
        <v>51</v>
      </c>
      <c r="AE787" s="5" t="s">
        <v>51</v>
      </c>
      <c r="AF787" s="6" t="s">
        <v>325</v>
      </c>
      <c r="AG787" s="5"/>
      <c r="AH787" s="5"/>
      <c r="AI787" s="5"/>
      <c r="AJ787" s="5"/>
      <c r="AK787" s="5"/>
      <c r="AL787" s="5"/>
      <c r="AU787" s="2"/>
    </row>
    <row r="788" spans="1:47" ht="15.65" customHeight="1" x14ac:dyDescent="0.35">
      <c r="A788" t="s">
        <v>774</v>
      </c>
      <c r="B788" t="s">
        <v>775</v>
      </c>
      <c r="C788" t="s">
        <v>47</v>
      </c>
      <c r="D788">
        <v>3000975</v>
      </c>
      <c r="E788" s="12">
        <v>3000978</v>
      </c>
      <c r="F788" s="12" t="s">
        <v>776</v>
      </c>
      <c r="G788" s="5" t="s">
        <v>776</v>
      </c>
      <c r="H788" s="5" t="s">
        <v>54</v>
      </c>
      <c r="I788" s="5">
        <v>6958644</v>
      </c>
      <c r="J788" s="11">
        <v>46121</v>
      </c>
      <c r="K788" s="11">
        <v>46121</v>
      </c>
      <c r="L788" s="11">
        <v>46121</v>
      </c>
      <c r="M788" s="5">
        <v>11</v>
      </c>
      <c r="N788" s="5">
        <v>-53428064</v>
      </c>
      <c r="O788" s="5">
        <v>-53428064</v>
      </c>
      <c r="P788" s="5">
        <v>0</v>
      </c>
      <c r="Q788" s="6">
        <v>-53428064</v>
      </c>
      <c r="R788" s="6">
        <v>0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0</v>
      </c>
      <c r="Y788" s="7" t="s">
        <v>47</v>
      </c>
      <c r="Z788" s="7"/>
      <c r="AA788" s="7" t="s">
        <v>76</v>
      </c>
      <c r="AB788" s="7" t="s">
        <v>51</v>
      </c>
      <c r="AC788" s="7" t="s">
        <v>51</v>
      </c>
      <c r="AD788" s="7" t="s">
        <v>51</v>
      </c>
      <c r="AE788" s="5" t="s">
        <v>51</v>
      </c>
      <c r="AF788" s="6" t="s">
        <v>782</v>
      </c>
      <c r="AG788" s="5"/>
      <c r="AH788" s="5"/>
      <c r="AI788" s="5"/>
      <c r="AJ788" s="5"/>
      <c r="AK788" s="5"/>
      <c r="AL788" s="5"/>
      <c r="AU788" s="2"/>
    </row>
    <row r="789" spans="1:47" ht="15.65" customHeight="1" x14ac:dyDescent="0.35">
      <c r="A789" t="s">
        <v>774</v>
      </c>
      <c r="B789" t="s">
        <v>775</v>
      </c>
      <c r="C789" t="s">
        <v>47</v>
      </c>
      <c r="D789">
        <v>3000975</v>
      </c>
      <c r="E789">
        <v>3000979</v>
      </c>
      <c r="F789" t="s">
        <v>776</v>
      </c>
      <c r="G789" s="5" t="s">
        <v>776</v>
      </c>
      <c r="H789" s="5" t="s">
        <v>54</v>
      </c>
      <c r="I789" s="5">
        <v>6958645</v>
      </c>
      <c r="J789" s="11">
        <v>46121</v>
      </c>
      <c r="K789" s="11">
        <v>46121</v>
      </c>
      <c r="L789" s="11">
        <v>46121</v>
      </c>
      <c r="M789" s="5">
        <v>11</v>
      </c>
      <c r="N789" s="5">
        <v>-18453827</v>
      </c>
      <c r="O789" s="5">
        <v>-18453827</v>
      </c>
      <c r="P789" s="5">
        <v>0</v>
      </c>
      <c r="Q789" s="6">
        <v>-18453827</v>
      </c>
      <c r="R789" s="6">
        <v>0</v>
      </c>
      <c r="S789" s="7">
        <v>0</v>
      </c>
      <c r="T789" s="7">
        <v>0</v>
      </c>
      <c r="U789" s="7">
        <v>0</v>
      </c>
      <c r="V789" s="7">
        <v>0</v>
      </c>
      <c r="W789" s="7">
        <v>0</v>
      </c>
      <c r="X789" s="7">
        <v>0</v>
      </c>
      <c r="Y789" s="7" t="s">
        <v>47</v>
      </c>
      <c r="Z789" s="7"/>
      <c r="AA789" s="7" t="s">
        <v>76</v>
      </c>
      <c r="AB789" s="7" t="s">
        <v>51</v>
      </c>
      <c r="AC789" s="7" t="s">
        <v>51</v>
      </c>
      <c r="AD789" s="7" t="s">
        <v>51</v>
      </c>
      <c r="AE789" s="5" t="s">
        <v>51</v>
      </c>
      <c r="AF789" s="6" t="s">
        <v>782</v>
      </c>
      <c r="AG789" s="5"/>
      <c r="AH789" s="5"/>
      <c r="AI789" s="5"/>
      <c r="AJ789" s="5"/>
      <c r="AK789" s="5"/>
      <c r="AL789" s="5"/>
      <c r="AU789" s="2"/>
    </row>
    <row r="790" spans="1:47" ht="15.65" customHeight="1" x14ac:dyDescent="0.35">
      <c r="A790" t="s">
        <v>774</v>
      </c>
      <c r="B790" t="s">
        <v>775</v>
      </c>
      <c r="C790" t="s">
        <v>47</v>
      </c>
      <c r="D790">
        <v>3000975</v>
      </c>
      <c r="E790" s="12">
        <v>3000976</v>
      </c>
      <c r="F790" s="12" t="s">
        <v>776</v>
      </c>
      <c r="G790" s="5" t="s">
        <v>776</v>
      </c>
      <c r="H790" s="5" t="s">
        <v>54</v>
      </c>
      <c r="I790" s="5">
        <v>6959520</v>
      </c>
      <c r="J790" s="11">
        <v>46127</v>
      </c>
      <c r="K790" s="11">
        <v>46127</v>
      </c>
      <c r="L790" s="11">
        <v>46127</v>
      </c>
      <c r="M790" s="5">
        <v>5</v>
      </c>
      <c r="N790" s="5">
        <v>-1962000</v>
      </c>
      <c r="O790" s="5">
        <v>-1962000</v>
      </c>
      <c r="P790" s="5">
        <v>0</v>
      </c>
      <c r="Q790" s="6">
        <v>-1962000</v>
      </c>
      <c r="R790" s="6">
        <v>0</v>
      </c>
      <c r="S790" s="7">
        <v>0</v>
      </c>
      <c r="T790" s="7">
        <v>0</v>
      </c>
      <c r="U790" s="7">
        <v>0</v>
      </c>
      <c r="V790" s="7">
        <v>0</v>
      </c>
      <c r="W790" s="7">
        <v>0</v>
      </c>
      <c r="X790" s="7">
        <v>0</v>
      </c>
      <c r="Y790" s="7" t="s">
        <v>47</v>
      </c>
      <c r="Z790" s="7"/>
      <c r="AA790" s="7" t="s">
        <v>76</v>
      </c>
      <c r="AB790" s="7" t="s">
        <v>51</v>
      </c>
      <c r="AC790" s="7" t="s">
        <v>51</v>
      </c>
      <c r="AD790" s="7" t="s">
        <v>51</v>
      </c>
      <c r="AE790" s="5" t="s">
        <v>51</v>
      </c>
      <c r="AF790" s="6" t="s">
        <v>783</v>
      </c>
      <c r="AG790" s="5"/>
      <c r="AH790" s="5"/>
      <c r="AI790" s="5"/>
      <c r="AJ790" s="5"/>
      <c r="AK790" s="5"/>
      <c r="AL790" s="5"/>
      <c r="AU790" s="2"/>
    </row>
    <row r="791" spans="1:47" ht="15.65" customHeight="1" x14ac:dyDescent="0.35">
      <c r="A791" t="s">
        <v>774</v>
      </c>
      <c r="B791" t="s">
        <v>775</v>
      </c>
      <c r="C791" t="s">
        <v>47</v>
      </c>
      <c r="D791">
        <v>3000975</v>
      </c>
      <c r="E791" s="12">
        <v>3000976</v>
      </c>
      <c r="F791" s="12" t="s">
        <v>776</v>
      </c>
      <c r="G791" s="5" t="s">
        <v>776</v>
      </c>
      <c r="H791" s="5" t="s">
        <v>54</v>
      </c>
      <c r="I791" s="5">
        <v>6959521</v>
      </c>
      <c r="J791" s="11">
        <v>46127</v>
      </c>
      <c r="K791" s="11">
        <v>46127</v>
      </c>
      <c r="L791" s="11">
        <v>46127</v>
      </c>
      <c r="M791" s="5">
        <v>5</v>
      </c>
      <c r="N791" s="5">
        <v>-8829000</v>
      </c>
      <c r="O791" s="5">
        <v>-8829000</v>
      </c>
      <c r="P791" s="5">
        <v>0</v>
      </c>
      <c r="Q791" s="6">
        <v>-8829000</v>
      </c>
      <c r="R791" s="6">
        <v>0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0</v>
      </c>
      <c r="Y791" s="7" t="s">
        <v>47</v>
      </c>
      <c r="Z791" s="7"/>
      <c r="AA791" s="7" t="s">
        <v>76</v>
      </c>
      <c r="AB791" s="7" t="s">
        <v>51</v>
      </c>
      <c r="AC791" s="7" t="s">
        <v>51</v>
      </c>
      <c r="AD791" s="7" t="s">
        <v>51</v>
      </c>
      <c r="AE791" s="5" t="s">
        <v>51</v>
      </c>
      <c r="AF791" s="6" t="s">
        <v>783</v>
      </c>
      <c r="AG791" s="5"/>
      <c r="AH791" s="5"/>
      <c r="AI791" s="5"/>
      <c r="AJ791" s="5"/>
      <c r="AK791" s="5"/>
      <c r="AL791" s="5"/>
      <c r="AU791" s="2"/>
    </row>
    <row r="792" spans="1:47" ht="15.65" customHeight="1" x14ac:dyDescent="0.35">
      <c r="A792" t="s">
        <v>774</v>
      </c>
      <c r="B792" t="s">
        <v>775</v>
      </c>
      <c r="C792" t="s">
        <v>47</v>
      </c>
      <c r="D792">
        <v>3000975</v>
      </c>
      <c r="E792" s="12">
        <v>3000976</v>
      </c>
      <c r="F792" s="12" t="s">
        <v>776</v>
      </c>
      <c r="G792" s="5" t="s">
        <v>776</v>
      </c>
      <c r="H792" s="5" t="s">
        <v>54</v>
      </c>
      <c r="I792" s="5">
        <v>6959522</v>
      </c>
      <c r="J792" s="11">
        <v>46127</v>
      </c>
      <c r="K792" s="11">
        <v>46127</v>
      </c>
      <c r="L792" s="11">
        <v>46127</v>
      </c>
      <c r="M792" s="5">
        <v>5</v>
      </c>
      <c r="N792" s="5">
        <v>-20741310</v>
      </c>
      <c r="O792" s="5">
        <v>-20741310</v>
      </c>
      <c r="P792" s="5">
        <v>0</v>
      </c>
      <c r="Q792" s="6">
        <v>-20741310</v>
      </c>
      <c r="R792" s="6">
        <v>0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 t="s">
        <v>47</v>
      </c>
      <c r="Z792" s="7"/>
      <c r="AA792" s="7" t="s">
        <v>76</v>
      </c>
      <c r="AB792" s="7" t="s">
        <v>51</v>
      </c>
      <c r="AC792" s="7" t="s">
        <v>51</v>
      </c>
      <c r="AD792" s="7" t="s">
        <v>51</v>
      </c>
      <c r="AE792" s="5" t="s">
        <v>51</v>
      </c>
      <c r="AF792" s="6" t="s">
        <v>783</v>
      </c>
      <c r="AG792" s="5"/>
      <c r="AH792" s="5"/>
      <c r="AI792" s="5"/>
      <c r="AJ792" s="5"/>
      <c r="AK792" s="5"/>
      <c r="AL792" s="5"/>
      <c r="AU792" s="2"/>
    </row>
    <row r="793" spans="1:47" ht="15.65" customHeight="1" x14ac:dyDescent="0.35">
      <c r="A793" t="s">
        <v>774</v>
      </c>
      <c r="B793" t="s">
        <v>775</v>
      </c>
      <c r="C793" t="s">
        <v>47</v>
      </c>
      <c r="D793">
        <v>3000975</v>
      </c>
      <c r="E793" s="12">
        <v>3000978</v>
      </c>
      <c r="F793" s="12" t="s">
        <v>776</v>
      </c>
      <c r="G793" s="5" t="s">
        <v>776</v>
      </c>
      <c r="H793" s="5" t="s">
        <v>54</v>
      </c>
      <c r="I793" s="5">
        <v>6959523</v>
      </c>
      <c r="J793" s="11">
        <v>46127</v>
      </c>
      <c r="K793" s="11">
        <v>46127</v>
      </c>
      <c r="L793" s="11">
        <v>46127</v>
      </c>
      <c r="M793" s="5">
        <v>5</v>
      </c>
      <c r="N793" s="5">
        <v>-981000</v>
      </c>
      <c r="O793" s="5">
        <v>-981000</v>
      </c>
      <c r="P793" s="5">
        <v>0</v>
      </c>
      <c r="Q793" s="6">
        <v>-981000</v>
      </c>
      <c r="R793" s="6">
        <v>0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  <c r="Y793" s="7" t="s">
        <v>47</v>
      </c>
      <c r="Z793" s="7"/>
      <c r="AA793" s="7" t="s">
        <v>76</v>
      </c>
      <c r="AB793" s="7" t="s">
        <v>51</v>
      </c>
      <c r="AC793" s="7" t="s">
        <v>51</v>
      </c>
      <c r="AD793" s="7" t="s">
        <v>51</v>
      </c>
      <c r="AE793" s="5" t="s">
        <v>51</v>
      </c>
      <c r="AF793" s="6" t="s">
        <v>784</v>
      </c>
      <c r="AG793" s="5"/>
      <c r="AH793" s="5"/>
      <c r="AI793" s="5"/>
      <c r="AJ793" s="5"/>
      <c r="AK793" s="5"/>
      <c r="AL793" s="5"/>
      <c r="AU793" s="2"/>
    </row>
    <row r="794" spans="1:47" ht="15.65" customHeight="1" x14ac:dyDescent="0.35">
      <c r="A794" t="s">
        <v>774</v>
      </c>
      <c r="B794" t="s">
        <v>775</v>
      </c>
      <c r="C794" t="s">
        <v>47</v>
      </c>
      <c r="D794">
        <v>3000975</v>
      </c>
      <c r="E794" s="12">
        <v>3000978</v>
      </c>
      <c r="F794" s="12" t="s">
        <v>776</v>
      </c>
      <c r="G794" s="5" t="s">
        <v>776</v>
      </c>
      <c r="H794" s="5" t="s">
        <v>54</v>
      </c>
      <c r="I794" s="5">
        <v>6959524</v>
      </c>
      <c r="J794" s="11">
        <v>46127</v>
      </c>
      <c r="K794" s="11">
        <v>46127</v>
      </c>
      <c r="L794" s="11">
        <v>46127</v>
      </c>
      <c r="M794" s="5">
        <v>5</v>
      </c>
      <c r="N794" s="5">
        <v>-1962000</v>
      </c>
      <c r="O794" s="5">
        <v>-1962000</v>
      </c>
      <c r="P794" s="5">
        <v>0</v>
      </c>
      <c r="Q794" s="6">
        <v>-1962000</v>
      </c>
      <c r="R794" s="6">
        <v>0</v>
      </c>
      <c r="S794" s="7">
        <v>0</v>
      </c>
      <c r="T794" s="7">
        <v>0</v>
      </c>
      <c r="U794" s="7">
        <v>0</v>
      </c>
      <c r="V794" s="7">
        <v>0</v>
      </c>
      <c r="W794" s="7">
        <v>0</v>
      </c>
      <c r="X794" s="7">
        <v>0</v>
      </c>
      <c r="Y794" s="7" t="s">
        <v>47</v>
      </c>
      <c r="Z794" s="7"/>
      <c r="AA794" s="7" t="s">
        <v>76</v>
      </c>
      <c r="AB794" s="7" t="s">
        <v>51</v>
      </c>
      <c r="AC794" s="7" t="s">
        <v>51</v>
      </c>
      <c r="AD794" s="7" t="s">
        <v>51</v>
      </c>
      <c r="AE794" s="5" t="s">
        <v>51</v>
      </c>
      <c r="AF794" s="6" t="s">
        <v>784</v>
      </c>
      <c r="AG794" s="5"/>
      <c r="AH794" s="5"/>
      <c r="AI794" s="5"/>
      <c r="AJ794" s="5"/>
      <c r="AK794" s="5"/>
      <c r="AL794" s="5"/>
      <c r="AU794" s="2"/>
    </row>
    <row r="795" spans="1:47" ht="15.65" customHeight="1" x14ac:dyDescent="0.35">
      <c r="A795" t="s">
        <v>774</v>
      </c>
      <c r="B795" t="s">
        <v>775</v>
      </c>
      <c r="C795" t="s">
        <v>47</v>
      </c>
      <c r="D795">
        <v>3000975</v>
      </c>
      <c r="E795">
        <v>3000976</v>
      </c>
      <c r="F795" t="s">
        <v>776</v>
      </c>
      <c r="G795" s="5" t="s">
        <v>776</v>
      </c>
      <c r="H795" s="5" t="s">
        <v>54</v>
      </c>
      <c r="I795" s="5">
        <v>6960015</v>
      </c>
      <c r="J795" s="11">
        <v>46130</v>
      </c>
      <c r="K795" s="11">
        <v>46130</v>
      </c>
      <c r="L795" s="11">
        <v>46130</v>
      </c>
      <c r="M795" s="5">
        <v>2</v>
      </c>
      <c r="N795" s="5">
        <v>-28987121</v>
      </c>
      <c r="O795" s="5">
        <v>-28987121</v>
      </c>
      <c r="P795" s="5">
        <v>0</v>
      </c>
      <c r="Q795" s="6">
        <v>-28987121</v>
      </c>
      <c r="R795" s="6">
        <v>0</v>
      </c>
      <c r="S795" s="7">
        <v>0</v>
      </c>
      <c r="T795" s="7">
        <v>0</v>
      </c>
      <c r="U795" s="7">
        <v>0</v>
      </c>
      <c r="V795" s="7">
        <v>0</v>
      </c>
      <c r="W795" s="7">
        <v>0</v>
      </c>
      <c r="X795" s="7">
        <v>0</v>
      </c>
      <c r="Y795" s="7" t="s">
        <v>47</v>
      </c>
      <c r="Z795" s="7"/>
      <c r="AA795" s="7" t="s">
        <v>76</v>
      </c>
      <c r="AB795" s="7" t="s">
        <v>51</v>
      </c>
      <c r="AC795" s="7" t="s">
        <v>51</v>
      </c>
      <c r="AD795" s="7" t="s">
        <v>51</v>
      </c>
      <c r="AE795" s="5" t="s">
        <v>51</v>
      </c>
      <c r="AF795" s="6" t="s">
        <v>785</v>
      </c>
      <c r="AG795" s="5"/>
      <c r="AH795" s="5"/>
      <c r="AI795" s="5"/>
      <c r="AJ795" s="5"/>
      <c r="AK795" s="5"/>
      <c r="AL795" s="5"/>
      <c r="AU795" s="2"/>
    </row>
    <row r="796" spans="1:47" ht="15.65" customHeight="1" x14ac:dyDescent="0.35">
      <c r="A796" t="s">
        <v>774</v>
      </c>
      <c r="B796" t="s">
        <v>775</v>
      </c>
      <c r="C796" t="s">
        <v>47</v>
      </c>
      <c r="D796">
        <v>3000975</v>
      </c>
      <c r="E796" s="12">
        <v>3000976</v>
      </c>
      <c r="F796" s="12" t="s">
        <v>776</v>
      </c>
      <c r="G796" s="5" t="s">
        <v>776</v>
      </c>
      <c r="H796" s="5" t="s">
        <v>54</v>
      </c>
      <c r="I796" s="5">
        <v>6960016</v>
      </c>
      <c r="J796" s="11">
        <v>46130</v>
      </c>
      <c r="K796" s="11">
        <v>46130</v>
      </c>
      <c r="L796" s="11">
        <v>46130</v>
      </c>
      <c r="M796" s="5">
        <v>2</v>
      </c>
      <c r="N796" s="5">
        <v>-28411122</v>
      </c>
      <c r="O796" s="5">
        <v>-28411122</v>
      </c>
      <c r="P796" s="5">
        <v>0</v>
      </c>
      <c r="Q796" s="6">
        <v>-28411122</v>
      </c>
      <c r="R796" s="6">
        <v>0</v>
      </c>
      <c r="S796" s="7">
        <v>0</v>
      </c>
      <c r="T796" s="7">
        <v>0</v>
      </c>
      <c r="U796" s="7">
        <v>0</v>
      </c>
      <c r="V796" s="7">
        <v>0</v>
      </c>
      <c r="W796" s="7">
        <v>0</v>
      </c>
      <c r="X796" s="7">
        <v>0</v>
      </c>
      <c r="Y796" s="7" t="s">
        <v>47</v>
      </c>
      <c r="Z796" s="7"/>
      <c r="AA796" s="7" t="s">
        <v>76</v>
      </c>
      <c r="AB796" s="7" t="s">
        <v>51</v>
      </c>
      <c r="AC796" s="7" t="s">
        <v>51</v>
      </c>
      <c r="AD796" s="7" t="s">
        <v>51</v>
      </c>
      <c r="AE796" s="5" t="s">
        <v>51</v>
      </c>
      <c r="AF796" s="6" t="s">
        <v>786</v>
      </c>
      <c r="AG796" s="5"/>
      <c r="AH796" s="5"/>
      <c r="AI796" s="5"/>
      <c r="AJ796" s="5"/>
      <c r="AK796" s="5"/>
      <c r="AL796" s="5"/>
      <c r="AU796" s="2"/>
    </row>
    <row r="797" spans="1:47" ht="15.65" customHeight="1" x14ac:dyDescent="0.35">
      <c r="A797" t="s">
        <v>774</v>
      </c>
      <c r="B797" t="s">
        <v>775</v>
      </c>
      <c r="C797" t="s">
        <v>47</v>
      </c>
      <c r="D797">
        <v>3000975</v>
      </c>
      <c r="E797" s="12">
        <v>3000977</v>
      </c>
      <c r="F797" s="12" t="s">
        <v>776</v>
      </c>
      <c r="G797" s="5" t="s">
        <v>776</v>
      </c>
      <c r="H797" s="5" t="s">
        <v>54</v>
      </c>
      <c r="I797" s="5">
        <v>6960017</v>
      </c>
      <c r="J797" s="11">
        <v>46130</v>
      </c>
      <c r="K797" s="11">
        <v>46130</v>
      </c>
      <c r="L797" s="11">
        <v>46130</v>
      </c>
      <c r="M797" s="5">
        <v>2</v>
      </c>
      <c r="N797" s="5">
        <v>-15716127</v>
      </c>
      <c r="O797" s="5">
        <v>-15716127</v>
      </c>
      <c r="P797" s="5">
        <v>0</v>
      </c>
      <c r="Q797" s="6">
        <v>-15716127</v>
      </c>
      <c r="R797" s="6">
        <v>0</v>
      </c>
      <c r="S797" s="7">
        <v>0</v>
      </c>
      <c r="T797" s="7">
        <v>0</v>
      </c>
      <c r="U797" s="7">
        <v>0</v>
      </c>
      <c r="V797" s="7">
        <v>0</v>
      </c>
      <c r="W797" s="7">
        <v>0</v>
      </c>
      <c r="X797" s="7">
        <v>0</v>
      </c>
      <c r="Y797" s="7" t="s">
        <v>47</v>
      </c>
      <c r="Z797" s="7"/>
      <c r="AA797" s="7" t="s">
        <v>76</v>
      </c>
      <c r="AB797" s="7" t="s">
        <v>51</v>
      </c>
      <c r="AC797" s="7" t="s">
        <v>51</v>
      </c>
      <c r="AD797" s="7" t="s">
        <v>51</v>
      </c>
      <c r="AE797" s="5" t="s">
        <v>51</v>
      </c>
      <c r="AF797" s="6" t="s">
        <v>786</v>
      </c>
      <c r="AG797" s="5"/>
      <c r="AH797" s="5"/>
      <c r="AI797" s="5"/>
      <c r="AJ797" s="5"/>
      <c r="AK797" s="5"/>
      <c r="AL797" s="5"/>
      <c r="AU797" s="2"/>
    </row>
    <row r="798" spans="1:47" ht="15.65" customHeight="1" x14ac:dyDescent="0.35">
      <c r="A798" t="s">
        <v>774</v>
      </c>
      <c r="B798" t="s">
        <v>775</v>
      </c>
      <c r="C798" t="s">
        <v>47</v>
      </c>
      <c r="D798">
        <v>3000975</v>
      </c>
      <c r="E798" s="12">
        <v>3000978</v>
      </c>
      <c r="F798" s="12" t="s">
        <v>776</v>
      </c>
      <c r="G798" s="5" t="s">
        <v>776</v>
      </c>
      <c r="H798" s="5" t="s">
        <v>54</v>
      </c>
      <c r="I798" s="5">
        <v>6960018</v>
      </c>
      <c r="J798" s="11">
        <v>46130</v>
      </c>
      <c r="K798" s="11">
        <v>46130</v>
      </c>
      <c r="L798" s="11">
        <v>46130</v>
      </c>
      <c r="M798" s="5">
        <v>2</v>
      </c>
      <c r="N798" s="5">
        <v>-17940035</v>
      </c>
      <c r="O798" s="5">
        <v>-17940035</v>
      </c>
      <c r="P798" s="5">
        <v>0</v>
      </c>
      <c r="Q798" s="6">
        <v>-17940035</v>
      </c>
      <c r="R798" s="6">
        <v>0</v>
      </c>
      <c r="S798" s="7">
        <v>0</v>
      </c>
      <c r="T798" s="7">
        <v>0</v>
      </c>
      <c r="U798" s="7">
        <v>0</v>
      </c>
      <c r="V798" s="7">
        <v>0</v>
      </c>
      <c r="W798" s="7">
        <v>0</v>
      </c>
      <c r="X798" s="7">
        <v>0</v>
      </c>
      <c r="Y798" s="7" t="s">
        <v>47</v>
      </c>
      <c r="Z798" s="7"/>
      <c r="AA798" s="7" t="s">
        <v>76</v>
      </c>
      <c r="AB798" s="7" t="s">
        <v>51</v>
      </c>
      <c r="AC798" s="7" t="s">
        <v>51</v>
      </c>
      <c r="AD798" s="7" t="s">
        <v>51</v>
      </c>
      <c r="AE798" s="5" t="s">
        <v>51</v>
      </c>
      <c r="AF798" s="6" t="s">
        <v>786</v>
      </c>
      <c r="AG798" s="5"/>
      <c r="AH798" s="5"/>
      <c r="AI798" s="5"/>
      <c r="AJ798" s="5"/>
      <c r="AK798" s="5"/>
      <c r="AL798" s="5"/>
      <c r="AU798" s="2"/>
    </row>
    <row r="799" spans="1:47" ht="15.65" customHeight="1" x14ac:dyDescent="0.35">
      <c r="A799" t="s">
        <v>774</v>
      </c>
      <c r="B799" t="s">
        <v>775</v>
      </c>
      <c r="C799" t="s">
        <v>47</v>
      </c>
      <c r="D799">
        <v>3000975</v>
      </c>
      <c r="E799" s="12">
        <v>3000979</v>
      </c>
      <c r="F799" s="12" t="s">
        <v>776</v>
      </c>
      <c r="G799" s="5" t="s">
        <v>776</v>
      </c>
      <c r="H799" s="5" t="s">
        <v>54</v>
      </c>
      <c r="I799" s="5">
        <v>6960226</v>
      </c>
      <c r="J799" s="11">
        <v>46130</v>
      </c>
      <c r="K799" s="11">
        <v>46130</v>
      </c>
      <c r="L799" s="11">
        <v>46130</v>
      </c>
      <c r="M799" s="5">
        <v>2</v>
      </c>
      <c r="N799" s="5">
        <v>-333605</v>
      </c>
      <c r="O799" s="5">
        <v>-333605</v>
      </c>
      <c r="P799" s="5">
        <v>0</v>
      </c>
      <c r="Q799" s="6">
        <v>-333605</v>
      </c>
      <c r="R799" s="6">
        <v>0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 t="s">
        <v>47</v>
      </c>
      <c r="Z799" s="7"/>
      <c r="AA799" s="7" t="s">
        <v>76</v>
      </c>
      <c r="AB799" s="7" t="s">
        <v>51</v>
      </c>
      <c r="AC799" s="7" t="s">
        <v>51</v>
      </c>
      <c r="AD799" s="7" t="s">
        <v>51</v>
      </c>
      <c r="AE799" s="5" t="s">
        <v>51</v>
      </c>
      <c r="AF799" s="6" t="s">
        <v>779</v>
      </c>
      <c r="AG799" s="5"/>
      <c r="AH799" s="5"/>
      <c r="AI799" s="5"/>
      <c r="AJ799" s="5"/>
      <c r="AK799" s="5"/>
      <c r="AL799" s="5"/>
      <c r="AU799" s="2"/>
    </row>
    <row r="800" spans="1:47" ht="15.65" customHeight="1" x14ac:dyDescent="0.35">
      <c r="A800" t="s">
        <v>774</v>
      </c>
      <c r="B800" t="s">
        <v>775</v>
      </c>
      <c r="C800" t="s">
        <v>47</v>
      </c>
      <c r="D800">
        <v>3000975</v>
      </c>
      <c r="E800">
        <v>3000976</v>
      </c>
      <c r="F800" t="s">
        <v>776</v>
      </c>
      <c r="G800" s="5" t="s">
        <v>776</v>
      </c>
      <c r="H800" s="5" t="s">
        <v>54</v>
      </c>
      <c r="I800" s="5">
        <v>6960247</v>
      </c>
      <c r="J800" s="11">
        <v>46130</v>
      </c>
      <c r="K800" s="11">
        <v>46130</v>
      </c>
      <c r="L800" s="11">
        <v>46130</v>
      </c>
      <c r="M800" s="5">
        <v>2</v>
      </c>
      <c r="N800" s="5">
        <v>-2383333</v>
      </c>
      <c r="O800" s="5">
        <v>-2383333</v>
      </c>
      <c r="P800" s="5">
        <v>0</v>
      </c>
      <c r="Q800" s="6">
        <v>-2383333</v>
      </c>
      <c r="R800" s="6">
        <v>0</v>
      </c>
      <c r="S800" s="7">
        <v>0</v>
      </c>
      <c r="T800" s="7">
        <v>0</v>
      </c>
      <c r="U800" s="7">
        <v>0</v>
      </c>
      <c r="V800" s="7">
        <v>0</v>
      </c>
      <c r="W800" s="7">
        <v>0</v>
      </c>
      <c r="X800" s="7">
        <v>0</v>
      </c>
      <c r="Y800" s="7" t="s">
        <v>47</v>
      </c>
      <c r="Z800" s="7"/>
      <c r="AA800" s="7" t="s">
        <v>76</v>
      </c>
      <c r="AB800" s="7" t="s">
        <v>51</v>
      </c>
      <c r="AC800" s="7" t="s">
        <v>51</v>
      </c>
      <c r="AD800" s="7" t="s">
        <v>51</v>
      </c>
      <c r="AE800" s="5" t="s">
        <v>51</v>
      </c>
      <c r="AF800" s="6" t="s">
        <v>779</v>
      </c>
      <c r="AG800" s="5"/>
      <c r="AH800" s="5"/>
      <c r="AI800" s="5"/>
      <c r="AJ800" s="5"/>
      <c r="AK800" s="5"/>
      <c r="AL800" s="5"/>
      <c r="AU800" s="2"/>
    </row>
    <row r="801" spans="1:47" ht="15.65" customHeight="1" x14ac:dyDescent="0.35">
      <c r="A801" t="s">
        <v>774</v>
      </c>
      <c r="B801" t="s">
        <v>775</v>
      </c>
      <c r="C801" t="s">
        <v>47</v>
      </c>
      <c r="D801">
        <v>3000975</v>
      </c>
      <c r="E801" s="12">
        <v>3000977</v>
      </c>
      <c r="F801" s="12" t="s">
        <v>776</v>
      </c>
      <c r="G801" s="5" t="s">
        <v>776</v>
      </c>
      <c r="H801" s="5" t="s">
        <v>54</v>
      </c>
      <c r="I801" s="5">
        <v>6960248</v>
      </c>
      <c r="J801" s="11">
        <v>46130</v>
      </c>
      <c r="K801" s="11">
        <v>46130</v>
      </c>
      <c r="L801" s="11">
        <v>46130</v>
      </c>
      <c r="M801" s="5">
        <v>2</v>
      </c>
      <c r="N801" s="5">
        <v>-1646551</v>
      </c>
      <c r="O801" s="5">
        <v>-1646551</v>
      </c>
      <c r="P801" s="5">
        <v>0</v>
      </c>
      <c r="Q801" s="6">
        <v>-1646551</v>
      </c>
      <c r="R801" s="6">
        <v>0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7" t="s">
        <v>47</v>
      </c>
      <c r="Z801" s="7"/>
      <c r="AA801" s="7" t="s">
        <v>76</v>
      </c>
      <c r="AB801" s="7" t="s">
        <v>51</v>
      </c>
      <c r="AC801" s="7" t="s">
        <v>51</v>
      </c>
      <c r="AD801" s="7" t="s">
        <v>51</v>
      </c>
      <c r="AE801" s="5" t="s">
        <v>51</v>
      </c>
      <c r="AF801" s="6" t="s">
        <v>779</v>
      </c>
      <c r="AG801" s="5"/>
      <c r="AH801" s="5"/>
      <c r="AI801" s="5"/>
      <c r="AJ801" s="5"/>
      <c r="AK801" s="5"/>
      <c r="AL801" s="5"/>
      <c r="AU801" s="2"/>
    </row>
    <row r="802" spans="1:47" ht="15.65" customHeight="1" x14ac:dyDescent="0.35">
      <c r="A802" t="s">
        <v>774</v>
      </c>
      <c r="B802" t="s">
        <v>775</v>
      </c>
      <c r="C802" t="s">
        <v>47</v>
      </c>
      <c r="D802">
        <v>3000975</v>
      </c>
      <c r="E802" s="12">
        <v>3000977</v>
      </c>
      <c r="F802" s="12" t="s">
        <v>776</v>
      </c>
      <c r="G802" s="5" t="s">
        <v>776</v>
      </c>
      <c r="H802" s="5" t="s">
        <v>54</v>
      </c>
      <c r="I802" s="5">
        <v>6960249</v>
      </c>
      <c r="J802" s="11">
        <v>46130</v>
      </c>
      <c r="K802" s="11">
        <v>46130</v>
      </c>
      <c r="L802" s="11">
        <v>46130</v>
      </c>
      <c r="M802" s="5">
        <v>2</v>
      </c>
      <c r="N802" s="5">
        <v>-757704</v>
      </c>
      <c r="O802" s="5">
        <v>-757704</v>
      </c>
      <c r="P802" s="5">
        <v>0</v>
      </c>
      <c r="Q802" s="6">
        <v>-757704</v>
      </c>
      <c r="R802" s="6">
        <v>0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7" t="s">
        <v>47</v>
      </c>
      <c r="Z802" s="7"/>
      <c r="AA802" s="7" t="s">
        <v>76</v>
      </c>
      <c r="AB802" s="7" t="s">
        <v>51</v>
      </c>
      <c r="AC802" s="7" t="s">
        <v>51</v>
      </c>
      <c r="AD802" s="7" t="s">
        <v>51</v>
      </c>
      <c r="AE802" s="5" t="s">
        <v>51</v>
      </c>
      <c r="AF802" s="6" t="s">
        <v>779</v>
      </c>
      <c r="AG802" s="5"/>
      <c r="AH802" s="5"/>
      <c r="AI802" s="5"/>
      <c r="AJ802" s="5"/>
      <c r="AK802" s="5"/>
      <c r="AL802" s="5"/>
      <c r="AU802" s="2"/>
    </row>
    <row r="803" spans="1:47" ht="15.65" customHeight="1" x14ac:dyDescent="0.35">
      <c r="A803" t="s">
        <v>774</v>
      </c>
      <c r="B803" t="s">
        <v>775</v>
      </c>
      <c r="C803" t="s">
        <v>47</v>
      </c>
      <c r="D803">
        <v>3000975</v>
      </c>
      <c r="E803" s="12">
        <v>3000979</v>
      </c>
      <c r="F803" s="12" t="s">
        <v>776</v>
      </c>
      <c r="G803" s="5" t="s">
        <v>776</v>
      </c>
      <c r="H803" s="5" t="s">
        <v>54</v>
      </c>
      <c r="I803" s="5">
        <v>6960250</v>
      </c>
      <c r="J803" s="11">
        <v>46130</v>
      </c>
      <c r="K803" s="11">
        <v>46130</v>
      </c>
      <c r="L803" s="11">
        <v>46130</v>
      </c>
      <c r="M803" s="5">
        <v>2</v>
      </c>
      <c r="N803" s="5">
        <v>-892065</v>
      </c>
      <c r="O803" s="5">
        <v>-892065</v>
      </c>
      <c r="P803" s="5">
        <v>0</v>
      </c>
      <c r="Q803" s="6">
        <v>-892065</v>
      </c>
      <c r="R803" s="6">
        <v>0</v>
      </c>
      <c r="S803" s="7">
        <v>0</v>
      </c>
      <c r="T803" s="7">
        <v>0</v>
      </c>
      <c r="U803" s="7">
        <v>0</v>
      </c>
      <c r="V803" s="7">
        <v>0</v>
      </c>
      <c r="W803" s="7">
        <v>0</v>
      </c>
      <c r="X803" s="7">
        <v>0</v>
      </c>
      <c r="Y803" s="7" t="s">
        <v>47</v>
      </c>
      <c r="Z803" s="7"/>
      <c r="AA803" s="7" t="s">
        <v>76</v>
      </c>
      <c r="AB803" s="7" t="s">
        <v>51</v>
      </c>
      <c r="AC803" s="7" t="s">
        <v>51</v>
      </c>
      <c r="AD803" s="7" t="s">
        <v>51</v>
      </c>
      <c r="AE803" s="5" t="s">
        <v>51</v>
      </c>
      <c r="AF803" s="6" t="s">
        <v>779</v>
      </c>
      <c r="AG803" s="5"/>
      <c r="AH803" s="5"/>
      <c r="AI803" s="5"/>
      <c r="AJ803" s="5"/>
      <c r="AK803" s="5"/>
      <c r="AL803" s="5"/>
      <c r="AU803" s="2"/>
    </row>
    <row r="804" spans="1:47" ht="15.65" customHeight="1" x14ac:dyDescent="0.35">
      <c r="A804" t="s">
        <v>774</v>
      </c>
      <c r="B804" t="s">
        <v>775</v>
      </c>
      <c r="C804" t="s">
        <v>47</v>
      </c>
      <c r="D804">
        <v>3000975</v>
      </c>
      <c r="E804" s="12">
        <v>3000979</v>
      </c>
      <c r="F804" s="12" t="s">
        <v>776</v>
      </c>
      <c r="G804" s="5" t="s">
        <v>776</v>
      </c>
      <c r="H804" s="5" t="s">
        <v>54</v>
      </c>
      <c r="I804" s="5">
        <v>6960251</v>
      </c>
      <c r="J804" s="11">
        <v>46130</v>
      </c>
      <c r="K804" s="11">
        <v>46130</v>
      </c>
      <c r="L804" s="11">
        <v>46130</v>
      </c>
      <c r="M804" s="5">
        <v>2</v>
      </c>
      <c r="N804" s="5">
        <v>-1028060</v>
      </c>
      <c r="O804" s="5">
        <v>-1028060</v>
      </c>
      <c r="P804" s="5">
        <v>0</v>
      </c>
      <c r="Q804" s="6">
        <v>-1028060</v>
      </c>
      <c r="R804" s="6">
        <v>0</v>
      </c>
      <c r="S804" s="7">
        <v>0</v>
      </c>
      <c r="T804" s="7">
        <v>0</v>
      </c>
      <c r="U804" s="7">
        <v>0</v>
      </c>
      <c r="V804" s="7">
        <v>0</v>
      </c>
      <c r="W804" s="7">
        <v>0</v>
      </c>
      <c r="X804" s="7">
        <v>0</v>
      </c>
      <c r="Y804" s="7" t="s">
        <v>47</v>
      </c>
      <c r="Z804" s="7"/>
      <c r="AA804" s="7" t="s">
        <v>76</v>
      </c>
      <c r="AB804" s="7" t="s">
        <v>51</v>
      </c>
      <c r="AC804" s="7" t="s">
        <v>51</v>
      </c>
      <c r="AD804" s="7" t="s">
        <v>51</v>
      </c>
      <c r="AE804" s="5" t="s">
        <v>51</v>
      </c>
      <c r="AF804" s="6" t="s">
        <v>779</v>
      </c>
      <c r="AG804" s="5"/>
      <c r="AH804" s="5"/>
      <c r="AI804" s="5"/>
      <c r="AJ804" s="5"/>
      <c r="AK804" s="5"/>
      <c r="AL804" s="5"/>
      <c r="AU804" s="2"/>
    </row>
    <row r="805" spans="1:47" ht="15.65" customHeight="1" x14ac:dyDescent="0.35">
      <c r="A805" t="s">
        <v>774</v>
      </c>
      <c r="B805" t="s">
        <v>775</v>
      </c>
      <c r="C805" t="s">
        <v>47</v>
      </c>
      <c r="D805">
        <v>3000975</v>
      </c>
      <c r="E805" s="12">
        <v>3000979</v>
      </c>
      <c r="F805" s="12" t="s">
        <v>776</v>
      </c>
      <c r="G805" s="5" t="s">
        <v>776</v>
      </c>
      <c r="H805" s="5" t="s">
        <v>54</v>
      </c>
      <c r="I805" s="5">
        <v>6960285</v>
      </c>
      <c r="J805" s="11">
        <v>46130</v>
      </c>
      <c r="K805" s="11">
        <v>46130</v>
      </c>
      <c r="L805" s="11">
        <v>46130</v>
      </c>
      <c r="M805" s="5">
        <v>2</v>
      </c>
      <c r="N805" s="5">
        <v>-549286</v>
      </c>
      <c r="O805" s="5">
        <v>-549286</v>
      </c>
      <c r="P805" s="5">
        <v>0</v>
      </c>
      <c r="Q805" s="6">
        <v>-549286</v>
      </c>
      <c r="R805" s="6">
        <v>0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  <c r="X805" s="7">
        <v>0</v>
      </c>
      <c r="Y805" s="7" t="s">
        <v>47</v>
      </c>
      <c r="Z805" s="7"/>
      <c r="AA805" s="7" t="s">
        <v>76</v>
      </c>
      <c r="AB805" s="7" t="s">
        <v>51</v>
      </c>
      <c r="AC805" s="7" t="s">
        <v>51</v>
      </c>
      <c r="AD805" s="7" t="s">
        <v>51</v>
      </c>
      <c r="AE805" s="5" t="s">
        <v>51</v>
      </c>
      <c r="AF805" s="6" t="s">
        <v>779</v>
      </c>
      <c r="AG805" s="5"/>
      <c r="AH805" s="5"/>
      <c r="AI805" s="5"/>
      <c r="AJ805" s="5"/>
      <c r="AK805" s="5"/>
      <c r="AL805" s="5"/>
      <c r="AU805" s="2"/>
    </row>
    <row r="806" spans="1:47" ht="15.65" customHeight="1" x14ac:dyDescent="0.35">
      <c r="A806" t="s">
        <v>774</v>
      </c>
      <c r="B806" t="s">
        <v>775</v>
      </c>
      <c r="C806" t="s">
        <v>47</v>
      </c>
      <c r="D806">
        <v>3000975</v>
      </c>
      <c r="E806">
        <v>3000979</v>
      </c>
      <c r="F806" t="s">
        <v>776</v>
      </c>
      <c r="G806" s="5" t="s">
        <v>776</v>
      </c>
      <c r="H806" s="5" t="s">
        <v>54</v>
      </c>
      <c r="I806" s="5">
        <v>6960286</v>
      </c>
      <c r="J806" s="11">
        <v>46130</v>
      </c>
      <c r="K806" s="11">
        <v>46130</v>
      </c>
      <c r="L806" s="11">
        <v>46130</v>
      </c>
      <c r="M806" s="5">
        <v>2</v>
      </c>
      <c r="N806" s="5">
        <v>-808571</v>
      </c>
      <c r="O806" s="5">
        <v>-808571</v>
      </c>
      <c r="P806" s="5">
        <v>0</v>
      </c>
      <c r="Q806" s="6">
        <v>-808571</v>
      </c>
      <c r="R806" s="6">
        <v>0</v>
      </c>
      <c r="S806" s="7">
        <v>0</v>
      </c>
      <c r="T806" s="7">
        <v>0</v>
      </c>
      <c r="U806" s="7">
        <v>0</v>
      </c>
      <c r="V806" s="7">
        <v>0</v>
      </c>
      <c r="W806" s="7">
        <v>0</v>
      </c>
      <c r="X806" s="7">
        <v>0</v>
      </c>
      <c r="Y806" s="7" t="s">
        <v>47</v>
      </c>
      <c r="Z806" s="7"/>
      <c r="AA806" s="7" t="s">
        <v>76</v>
      </c>
      <c r="AB806" s="7" t="s">
        <v>51</v>
      </c>
      <c r="AC806" s="7" t="s">
        <v>51</v>
      </c>
      <c r="AD806" s="7" t="s">
        <v>51</v>
      </c>
      <c r="AE806" s="5" t="s">
        <v>51</v>
      </c>
      <c r="AF806" s="6" t="s">
        <v>779</v>
      </c>
      <c r="AG806" s="5"/>
      <c r="AH806" s="5"/>
      <c r="AI806" s="5"/>
      <c r="AJ806" s="5"/>
      <c r="AK806" s="5"/>
      <c r="AL806" s="5"/>
      <c r="AU806" s="2"/>
    </row>
    <row r="807" spans="1:47" ht="15.65" customHeight="1" x14ac:dyDescent="0.35">
      <c r="A807" t="s">
        <v>774</v>
      </c>
      <c r="B807" t="s">
        <v>775</v>
      </c>
      <c r="C807" t="s">
        <v>47</v>
      </c>
      <c r="D807">
        <v>3000975</v>
      </c>
      <c r="E807" s="12">
        <v>3000979</v>
      </c>
      <c r="F807" s="12" t="s">
        <v>776</v>
      </c>
      <c r="G807" s="5" t="s">
        <v>776</v>
      </c>
      <c r="H807" s="5" t="s">
        <v>54</v>
      </c>
      <c r="I807" s="5">
        <v>6960287</v>
      </c>
      <c r="J807" s="11">
        <v>46130</v>
      </c>
      <c r="K807" s="11">
        <v>46130</v>
      </c>
      <c r="L807" s="11">
        <v>46130</v>
      </c>
      <c r="M807" s="5">
        <v>2</v>
      </c>
      <c r="N807" s="5">
        <v>-935000</v>
      </c>
      <c r="O807" s="5">
        <v>-935000</v>
      </c>
      <c r="P807" s="5">
        <v>0</v>
      </c>
      <c r="Q807" s="6">
        <v>-935000</v>
      </c>
      <c r="R807" s="6">
        <v>0</v>
      </c>
      <c r="S807" s="7">
        <v>0</v>
      </c>
      <c r="T807" s="7">
        <v>0</v>
      </c>
      <c r="U807" s="7">
        <v>0</v>
      </c>
      <c r="V807" s="7">
        <v>0</v>
      </c>
      <c r="W807" s="7">
        <v>0</v>
      </c>
      <c r="X807" s="7">
        <v>0</v>
      </c>
      <c r="Y807" s="7" t="s">
        <v>47</v>
      </c>
      <c r="Z807" s="7"/>
      <c r="AA807" s="7" t="s">
        <v>76</v>
      </c>
      <c r="AB807" s="7" t="s">
        <v>51</v>
      </c>
      <c r="AC807" s="7" t="s">
        <v>51</v>
      </c>
      <c r="AD807" s="7" t="s">
        <v>51</v>
      </c>
      <c r="AE807" s="5" t="s">
        <v>51</v>
      </c>
      <c r="AF807" s="6" t="s">
        <v>779</v>
      </c>
      <c r="AG807" s="5"/>
      <c r="AH807" s="5"/>
      <c r="AI807" s="5"/>
      <c r="AJ807" s="5"/>
      <c r="AK807" s="5"/>
      <c r="AL807" s="5"/>
      <c r="AU807" s="2"/>
    </row>
    <row r="808" spans="1:47" ht="14.5" customHeight="1" x14ac:dyDescent="0.35">
      <c r="A808" t="s">
        <v>774</v>
      </c>
      <c r="B808" t="s">
        <v>775</v>
      </c>
      <c r="C808" t="s">
        <v>47</v>
      </c>
      <c r="D808">
        <v>3000975</v>
      </c>
      <c r="E808" s="12">
        <v>3000979</v>
      </c>
      <c r="F808" s="12" t="s">
        <v>776</v>
      </c>
      <c r="G808" t="s">
        <v>776</v>
      </c>
      <c r="H808" t="s">
        <v>54</v>
      </c>
      <c r="I808">
        <v>6960288</v>
      </c>
      <c r="J808" s="12">
        <v>46130</v>
      </c>
      <c r="K808" s="12">
        <v>46130</v>
      </c>
      <c r="L808" s="12">
        <v>46130</v>
      </c>
      <c r="M808">
        <v>2</v>
      </c>
      <c r="N808">
        <v>-5597247</v>
      </c>
      <c r="O808">
        <v>-5597247</v>
      </c>
      <c r="P808">
        <v>0</v>
      </c>
      <c r="Q808">
        <v>-5597247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 t="s">
        <v>47</v>
      </c>
      <c r="AA808" t="s">
        <v>76</v>
      </c>
      <c r="AB808" t="s">
        <v>51</v>
      </c>
      <c r="AC808" t="s">
        <v>51</v>
      </c>
      <c r="AD808" t="s">
        <v>51</v>
      </c>
      <c r="AE808" t="s">
        <v>51</v>
      </c>
      <c r="AF808" t="s">
        <v>779</v>
      </c>
    </row>
    <row r="809" spans="1:47" ht="14.5" customHeight="1" x14ac:dyDescent="0.35">
      <c r="A809" t="s">
        <v>774</v>
      </c>
      <c r="B809" t="s">
        <v>775</v>
      </c>
      <c r="C809" t="s">
        <v>47</v>
      </c>
      <c r="D809">
        <v>3000975</v>
      </c>
      <c r="E809" s="12">
        <v>3000979</v>
      </c>
      <c r="F809" s="12" t="s">
        <v>776</v>
      </c>
      <c r="G809" t="s">
        <v>776</v>
      </c>
      <c r="H809" t="s">
        <v>54</v>
      </c>
      <c r="I809">
        <v>6960289</v>
      </c>
      <c r="J809" s="12">
        <v>46130</v>
      </c>
      <c r="K809" s="12">
        <v>46130</v>
      </c>
      <c r="L809" s="12">
        <v>46130</v>
      </c>
      <c r="M809">
        <v>2</v>
      </c>
      <c r="N809">
        <v>-251955</v>
      </c>
      <c r="O809">
        <v>-251955</v>
      </c>
      <c r="P809">
        <v>0</v>
      </c>
      <c r="Q809">
        <v>-251955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 t="s">
        <v>47</v>
      </c>
      <c r="AA809" t="s">
        <v>76</v>
      </c>
      <c r="AB809" t="s">
        <v>51</v>
      </c>
      <c r="AC809" t="s">
        <v>51</v>
      </c>
      <c r="AD809" t="s">
        <v>51</v>
      </c>
      <c r="AE809" t="s">
        <v>51</v>
      </c>
      <c r="AF809" t="s">
        <v>779</v>
      </c>
    </row>
    <row r="810" spans="1:47" ht="14.5" customHeight="1" x14ac:dyDescent="0.35">
      <c r="A810" t="s">
        <v>774</v>
      </c>
      <c r="B810" t="s">
        <v>775</v>
      </c>
      <c r="C810" t="s">
        <v>47</v>
      </c>
      <c r="D810">
        <v>3000975</v>
      </c>
      <c r="E810" s="12">
        <v>3000978</v>
      </c>
      <c r="F810" s="12" t="s">
        <v>776</v>
      </c>
      <c r="G810" t="s">
        <v>776</v>
      </c>
      <c r="H810" t="s">
        <v>54</v>
      </c>
      <c r="I810">
        <v>9910619</v>
      </c>
      <c r="J810" s="12">
        <v>46081</v>
      </c>
      <c r="K810" s="12">
        <v>46081</v>
      </c>
      <c r="L810" s="12">
        <v>46117</v>
      </c>
      <c r="M810">
        <v>15</v>
      </c>
      <c r="N810">
        <v>127627138</v>
      </c>
      <c r="O810">
        <v>0</v>
      </c>
      <c r="P810">
        <v>0</v>
      </c>
      <c r="Q810">
        <v>127627138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 t="s">
        <v>47</v>
      </c>
      <c r="AA810" t="s">
        <v>76</v>
      </c>
      <c r="AB810" t="s">
        <v>51</v>
      </c>
      <c r="AC810" t="s">
        <v>51</v>
      </c>
      <c r="AD810" t="s">
        <v>51</v>
      </c>
      <c r="AE810" t="s">
        <v>51</v>
      </c>
      <c r="AF810" t="s">
        <v>787</v>
      </c>
    </row>
    <row r="811" spans="1:47" ht="14.5" customHeight="1" x14ac:dyDescent="0.35">
      <c r="A811" t="s">
        <v>774</v>
      </c>
      <c r="B811" t="s">
        <v>775</v>
      </c>
      <c r="C811" t="s">
        <v>47</v>
      </c>
      <c r="D811">
        <v>3000975</v>
      </c>
      <c r="E811" s="12">
        <v>3000976</v>
      </c>
      <c r="F811" s="12" t="s">
        <v>776</v>
      </c>
      <c r="G811" t="s">
        <v>776</v>
      </c>
      <c r="H811" t="s">
        <v>54</v>
      </c>
      <c r="I811">
        <v>9910688</v>
      </c>
      <c r="J811" s="12">
        <v>46081</v>
      </c>
      <c r="K811" s="12">
        <v>46081</v>
      </c>
      <c r="L811" s="12">
        <v>46117</v>
      </c>
      <c r="M811">
        <v>15</v>
      </c>
      <c r="N811">
        <v>115840524</v>
      </c>
      <c r="O811">
        <v>0</v>
      </c>
      <c r="P811">
        <v>0</v>
      </c>
      <c r="Q811">
        <v>115840524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 t="s">
        <v>47</v>
      </c>
      <c r="AA811" t="s">
        <v>76</v>
      </c>
      <c r="AB811" t="s">
        <v>51</v>
      </c>
      <c r="AC811" t="s">
        <v>51</v>
      </c>
      <c r="AD811" t="s">
        <v>51</v>
      </c>
      <c r="AE811" t="s">
        <v>51</v>
      </c>
      <c r="AF811" t="s">
        <v>788</v>
      </c>
    </row>
    <row r="812" spans="1:47" ht="14.5" customHeight="1" x14ac:dyDescent="0.35">
      <c r="A812" t="s">
        <v>774</v>
      </c>
      <c r="B812" t="s">
        <v>775</v>
      </c>
      <c r="C812" t="s">
        <v>47</v>
      </c>
      <c r="D812">
        <v>3000975</v>
      </c>
      <c r="E812" s="12">
        <v>3000976</v>
      </c>
      <c r="F812" s="12" t="s">
        <v>776</v>
      </c>
      <c r="G812" t="s">
        <v>776</v>
      </c>
      <c r="H812" t="s">
        <v>54</v>
      </c>
      <c r="I812">
        <v>9917513</v>
      </c>
      <c r="J812" s="12">
        <v>46107</v>
      </c>
      <c r="K812" s="12">
        <v>46107</v>
      </c>
      <c r="L812" s="12">
        <v>46143</v>
      </c>
      <c r="M812">
        <v>-11</v>
      </c>
      <c r="N812">
        <v>637006529</v>
      </c>
      <c r="O812">
        <v>0</v>
      </c>
      <c r="P812">
        <v>637006529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 t="s">
        <v>47</v>
      </c>
      <c r="AA812" t="s">
        <v>76</v>
      </c>
      <c r="AB812" t="s">
        <v>51</v>
      </c>
      <c r="AC812" t="s">
        <v>51</v>
      </c>
      <c r="AD812" t="s">
        <v>789</v>
      </c>
      <c r="AE812" t="s">
        <v>51</v>
      </c>
      <c r="AF812" t="s">
        <v>287</v>
      </c>
    </row>
    <row r="813" spans="1:47" ht="14.5" customHeight="1" x14ac:dyDescent="0.35">
      <c r="A813" t="s">
        <v>774</v>
      </c>
      <c r="B813" t="s">
        <v>775</v>
      </c>
      <c r="C813" t="s">
        <v>47</v>
      </c>
      <c r="D813">
        <v>3000975</v>
      </c>
      <c r="E813">
        <v>3000978</v>
      </c>
      <c r="F813" t="s">
        <v>776</v>
      </c>
      <c r="G813" t="s">
        <v>776</v>
      </c>
      <c r="H813" t="s">
        <v>54</v>
      </c>
      <c r="I813">
        <v>9917593</v>
      </c>
      <c r="J813" s="12">
        <v>46107</v>
      </c>
      <c r="K813" s="12">
        <v>46107</v>
      </c>
      <c r="L813" s="12">
        <v>46143</v>
      </c>
      <c r="M813">
        <v>-11</v>
      </c>
      <c r="N813">
        <v>222294749</v>
      </c>
      <c r="O813">
        <v>0</v>
      </c>
      <c r="P813">
        <v>222294749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 t="s">
        <v>47</v>
      </c>
      <c r="AA813" t="s">
        <v>76</v>
      </c>
      <c r="AB813" t="s">
        <v>51</v>
      </c>
      <c r="AC813" t="s">
        <v>51</v>
      </c>
      <c r="AD813" t="s">
        <v>790</v>
      </c>
      <c r="AE813" t="s">
        <v>51</v>
      </c>
      <c r="AF813" t="s">
        <v>791</v>
      </c>
    </row>
    <row r="814" spans="1:47" ht="14.5" customHeight="1" x14ac:dyDescent="0.35">
      <c r="A814" t="s">
        <v>774</v>
      </c>
      <c r="B814" t="s">
        <v>775</v>
      </c>
      <c r="C814" t="s">
        <v>47</v>
      </c>
      <c r="D814">
        <v>3000975</v>
      </c>
      <c r="E814">
        <v>3000979</v>
      </c>
      <c r="F814" t="s">
        <v>776</v>
      </c>
      <c r="G814" t="s">
        <v>776</v>
      </c>
      <c r="H814" t="s">
        <v>54</v>
      </c>
      <c r="I814">
        <v>9918618</v>
      </c>
      <c r="J814" s="12">
        <v>46108</v>
      </c>
      <c r="K814" s="12">
        <v>46108</v>
      </c>
      <c r="L814" s="12">
        <v>46144</v>
      </c>
      <c r="M814">
        <v>-12</v>
      </c>
      <c r="N814">
        <v>209082242</v>
      </c>
      <c r="O814">
        <v>0</v>
      </c>
      <c r="P814">
        <v>209082242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 t="s">
        <v>47</v>
      </c>
      <c r="AA814" t="s">
        <v>76</v>
      </c>
      <c r="AB814" t="s">
        <v>51</v>
      </c>
      <c r="AC814" t="s">
        <v>51</v>
      </c>
      <c r="AD814" t="s">
        <v>792</v>
      </c>
      <c r="AE814" t="s">
        <v>51</v>
      </c>
      <c r="AF814" t="s">
        <v>352</v>
      </c>
    </row>
    <row r="815" spans="1:47" ht="14.5" customHeight="1" x14ac:dyDescent="0.35">
      <c r="A815" t="s">
        <v>774</v>
      </c>
      <c r="B815" t="s">
        <v>775</v>
      </c>
      <c r="C815" t="s">
        <v>47</v>
      </c>
      <c r="D815">
        <v>3000975</v>
      </c>
      <c r="E815">
        <v>3000977</v>
      </c>
      <c r="F815" t="s">
        <v>776</v>
      </c>
      <c r="G815" t="s">
        <v>776</v>
      </c>
      <c r="H815" t="s">
        <v>54</v>
      </c>
      <c r="I815">
        <v>9918620</v>
      </c>
      <c r="J815" s="12">
        <v>46108</v>
      </c>
      <c r="K815" s="12">
        <v>46108</v>
      </c>
      <c r="L815" s="12">
        <v>46144</v>
      </c>
      <c r="M815">
        <v>-12</v>
      </c>
      <c r="N815">
        <v>327776296</v>
      </c>
      <c r="O815">
        <v>0</v>
      </c>
      <c r="P815">
        <v>327776296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 t="s">
        <v>47</v>
      </c>
      <c r="AA815" t="s">
        <v>76</v>
      </c>
      <c r="AB815" t="s">
        <v>51</v>
      </c>
      <c r="AC815" t="s">
        <v>51</v>
      </c>
      <c r="AD815" t="s">
        <v>793</v>
      </c>
      <c r="AE815" t="s">
        <v>51</v>
      </c>
      <c r="AF815" t="s">
        <v>794</v>
      </c>
    </row>
    <row r="816" spans="1:47" ht="14.5" customHeight="1" x14ac:dyDescent="0.35">
      <c r="A816" t="s">
        <v>774</v>
      </c>
      <c r="B816" t="s">
        <v>775</v>
      </c>
      <c r="C816" t="s">
        <v>47</v>
      </c>
      <c r="D816">
        <v>3000975</v>
      </c>
      <c r="E816">
        <v>3000977</v>
      </c>
      <c r="F816" t="s">
        <v>776</v>
      </c>
      <c r="G816" t="s">
        <v>776</v>
      </c>
      <c r="H816" t="s">
        <v>54</v>
      </c>
      <c r="I816">
        <v>9918623</v>
      </c>
      <c r="J816" s="12">
        <v>46108</v>
      </c>
      <c r="K816" s="12">
        <v>46108</v>
      </c>
      <c r="L816" s="12">
        <v>46144</v>
      </c>
      <c r="M816">
        <v>-12</v>
      </c>
      <c r="N816">
        <v>1111980</v>
      </c>
      <c r="O816">
        <v>0</v>
      </c>
      <c r="P816">
        <v>1111980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 t="s">
        <v>47</v>
      </c>
      <c r="AA816" t="s">
        <v>76</v>
      </c>
      <c r="AB816" t="s">
        <v>51</v>
      </c>
      <c r="AC816" t="s">
        <v>51</v>
      </c>
      <c r="AD816" t="s">
        <v>795</v>
      </c>
      <c r="AE816" t="s">
        <v>51</v>
      </c>
      <c r="AF816" t="s">
        <v>158</v>
      </c>
    </row>
    <row r="817" spans="1:32" ht="14.5" customHeight="1" x14ac:dyDescent="0.35">
      <c r="A817" t="s">
        <v>774</v>
      </c>
      <c r="B817" t="s">
        <v>775</v>
      </c>
      <c r="C817" t="s">
        <v>47</v>
      </c>
      <c r="D817">
        <v>3000975</v>
      </c>
      <c r="E817">
        <v>3000979</v>
      </c>
      <c r="F817" t="s">
        <v>776</v>
      </c>
      <c r="G817" t="s">
        <v>776</v>
      </c>
      <c r="H817" t="s">
        <v>54</v>
      </c>
      <c r="I817">
        <v>9919820</v>
      </c>
      <c r="J817" s="12">
        <v>46110</v>
      </c>
      <c r="K817" s="12">
        <v>46110</v>
      </c>
      <c r="L817" s="12">
        <v>46146</v>
      </c>
      <c r="M817">
        <v>-14</v>
      </c>
      <c r="N817">
        <v>144841667</v>
      </c>
      <c r="O817">
        <v>0</v>
      </c>
      <c r="P817">
        <v>144841667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 t="s">
        <v>47</v>
      </c>
      <c r="AA817" t="s">
        <v>76</v>
      </c>
      <c r="AB817" t="s">
        <v>51</v>
      </c>
      <c r="AC817" t="s">
        <v>51</v>
      </c>
      <c r="AD817" t="s">
        <v>796</v>
      </c>
      <c r="AE817" t="s">
        <v>51</v>
      </c>
      <c r="AF817" t="s">
        <v>797</v>
      </c>
    </row>
    <row r="818" spans="1:32" ht="14.5" customHeight="1" x14ac:dyDescent="0.35">
      <c r="A818" t="s">
        <v>774</v>
      </c>
      <c r="B818" t="s">
        <v>775</v>
      </c>
      <c r="C818" t="s">
        <v>47</v>
      </c>
      <c r="D818">
        <v>3000975</v>
      </c>
      <c r="E818">
        <v>3000978</v>
      </c>
      <c r="F818" t="s">
        <v>776</v>
      </c>
      <c r="G818" t="s">
        <v>776</v>
      </c>
      <c r="H818" t="s">
        <v>54</v>
      </c>
      <c r="I818">
        <v>9921303</v>
      </c>
      <c r="J818" s="12">
        <v>46112</v>
      </c>
      <c r="K818" s="12">
        <v>46112</v>
      </c>
      <c r="L818" s="12">
        <v>46148</v>
      </c>
      <c r="M818">
        <v>-16</v>
      </c>
      <c r="N818">
        <v>152884909</v>
      </c>
      <c r="O818">
        <v>0</v>
      </c>
      <c r="P818">
        <v>152884909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 t="s">
        <v>47</v>
      </c>
      <c r="AA818" t="s">
        <v>76</v>
      </c>
      <c r="AB818" t="s">
        <v>51</v>
      </c>
      <c r="AC818" t="s">
        <v>51</v>
      </c>
      <c r="AD818" t="s">
        <v>51</v>
      </c>
      <c r="AE818" t="s">
        <v>798</v>
      </c>
      <c r="AF818" t="s">
        <v>782</v>
      </c>
    </row>
    <row r="819" spans="1:32" ht="14.5" customHeight="1" x14ac:dyDescent="0.35">
      <c r="A819" t="s">
        <v>774</v>
      </c>
      <c r="B819" t="s">
        <v>775</v>
      </c>
      <c r="C819" t="s">
        <v>47</v>
      </c>
      <c r="D819">
        <v>3000975</v>
      </c>
      <c r="E819">
        <v>3000978</v>
      </c>
      <c r="F819" t="s">
        <v>776</v>
      </c>
      <c r="G819" t="s">
        <v>776</v>
      </c>
      <c r="H819" t="s">
        <v>54</v>
      </c>
      <c r="I819">
        <v>9921558</v>
      </c>
      <c r="J819" s="12">
        <v>46113</v>
      </c>
      <c r="K819" s="12">
        <v>46113</v>
      </c>
      <c r="L819" s="12">
        <v>46149</v>
      </c>
      <c r="M819">
        <v>-17</v>
      </c>
      <c r="N819">
        <v>261006292</v>
      </c>
      <c r="O819">
        <v>0</v>
      </c>
      <c r="P819">
        <v>261006292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 t="s">
        <v>47</v>
      </c>
      <c r="AA819" t="s">
        <v>76</v>
      </c>
      <c r="AB819" t="s">
        <v>51</v>
      </c>
      <c r="AC819" t="s">
        <v>51</v>
      </c>
      <c r="AD819" t="s">
        <v>51</v>
      </c>
      <c r="AE819" t="s">
        <v>799</v>
      </c>
      <c r="AF819" t="s">
        <v>800</v>
      </c>
    </row>
    <row r="820" spans="1:32" ht="14.5" customHeight="1" x14ac:dyDescent="0.35">
      <c r="A820" t="s">
        <v>774</v>
      </c>
      <c r="B820" t="s">
        <v>775</v>
      </c>
      <c r="C820" t="s">
        <v>47</v>
      </c>
      <c r="D820">
        <v>3000975</v>
      </c>
      <c r="E820">
        <v>3000976</v>
      </c>
      <c r="F820" t="s">
        <v>776</v>
      </c>
      <c r="G820" t="s">
        <v>776</v>
      </c>
      <c r="H820" t="s">
        <v>54</v>
      </c>
      <c r="I820">
        <v>9921561</v>
      </c>
      <c r="J820" s="12">
        <v>46113</v>
      </c>
      <c r="K820" s="12">
        <v>46113</v>
      </c>
      <c r="L820" s="12">
        <v>46149</v>
      </c>
      <c r="M820">
        <v>-17</v>
      </c>
      <c r="N820">
        <v>481037781</v>
      </c>
      <c r="O820">
        <v>0</v>
      </c>
      <c r="P820">
        <v>481037781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 t="s">
        <v>47</v>
      </c>
      <c r="AA820" t="s">
        <v>76</v>
      </c>
      <c r="AB820" t="s">
        <v>51</v>
      </c>
      <c r="AC820" t="s">
        <v>51</v>
      </c>
      <c r="AD820" t="s">
        <v>51</v>
      </c>
      <c r="AE820" t="s">
        <v>801</v>
      </c>
      <c r="AF820" t="s">
        <v>277</v>
      </c>
    </row>
    <row r="821" spans="1:32" ht="14.5" customHeight="1" x14ac:dyDescent="0.35">
      <c r="A821" t="s">
        <v>774</v>
      </c>
      <c r="B821" t="s">
        <v>775</v>
      </c>
      <c r="C821" t="s">
        <v>47</v>
      </c>
      <c r="D821">
        <v>3000975</v>
      </c>
      <c r="E821">
        <v>3000977</v>
      </c>
      <c r="F821" t="s">
        <v>776</v>
      </c>
      <c r="G821" t="s">
        <v>776</v>
      </c>
      <c r="H821" t="s">
        <v>54</v>
      </c>
      <c r="I821">
        <v>9921660</v>
      </c>
      <c r="J821" s="12">
        <v>46114</v>
      </c>
      <c r="K821" s="12">
        <v>46114</v>
      </c>
      <c r="L821" s="12">
        <v>46150</v>
      </c>
      <c r="M821">
        <v>-18</v>
      </c>
      <c r="N821">
        <v>222914376</v>
      </c>
      <c r="O821">
        <v>0</v>
      </c>
      <c r="P821">
        <v>222914376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 t="s">
        <v>47</v>
      </c>
      <c r="AA821" t="s">
        <v>76</v>
      </c>
      <c r="AB821" t="s">
        <v>51</v>
      </c>
      <c r="AC821" t="s">
        <v>51</v>
      </c>
      <c r="AD821" t="s">
        <v>51</v>
      </c>
      <c r="AE821" t="s">
        <v>802</v>
      </c>
      <c r="AF821" t="s">
        <v>195</v>
      </c>
    </row>
    <row r="822" spans="1:32" ht="14.5" customHeight="1" x14ac:dyDescent="0.35">
      <c r="A822" t="s">
        <v>774</v>
      </c>
      <c r="B822" t="s">
        <v>775</v>
      </c>
      <c r="C822" t="s">
        <v>47</v>
      </c>
      <c r="D822">
        <v>3000975</v>
      </c>
      <c r="E822">
        <v>3000979</v>
      </c>
      <c r="F822" t="s">
        <v>776</v>
      </c>
      <c r="G822" t="s">
        <v>776</v>
      </c>
      <c r="H822" t="s">
        <v>140</v>
      </c>
      <c r="I822">
        <v>9922403</v>
      </c>
      <c r="J822" s="12">
        <v>46118</v>
      </c>
      <c r="K822" s="12">
        <v>46118</v>
      </c>
      <c r="L822" s="12">
        <v>46153</v>
      </c>
      <c r="M822">
        <v>-21</v>
      </c>
      <c r="N822">
        <v>798090</v>
      </c>
      <c r="O822">
        <v>0</v>
      </c>
      <c r="P822">
        <v>798090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 t="s">
        <v>47</v>
      </c>
      <c r="AA822" t="s">
        <v>76</v>
      </c>
      <c r="AB822" t="s">
        <v>51</v>
      </c>
      <c r="AC822" t="s">
        <v>51</v>
      </c>
      <c r="AD822" t="s">
        <v>51</v>
      </c>
      <c r="AE822" t="s">
        <v>803</v>
      </c>
      <c r="AF822" t="s">
        <v>312</v>
      </c>
    </row>
    <row r="823" spans="1:32" ht="14.5" customHeight="1" x14ac:dyDescent="0.35">
      <c r="A823" t="s">
        <v>774</v>
      </c>
      <c r="B823" t="s">
        <v>775</v>
      </c>
      <c r="C823" t="s">
        <v>47</v>
      </c>
      <c r="D823">
        <v>3000975</v>
      </c>
      <c r="E823">
        <v>3000977</v>
      </c>
      <c r="F823" t="s">
        <v>776</v>
      </c>
      <c r="G823" t="s">
        <v>776</v>
      </c>
      <c r="H823" t="s">
        <v>54</v>
      </c>
      <c r="I823">
        <v>9922781</v>
      </c>
      <c r="J823" s="12">
        <v>46120</v>
      </c>
      <c r="K823" s="12">
        <v>46120</v>
      </c>
      <c r="L823" s="12">
        <v>46156</v>
      </c>
      <c r="M823">
        <v>-24</v>
      </c>
      <c r="N823">
        <v>61697654</v>
      </c>
      <c r="O823">
        <v>0</v>
      </c>
      <c r="P823">
        <v>61697654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 t="s">
        <v>47</v>
      </c>
      <c r="AA823" t="s">
        <v>76</v>
      </c>
      <c r="AB823" t="s">
        <v>51</v>
      </c>
      <c r="AC823" t="s">
        <v>51</v>
      </c>
      <c r="AD823" t="s">
        <v>51</v>
      </c>
      <c r="AE823" t="s">
        <v>804</v>
      </c>
      <c r="AF823" t="s">
        <v>358</v>
      </c>
    </row>
    <row r="824" spans="1:32" ht="14.5" customHeight="1" x14ac:dyDescent="0.35">
      <c r="A824" t="s">
        <v>774</v>
      </c>
      <c r="B824" t="s">
        <v>775</v>
      </c>
      <c r="C824" t="s">
        <v>47</v>
      </c>
      <c r="D824">
        <v>3000975</v>
      </c>
      <c r="E824">
        <v>3000976</v>
      </c>
      <c r="F824" t="s">
        <v>776</v>
      </c>
      <c r="G824" t="s">
        <v>776</v>
      </c>
      <c r="H824" t="s">
        <v>140</v>
      </c>
      <c r="I824">
        <v>9923247</v>
      </c>
      <c r="J824" s="12">
        <v>46121</v>
      </c>
      <c r="K824" s="12">
        <v>46121</v>
      </c>
      <c r="L824" s="12">
        <v>46156</v>
      </c>
      <c r="M824">
        <v>-24</v>
      </c>
      <c r="N824">
        <v>604631</v>
      </c>
      <c r="O824">
        <v>0</v>
      </c>
      <c r="P824">
        <v>604631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 t="s">
        <v>47</v>
      </c>
      <c r="AA824" t="s">
        <v>76</v>
      </c>
      <c r="AB824" t="s">
        <v>51</v>
      </c>
      <c r="AC824" t="s">
        <v>51</v>
      </c>
      <c r="AD824" t="s">
        <v>51</v>
      </c>
      <c r="AE824" t="s">
        <v>805</v>
      </c>
      <c r="AF824" t="s">
        <v>155</v>
      </c>
    </row>
    <row r="825" spans="1:32" ht="14.5" customHeight="1" x14ac:dyDescent="0.35">
      <c r="A825" t="s">
        <v>774</v>
      </c>
      <c r="B825" t="s">
        <v>775</v>
      </c>
      <c r="C825" t="s">
        <v>47</v>
      </c>
      <c r="D825">
        <v>3000975</v>
      </c>
      <c r="E825">
        <v>3000977</v>
      </c>
      <c r="F825" t="s">
        <v>776</v>
      </c>
      <c r="G825" t="s">
        <v>776</v>
      </c>
      <c r="H825" t="s">
        <v>140</v>
      </c>
      <c r="I825">
        <v>9923262</v>
      </c>
      <c r="J825" s="12">
        <v>46121</v>
      </c>
      <c r="K825" s="12">
        <v>46121</v>
      </c>
      <c r="L825" s="12">
        <v>46156</v>
      </c>
      <c r="M825">
        <v>-24</v>
      </c>
      <c r="N825">
        <v>825055</v>
      </c>
      <c r="O825">
        <v>0</v>
      </c>
      <c r="P825">
        <v>825055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 t="s">
        <v>47</v>
      </c>
      <c r="AA825" t="s">
        <v>76</v>
      </c>
      <c r="AB825" t="s">
        <v>51</v>
      </c>
      <c r="AC825" t="s">
        <v>51</v>
      </c>
      <c r="AD825" t="s">
        <v>51</v>
      </c>
      <c r="AE825" t="s">
        <v>806</v>
      </c>
      <c r="AF825" t="s">
        <v>64</v>
      </c>
    </row>
    <row r="826" spans="1:32" ht="14.5" customHeight="1" x14ac:dyDescent="0.35">
      <c r="A826" t="s">
        <v>774</v>
      </c>
      <c r="B826" t="s">
        <v>775</v>
      </c>
      <c r="C826" t="s">
        <v>47</v>
      </c>
      <c r="D826">
        <v>3000975</v>
      </c>
      <c r="E826">
        <v>3000978</v>
      </c>
      <c r="F826" t="s">
        <v>776</v>
      </c>
      <c r="G826" t="s">
        <v>776</v>
      </c>
      <c r="H826" t="s">
        <v>140</v>
      </c>
      <c r="I826">
        <v>9923263</v>
      </c>
      <c r="J826" s="12">
        <v>46121</v>
      </c>
      <c r="K826" s="12">
        <v>46121</v>
      </c>
      <c r="L826" s="12">
        <v>46156</v>
      </c>
      <c r="M826">
        <v>-24</v>
      </c>
      <c r="N826">
        <v>290003</v>
      </c>
      <c r="O826">
        <v>0</v>
      </c>
      <c r="P826">
        <v>290003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 t="s">
        <v>47</v>
      </c>
      <c r="AA826" t="s">
        <v>76</v>
      </c>
      <c r="AB826" t="s">
        <v>51</v>
      </c>
      <c r="AC826" t="s">
        <v>51</v>
      </c>
      <c r="AD826" t="s">
        <v>51</v>
      </c>
      <c r="AE826" t="s">
        <v>807</v>
      </c>
      <c r="AF826" t="s">
        <v>155</v>
      </c>
    </row>
    <row r="827" spans="1:32" ht="14.5" customHeight="1" x14ac:dyDescent="0.35">
      <c r="A827" t="s">
        <v>774</v>
      </c>
      <c r="B827" t="s">
        <v>775</v>
      </c>
      <c r="C827" t="s">
        <v>47</v>
      </c>
      <c r="D827">
        <v>3000975</v>
      </c>
      <c r="E827">
        <v>3000979</v>
      </c>
      <c r="F827" t="s">
        <v>776</v>
      </c>
      <c r="G827" t="s">
        <v>776</v>
      </c>
      <c r="H827" t="s">
        <v>140</v>
      </c>
      <c r="I827">
        <v>9923264</v>
      </c>
      <c r="J827" s="12">
        <v>46121</v>
      </c>
      <c r="K827" s="12">
        <v>46121</v>
      </c>
      <c r="L827" s="12">
        <v>46156</v>
      </c>
      <c r="M827">
        <v>-24</v>
      </c>
      <c r="N827">
        <v>561716</v>
      </c>
      <c r="O827">
        <v>0</v>
      </c>
      <c r="P827">
        <v>561716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 t="s">
        <v>47</v>
      </c>
      <c r="AA827" t="s">
        <v>76</v>
      </c>
      <c r="AB827" t="s">
        <v>51</v>
      </c>
      <c r="AC827" t="s">
        <v>51</v>
      </c>
      <c r="AD827" t="s">
        <v>51</v>
      </c>
      <c r="AE827" t="s">
        <v>808</v>
      </c>
      <c r="AF827" t="s">
        <v>809</v>
      </c>
    </row>
    <row r="828" spans="1:32" ht="14.5" customHeight="1" x14ac:dyDescent="0.35">
      <c r="A828" t="s">
        <v>774</v>
      </c>
      <c r="B828" t="s">
        <v>775</v>
      </c>
      <c r="C828" t="s">
        <v>47</v>
      </c>
      <c r="D828">
        <v>3000975</v>
      </c>
      <c r="E828">
        <v>3000978</v>
      </c>
      <c r="F828" t="s">
        <v>776</v>
      </c>
      <c r="G828" t="s">
        <v>776</v>
      </c>
      <c r="H828" t="s">
        <v>54</v>
      </c>
      <c r="I828">
        <v>9924014</v>
      </c>
      <c r="J828" s="12">
        <v>46122</v>
      </c>
      <c r="K828" s="12">
        <v>46122</v>
      </c>
      <c r="L828" s="12">
        <v>46158</v>
      </c>
      <c r="M828">
        <v>-26</v>
      </c>
      <c r="N828">
        <v>36789733</v>
      </c>
      <c r="O828">
        <v>0</v>
      </c>
      <c r="P828">
        <v>36789733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 t="s">
        <v>47</v>
      </c>
      <c r="AA828" t="s">
        <v>76</v>
      </c>
      <c r="AB828" t="s">
        <v>51</v>
      </c>
      <c r="AC828" t="s">
        <v>51</v>
      </c>
      <c r="AD828" t="s">
        <v>51</v>
      </c>
      <c r="AE828" t="s">
        <v>810</v>
      </c>
      <c r="AF828" t="s">
        <v>782</v>
      </c>
    </row>
    <row r="829" spans="1:32" ht="14.5" customHeight="1" x14ac:dyDescent="0.35">
      <c r="A829" t="s">
        <v>774</v>
      </c>
      <c r="B829" t="s">
        <v>775</v>
      </c>
      <c r="C829" t="s">
        <v>47</v>
      </c>
      <c r="D829">
        <v>3000975</v>
      </c>
      <c r="E829">
        <v>3000976</v>
      </c>
      <c r="F829" t="s">
        <v>776</v>
      </c>
      <c r="G829" t="s">
        <v>776</v>
      </c>
      <c r="H829" t="s">
        <v>54</v>
      </c>
      <c r="I829">
        <v>9924068</v>
      </c>
      <c r="J829" s="12">
        <v>46122</v>
      </c>
      <c r="K829" s="12">
        <v>46122</v>
      </c>
      <c r="L829" s="12">
        <v>46158</v>
      </c>
      <c r="M829">
        <v>-26</v>
      </c>
      <c r="N829">
        <v>309244726</v>
      </c>
      <c r="O829">
        <v>0</v>
      </c>
      <c r="P829">
        <v>309244726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 t="s">
        <v>47</v>
      </c>
      <c r="AA829" t="s">
        <v>76</v>
      </c>
      <c r="AB829" t="s">
        <v>51</v>
      </c>
      <c r="AC829" t="s">
        <v>51</v>
      </c>
      <c r="AD829" t="s">
        <v>51</v>
      </c>
      <c r="AE829" t="s">
        <v>811</v>
      </c>
      <c r="AF829" t="s">
        <v>72</v>
      </c>
    </row>
    <row r="830" spans="1:32" ht="14.5" customHeight="1" x14ac:dyDescent="0.35">
      <c r="A830" t="s">
        <v>774</v>
      </c>
      <c r="B830" t="s">
        <v>775</v>
      </c>
      <c r="C830" t="s">
        <v>47</v>
      </c>
      <c r="D830">
        <v>3000975</v>
      </c>
      <c r="E830">
        <v>3000979</v>
      </c>
      <c r="F830" t="s">
        <v>776</v>
      </c>
      <c r="G830" t="s">
        <v>776</v>
      </c>
      <c r="H830" t="s">
        <v>54</v>
      </c>
      <c r="I830">
        <v>9924280</v>
      </c>
      <c r="J830" s="12">
        <v>46123</v>
      </c>
      <c r="K830" s="12">
        <v>46123</v>
      </c>
      <c r="L830" s="12">
        <v>46159</v>
      </c>
      <c r="M830">
        <v>-27</v>
      </c>
      <c r="N830">
        <v>100282031</v>
      </c>
      <c r="O830">
        <v>0</v>
      </c>
      <c r="P830">
        <v>100282031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 t="s">
        <v>47</v>
      </c>
      <c r="AA830" t="s">
        <v>76</v>
      </c>
      <c r="AB830" t="s">
        <v>51</v>
      </c>
      <c r="AC830" t="s">
        <v>51</v>
      </c>
      <c r="AD830" t="s">
        <v>51</v>
      </c>
      <c r="AE830" t="s">
        <v>812</v>
      </c>
      <c r="AF830" t="s">
        <v>813</v>
      </c>
    </row>
    <row r="831" spans="1:32" ht="14.5" customHeight="1" x14ac:dyDescent="0.35">
      <c r="A831" t="s">
        <v>774</v>
      </c>
      <c r="B831" t="s">
        <v>775</v>
      </c>
      <c r="C831" t="s">
        <v>47</v>
      </c>
      <c r="D831">
        <v>3000975</v>
      </c>
      <c r="E831">
        <v>3000977</v>
      </c>
      <c r="F831" t="s">
        <v>776</v>
      </c>
      <c r="G831" t="s">
        <v>776</v>
      </c>
      <c r="H831" t="s">
        <v>54</v>
      </c>
      <c r="I831">
        <v>9924927</v>
      </c>
      <c r="J831" s="12">
        <v>46125</v>
      </c>
      <c r="K831" s="12">
        <v>46125</v>
      </c>
      <c r="L831" s="12">
        <v>46161</v>
      </c>
      <c r="M831">
        <v>-29</v>
      </c>
      <c r="N831">
        <v>181905466</v>
      </c>
      <c r="O831">
        <v>0</v>
      </c>
      <c r="P831">
        <v>181905466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 t="s">
        <v>47</v>
      </c>
      <c r="AA831" t="s">
        <v>76</v>
      </c>
      <c r="AB831" t="s">
        <v>51</v>
      </c>
      <c r="AC831" t="s">
        <v>51</v>
      </c>
      <c r="AD831" t="s">
        <v>51</v>
      </c>
      <c r="AE831" t="s">
        <v>814</v>
      </c>
      <c r="AF831" t="s">
        <v>429</v>
      </c>
    </row>
    <row r="832" spans="1:32" ht="14.5" customHeight="1" x14ac:dyDescent="0.35">
      <c r="A832" t="s">
        <v>774</v>
      </c>
      <c r="B832" t="s">
        <v>775</v>
      </c>
      <c r="C832" t="s">
        <v>47</v>
      </c>
      <c r="D832">
        <v>3000975</v>
      </c>
      <c r="E832">
        <v>3000976</v>
      </c>
      <c r="F832" t="s">
        <v>776</v>
      </c>
      <c r="G832" t="s">
        <v>776</v>
      </c>
      <c r="H832" t="s">
        <v>54</v>
      </c>
      <c r="I832">
        <v>9926130</v>
      </c>
      <c r="J832" s="12">
        <v>46127</v>
      </c>
      <c r="K832" s="12">
        <v>46127</v>
      </c>
      <c r="L832" s="12">
        <v>46163</v>
      </c>
      <c r="M832">
        <v>-31</v>
      </c>
      <c r="N832">
        <v>470877391</v>
      </c>
      <c r="O832">
        <v>0</v>
      </c>
      <c r="P832">
        <v>470877391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 t="s">
        <v>47</v>
      </c>
      <c r="AA832" t="s">
        <v>76</v>
      </c>
      <c r="AB832" t="s">
        <v>51</v>
      </c>
      <c r="AC832" t="s">
        <v>51</v>
      </c>
      <c r="AD832" t="s">
        <v>51</v>
      </c>
      <c r="AE832" t="s">
        <v>815</v>
      </c>
      <c r="AF832" t="s">
        <v>287</v>
      </c>
    </row>
    <row r="833" spans="1:32" ht="14.5" customHeight="1" x14ac:dyDescent="0.35">
      <c r="A833" t="s">
        <v>774</v>
      </c>
      <c r="B833" t="s">
        <v>775</v>
      </c>
      <c r="C833" t="s">
        <v>47</v>
      </c>
      <c r="D833">
        <v>3000975</v>
      </c>
      <c r="E833">
        <v>3000978</v>
      </c>
      <c r="F833" t="s">
        <v>776</v>
      </c>
      <c r="G833" t="s">
        <v>776</v>
      </c>
      <c r="H833" t="s">
        <v>54</v>
      </c>
      <c r="I833">
        <v>9926136</v>
      </c>
      <c r="J833" s="12">
        <v>46128</v>
      </c>
      <c r="K833" s="12">
        <v>46128</v>
      </c>
      <c r="L833" s="12">
        <v>46164</v>
      </c>
      <c r="M833">
        <v>-32</v>
      </c>
      <c r="N833">
        <v>146715604</v>
      </c>
      <c r="O833">
        <v>0</v>
      </c>
      <c r="P833">
        <v>146715604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 t="s">
        <v>47</v>
      </c>
      <c r="AA833" t="s">
        <v>76</v>
      </c>
      <c r="AB833" t="s">
        <v>51</v>
      </c>
      <c r="AC833" t="s">
        <v>51</v>
      </c>
      <c r="AD833" t="s">
        <v>51</v>
      </c>
      <c r="AE833" t="s">
        <v>816</v>
      </c>
      <c r="AF833" t="s">
        <v>315</v>
      </c>
    </row>
    <row r="834" spans="1:32" ht="14.5" customHeight="1" x14ac:dyDescent="0.35">
      <c r="A834" t="s">
        <v>774</v>
      </c>
      <c r="B834" t="s">
        <v>775</v>
      </c>
      <c r="C834" t="s">
        <v>47</v>
      </c>
      <c r="D834">
        <v>3000975</v>
      </c>
      <c r="E834">
        <v>3000979</v>
      </c>
      <c r="F834" t="s">
        <v>776</v>
      </c>
      <c r="G834" t="s">
        <v>776</v>
      </c>
      <c r="H834" t="s">
        <v>54</v>
      </c>
      <c r="I834">
        <v>9927480</v>
      </c>
      <c r="J834" s="12">
        <v>46130</v>
      </c>
      <c r="K834" s="12">
        <v>46130</v>
      </c>
      <c r="L834" s="12">
        <v>46166</v>
      </c>
      <c r="M834">
        <v>-34</v>
      </c>
      <c r="N834">
        <v>108564700</v>
      </c>
      <c r="O834">
        <v>0</v>
      </c>
      <c r="P834">
        <v>108564700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 t="s">
        <v>47</v>
      </c>
      <c r="AA834" t="s">
        <v>76</v>
      </c>
      <c r="AB834" t="s">
        <v>51</v>
      </c>
      <c r="AC834" t="s">
        <v>51</v>
      </c>
      <c r="AD834" t="s">
        <v>51</v>
      </c>
      <c r="AE834" t="s">
        <v>817</v>
      </c>
      <c r="AF834" t="s">
        <v>153</v>
      </c>
    </row>
    <row r="835" spans="1:32" ht="14.5" customHeight="1" x14ac:dyDescent="0.35">
      <c r="A835" t="s">
        <v>531</v>
      </c>
      <c r="B835" t="s">
        <v>532</v>
      </c>
      <c r="C835" t="s">
        <v>542</v>
      </c>
      <c r="D835">
        <v>3001052</v>
      </c>
      <c r="E835">
        <v>3100488</v>
      </c>
      <c r="F835" t="s">
        <v>818</v>
      </c>
      <c r="G835" t="s">
        <v>818</v>
      </c>
      <c r="H835" t="s">
        <v>111</v>
      </c>
      <c r="I835">
        <v>6953087</v>
      </c>
      <c r="J835" s="12">
        <v>46077</v>
      </c>
      <c r="K835" s="12">
        <v>46077</v>
      </c>
      <c r="L835" s="12">
        <v>46077</v>
      </c>
      <c r="M835">
        <v>55</v>
      </c>
      <c r="N835">
        <v>-6429151</v>
      </c>
      <c r="O835">
        <v>-6429151</v>
      </c>
      <c r="P835">
        <v>0</v>
      </c>
      <c r="Q835">
        <v>0</v>
      </c>
      <c r="R835">
        <v>-6429151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 t="s">
        <v>542</v>
      </c>
      <c r="AA835" t="s">
        <v>55</v>
      </c>
      <c r="AB835" t="s">
        <v>51</v>
      </c>
      <c r="AC835" t="s">
        <v>51</v>
      </c>
      <c r="AD835" t="s">
        <v>51</v>
      </c>
      <c r="AE835" t="s">
        <v>51</v>
      </c>
      <c r="AF835" t="s">
        <v>819</v>
      </c>
    </row>
    <row r="836" spans="1:32" ht="14.5" customHeight="1" x14ac:dyDescent="0.35">
      <c r="A836" t="s">
        <v>531</v>
      </c>
      <c r="B836" t="s">
        <v>532</v>
      </c>
      <c r="C836" t="s">
        <v>542</v>
      </c>
      <c r="D836">
        <v>3001052</v>
      </c>
      <c r="E836">
        <v>3100488</v>
      </c>
      <c r="F836" t="s">
        <v>818</v>
      </c>
      <c r="G836" t="s">
        <v>818</v>
      </c>
      <c r="H836" t="s">
        <v>111</v>
      </c>
      <c r="I836">
        <v>6953088</v>
      </c>
      <c r="J836" s="12">
        <v>46077</v>
      </c>
      <c r="K836" s="12">
        <v>46077</v>
      </c>
      <c r="L836" s="12">
        <v>46077</v>
      </c>
      <c r="M836">
        <v>55</v>
      </c>
      <c r="N836">
        <v>-182817</v>
      </c>
      <c r="O836">
        <v>-182817</v>
      </c>
      <c r="P836">
        <v>0</v>
      </c>
      <c r="Q836">
        <v>0</v>
      </c>
      <c r="R836">
        <v>-182817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 t="s">
        <v>542</v>
      </c>
      <c r="AA836" t="s">
        <v>55</v>
      </c>
      <c r="AB836" t="s">
        <v>51</v>
      </c>
      <c r="AC836" t="s">
        <v>51</v>
      </c>
      <c r="AD836" t="s">
        <v>51</v>
      </c>
      <c r="AE836" t="s">
        <v>51</v>
      </c>
      <c r="AF836" t="s">
        <v>820</v>
      </c>
    </row>
    <row r="837" spans="1:32" ht="14.5" customHeight="1" x14ac:dyDescent="0.35">
      <c r="A837" t="s">
        <v>531</v>
      </c>
      <c r="B837" t="s">
        <v>532</v>
      </c>
      <c r="C837" t="s">
        <v>542</v>
      </c>
      <c r="D837">
        <v>3001052</v>
      </c>
      <c r="E837">
        <v>3100730</v>
      </c>
      <c r="F837" t="s">
        <v>818</v>
      </c>
      <c r="G837" t="s">
        <v>818</v>
      </c>
      <c r="H837" t="s">
        <v>111</v>
      </c>
      <c r="I837">
        <v>6953089</v>
      </c>
      <c r="J837" s="12">
        <v>46077</v>
      </c>
      <c r="K837" s="12">
        <v>46077</v>
      </c>
      <c r="L837" s="12">
        <v>46077</v>
      </c>
      <c r="M837">
        <v>55</v>
      </c>
      <c r="N837">
        <v>-16851818</v>
      </c>
      <c r="O837">
        <v>-16851818</v>
      </c>
      <c r="P837">
        <v>0</v>
      </c>
      <c r="Q837">
        <v>0</v>
      </c>
      <c r="R837">
        <v>-16851818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 t="s">
        <v>542</v>
      </c>
      <c r="AA837" t="s">
        <v>55</v>
      </c>
      <c r="AB837" t="s">
        <v>51</v>
      </c>
      <c r="AC837" t="s">
        <v>51</v>
      </c>
      <c r="AD837" t="s">
        <v>51</v>
      </c>
      <c r="AE837" t="s">
        <v>51</v>
      </c>
      <c r="AF837" t="s">
        <v>821</v>
      </c>
    </row>
    <row r="838" spans="1:32" ht="14.5" customHeight="1" x14ac:dyDescent="0.35">
      <c r="A838" t="s">
        <v>531</v>
      </c>
      <c r="B838" t="s">
        <v>532</v>
      </c>
      <c r="C838" t="s">
        <v>542</v>
      </c>
      <c r="D838">
        <v>3001052</v>
      </c>
      <c r="E838">
        <v>3100730</v>
      </c>
      <c r="F838" t="s">
        <v>818</v>
      </c>
      <c r="G838" t="s">
        <v>818</v>
      </c>
      <c r="H838" t="s">
        <v>111</v>
      </c>
      <c r="I838">
        <v>6953090</v>
      </c>
      <c r="J838" s="12">
        <v>46077</v>
      </c>
      <c r="K838" s="12">
        <v>46077</v>
      </c>
      <c r="L838" s="12">
        <v>46077</v>
      </c>
      <c r="M838">
        <v>55</v>
      </c>
      <c r="N838">
        <v>-365634</v>
      </c>
      <c r="O838">
        <v>-365634</v>
      </c>
      <c r="P838">
        <v>0</v>
      </c>
      <c r="Q838">
        <v>0</v>
      </c>
      <c r="R838">
        <v>-365634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 t="s">
        <v>542</v>
      </c>
      <c r="AA838" t="s">
        <v>55</v>
      </c>
      <c r="AB838" t="s">
        <v>51</v>
      </c>
      <c r="AC838" t="s">
        <v>51</v>
      </c>
      <c r="AD838" t="s">
        <v>51</v>
      </c>
      <c r="AE838" t="s">
        <v>51</v>
      </c>
      <c r="AF838" t="s">
        <v>820</v>
      </c>
    </row>
    <row r="839" spans="1:32" ht="14.5" customHeight="1" x14ac:dyDescent="0.35">
      <c r="A839" t="s">
        <v>175</v>
      </c>
      <c r="B839" t="s">
        <v>176</v>
      </c>
      <c r="C839" t="s">
        <v>47</v>
      </c>
      <c r="D839">
        <v>3001053</v>
      </c>
      <c r="E839">
        <v>3001044</v>
      </c>
      <c r="F839" t="s">
        <v>822</v>
      </c>
      <c r="G839" t="s">
        <v>822</v>
      </c>
      <c r="H839" t="s">
        <v>54</v>
      </c>
      <c r="I839">
        <v>6957988</v>
      </c>
      <c r="J839" s="12">
        <v>46118</v>
      </c>
      <c r="K839" s="12">
        <v>46118</v>
      </c>
      <c r="L839" s="12">
        <v>46118</v>
      </c>
      <c r="M839">
        <v>14</v>
      </c>
      <c r="N839">
        <v>-420149</v>
      </c>
      <c r="O839">
        <v>-420149</v>
      </c>
      <c r="P839">
        <v>0</v>
      </c>
      <c r="Q839">
        <v>-420149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 t="s">
        <v>47</v>
      </c>
      <c r="AA839" t="s">
        <v>55</v>
      </c>
      <c r="AB839" t="s">
        <v>51</v>
      </c>
      <c r="AC839" t="s">
        <v>51</v>
      </c>
      <c r="AD839" t="s">
        <v>51</v>
      </c>
      <c r="AE839" t="s">
        <v>51</v>
      </c>
      <c r="AF839" t="s">
        <v>823</v>
      </c>
    </row>
    <row r="840" spans="1:32" ht="14.5" customHeight="1" x14ac:dyDescent="0.35">
      <c r="A840" t="s">
        <v>175</v>
      </c>
      <c r="B840" t="s">
        <v>176</v>
      </c>
      <c r="C840" t="s">
        <v>47</v>
      </c>
      <c r="D840">
        <v>3001053</v>
      </c>
      <c r="E840">
        <v>3001055</v>
      </c>
      <c r="F840" t="s">
        <v>822</v>
      </c>
      <c r="G840" t="s">
        <v>822</v>
      </c>
      <c r="H840" t="s">
        <v>54</v>
      </c>
      <c r="I840">
        <v>6958371</v>
      </c>
      <c r="J840" s="12">
        <v>46121</v>
      </c>
      <c r="K840" s="12">
        <v>46121</v>
      </c>
      <c r="L840" s="12">
        <v>46121</v>
      </c>
      <c r="M840">
        <v>11</v>
      </c>
      <c r="N840">
        <v>-1215500</v>
      </c>
      <c r="O840">
        <v>-1215500</v>
      </c>
      <c r="P840">
        <v>0</v>
      </c>
      <c r="Q840">
        <v>-1215500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 t="s">
        <v>47</v>
      </c>
      <c r="AA840" t="s">
        <v>55</v>
      </c>
      <c r="AB840" t="s">
        <v>51</v>
      </c>
      <c r="AC840" t="s">
        <v>51</v>
      </c>
      <c r="AD840" t="s">
        <v>51</v>
      </c>
      <c r="AE840" t="s">
        <v>51</v>
      </c>
      <c r="AF840" t="s">
        <v>824</v>
      </c>
    </row>
    <row r="841" spans="1:32" ht="14.5" customHeight="1" x14ac:dyDescent="0.35">
      <c r="A841" t="s">
        <v>175</v>
      </c>
      <c r="B841" t="s">
        <v>176</v>
      </c>
      <c r="C841" t="s">
        <v>47</v>
      </c>
      <c r="D841">
        <v>3001053</v>
      </c>
      <c r="E841">
        <v>3001044</v>
      </c>
      <c r="F841" t="s">
        <v>822</v>
      </c>
      <c r="G841" t="s">
        <v>822</v>
      </c>
      <c r="H841" t="s">
        <v>54</v>
      </c>
      <c r="I841">
        <v>6959093</v>
      </c>
      <c r="J841" s="12">
        <v>46125</v>
      </c>
      <c r="K841" s="12">
        <v>46125</v>
      </c>
      <c r="L841" s="12">
        <v>46125</v>
      </c>
      <c r="M841">
        <v>7</v>
      </c>
      <c r="N841">
        <v>-11401286</v>
      </c>
      <c r="O841">
        <v>-11401286</v>
      </c>
      <c r="P841">
        <v>0</v>
      </c>
      <c r="Q841">
        <v>-11401286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 t="s">
        <v>47</v>
      </c>
      <c r="AA841" t="s">
        <v>55</v>
      </c>
      <c r="AB841" t="s">
        <v>51</v>
      </c>
      <c r="AC841" t="s">
        <v>51</v>
      </c>
      <c r="AD841" t="s">
        <v>51</v>
      </c>
      <c r="AE841" t="s">
        <v>51</v>
      </c>
      <c r="AF841" t="s">
        <v>77</v>
      </c>
    </row>
    <row r="842" spans="1:32" ht="14.5" customHeight="1" x14ac:dyDescent="0.35">
      <c r="A842" t="s">
        <v>175</v>
      </c>
      <c r="B842" t="s">
        <v>176</v>
      </c>
      <c r="C842" t="s">
        <v>47</v>
      </c>
      <c r="D842">
        <v>3001053</v>
      </c>
      <c r="E842">
        <v>3001055</v>
      </c>
      <c r="F842" t="s">
        <v>822</v>
      </c>
      <c r="G842" t="s">
        <v>822</v>
      </c>
      <c r="H842" t="s">
        <v>54</v>
      </c>
      <c r="I842">
        <v>6959094</v>
      </c>
      <c r="J842" s="12">
        <v>46125</v>
      </c>
      <c r="K842" s="12">
        <v>46125</v>
      </c>
      <c r="L842" s="12">
        <v>46125</v>
      </c>
      <c r="M842">
        <v>7</v>
      </c>
      <c r="N842">
        <v>-496550</v>
      </c>
      <c r="O842">
        <v>-496550</v>
      </c>
      <c r="P842">
        <v>0</v>
      </c>
      <c r="Q842">
        <v>-496550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 t="s">
        <v>47</v>
      </c>
      <c r="AA842" t="s">
        <v>55</v>
      </c>
      <c r="AB842" t="s">
        <v>51</v>
      </c>
      <c r="AC842" t="s">
        <v>51</v>
      </c>
      <c r="AD842" t="s">
        <v>51</v>
      </c>
      <c r="AE842" t="s">
        <v>51</v>
      </c>
      <c r="AF842" t="s">
        <v>530</v>
      </c>
    </row>
    <row r="843" spans="1:32" ht="14.5" customHeight="1" x14ac:dyDescent="0.35">
      <c r="A843" t="s">
        <v>175</v>
      </c>
      <c r="B843" t="s">
        <v>176</v>
      </c>
      <c r="C843" t="s">
        <v>47</v>
      </c>
      <c r="D843">
        <v>3001053</v>
      </c>
      <c r="E843">
        <v>3001044</v>
      </c>
      <c r="F843" t="s">
        <v>822</v>
      </c>
      <c r="G843" t="s">
        <v>822</v>
      </c>
      <c r="H843" t="s">
        <v>54</v>
      </c>
      <c r="I843">
        <v>6959462</v>
      </c>
      <c r="J843" s="12">
        <v>46127</v>
      </c>
      <c r="K843" s="12">
        <v>46127</v>
      </c>
      <c r="L843" s="12">
        <v>46127</v>
      </c>
      <c r="M843">
        <v>5</v>
      </c>
      <c r="N843">
        <v>-441000</v>
      </c>
      <c r="O843">
        <v>-441000</v>
      </c>
      <c r="P843">
        <v>0</v>
      </c>
      <c r="Q843">
        <v>-441000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 t="s">
        <v>47</v>
      </c>
      <c r="AA843" t="s">
        <v>55</v>
      </c>
      <c r="AB843" t="s">
        <v>51</v>
      </c>
      <c r="AC843" t="s">
        <v>51</v>
      </c>
      <c r="AD843" t="s">
        <v>51</v>
      </c>
      <c r="AE843" t="s">
        <v>51</v>
      </c>
      <c r="AF843" t="s">
        <v>825</v>
      </c>
    </row>
    <row r="844" spans="1:32" ht="14.5" customHeight="1" x14ac:dyDescent="0.35">
      <c r="A844" t="s">
        <v>175</v>
      </c>
      <c r="B844" t="s">
        <v>176</v>
      </c>
      <c r="C844" t="s">
        <v>47</v>
      </c>
      <c r="D844">
        <v>3001053</v>
      </c>
      <c r="E844">
        <v>3001044</v>
      </c>
      <c r="F844" t="s">
        <v>822</v>
      </c>
      <c r="G844" t="s">
        <v>822</v>
      </c>
      <c r="H844" t="s">
        <v>54</v>
      </c>
      <c r="I844">
        <v>6959463</v>
      </c>
      <c r="J844" s="12">
        <v>46127</v>
      </c>
      <c r="K844" s="12">
        <v>46127</v>
      </c>
      <c r="L844" s="12">
        <v>46127</v>
      </c>
      <c r="M844">
        <v>5</v>
      </c>
      <c r="N844">
        <v>-441000</v>
      </c>
      <c r="O844">
        <v>-441000</v>
      </c>
      <c r="P844">
        <v>0</v>
      </c>
      <c r="Q844">
        <v>-441000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 t="s">
        <v>47</v>
      </c>
      <c r="AA844" t="s">
        <v>55</v>
      </c>
      <c r="AB844" t="s">
        <v>51</v>
      </c>
      <c r="AC844" t="s">
        <v>51</v>
      </c>
      <c r="AD844" t="s">
        <v>51</v>
      </c>
      <c r="AE844" t="s">
        <v>51</v>
      </c>
      <c r="AF844" t="s">
        <v>826</v>
      </c>
    </row>
    <row r="845" spans="1:32" ht="14.5" customHeight="1" x14ac:dyDescent="0.35">
      <c r="A845" t="s">
        <v>175</v>
      </c>
      <c r="B845" t="s">
        <v>176</v>
      </c>
      <c r="C845" t="s">
        <v>47</v>
      </c>
      <c r="D845">
        <v>3001053</v>
      </c>
      <c r="E845">
        <v>3001044</v>
      </c>
      <c r="F845" t="s">
        <v>822</v>
      </c>
      <c r="G845" t="s">
        <v>822</v>
      </c>
      <c r="H845" t="s">
        <v>54</v>
      </c>
      <c r="I845">
        <v>6959464</v>
      </c>
      <c r="J845" s="12">
        <v>46127</v>
      </c>
      <c r="K845" s="12">
        <v>46127</v>
      </c>
      <c r="L845" s="12">
        <v>46127</v>
      </c>
      <c r="M845">
        <v>5</v>
      </c>
      <c r="N845">
        <v>-441000</v>
      </c>
      <c r="O845">
        <v>-441000</v>
      </c>
      <c r="P845">
        <v>0</v>
      </c>
      <c r="Q845">
        <v>-441000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 t="s">
        <v>47</v>
      </c>
      <c r="AA845" t="s">
        <v>55</v>
      </c>
      <c r="AB845" t="s">
        <v>51</v>
      </c>
      <c r="AC845" t="s">
        <v>51</v>
      </c>
      <c r="AD845" t="s">
        <v>51</v>
      </c>
      <c r="AE845" t="s">
        <v>51</v>
      </c>
      <c r="AF845" t="s">
        <v>827</v>
      </c>
    </row>
    <row r="846" spans="1:32" ht="14.5" customHeight="1" x14ac:dyDescent="0.35">
      <c r="A846" t="s">
        <v>175</v>
      </c>
      <c r="B846" t="s">
        <v>176</v>
      </c>
      <c r="C846" t="s">
        <v>47</v>
      </c>
      <c r="D846">
        <v>3001053</v>
      </c>
      <c r="E846">
        <v>3001044</v>
      </c>
      <c r="F846" t="s">
        <v>822</v>
      </c>
      <c r="G846" t="s">
        <v>822</v>
      </c>
      <c r="H846" t="s">
        <v>54</v>
      </c>
      <c r="I846">
        <v>6959465</v>
      </c>
      <c r="J846" s="12">
        <v>46127</v>
      </c>
      <c r="K846" s="12">
        <v>46127</v>
      </c>
      <c r="L846" s="12">
        <v>46127</v>
      </c>
      <c r="M846">
        <v>5</v>
      </c>
      <c r="N846">
        <v>-441000</v>
      </c>
      <c r="O846">
        <v>-441000</v>
      </c>
      <c r="P846">
        <v>0</v>
      </c>
      <c r="Q846">
        <v>-441000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 t="s">
        <v>47</v>
      </c>
      <c r="AA846" t="s">
        <v>55</v>
      </c>
      <c r="AB846" t="s">
        <v>51</v>
      </c>
      <c r="AC846" t="s">
        <v>51</v>
      </c>
      <c r="AD846" t="s">
        <v>51</v>
      </c>
      <c r="AE846" t="s">
        <v>51</v>
      </c>
      <c r="AF846" t="s">
        <v>828</v>
      </c>
    </row>
    <row r="847" spans="1:32" ht="14.5" customHeight="1" x14ac:dyDescent="0.35">
      <c r="A847" t="s">
        <v>175</v>
      </c>
      <c r="B847" t="s">
        <v>176</v>
      </c>
      <c r="C847" t="s">
        <v>47</v>
      </c>
      <c r="D847">
        <v>3001053</v>
      </c>
      <c r="E847">
        <v>3001055</v>
      </c>
      <c r="F847" t="s">
        <v>822</v>
      </c>
      <c r="G847" t="s">
        <v>822</v>
      </c>
      <c r="H847" t="s">
        <v>54</v>
      </c>
      <c r="I847">
        <v>6959956</v>
      </c>
      <c r="J847" s="12">
        <v>46129</v>
      </c>
      <c r="K847" s="12">
        <v>46129</v>
      </c>
      <c r="L847" s="12">
        <v>46129</v>
      </c>
      <c r="M847">
        <v>3</v>
      </c>
      <c r="N847">
        <v>-1309000</v>
      </c>
      <c r="O847">
        <v>-1309000</v>
      </c>
      <c r="P847">
        <v>0</v>
      </c>
      <c r="Q847">
        <v>-1309000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 t="s">
        <v>47</v>
      </c>
      <c r="AA847" t="s">
        <v>55</v>
      </c>
      <c r="AB847" t="s">
        <v>51</v>
      </c>
      <c r="AC847" t="s">
        <v>51</v>
      </c>
      <c r="AD847" t="s">
        <v>51</v>
      </c>
      <c r="AE847" t="s">
        <v>51</v>
      </c>
      <c r="AF847" t="s">
        <v>829</v>
      </c>
    </row>
    <row r="848" spans="1:32" ht="14.5" customHeight="1" x14ac:dyDescent="0.35">
      <c r="A848" t="s">
        <v>175</v>
      </c>
      <c r="B848" t="s">
        <v>176</v>
      </c>
      <c r="C848" t="s">
        <v>47</v>
      </c>
      <c r="D848">
        <v>3001053</v>
      </c>
      <c r="E848">
        <v>3001044</v>
      </c>
      <c r="F848" t="s">
        <v>822</v>
      </c>
      <c r="G848" t="s">
        <v>822</v>
      </c>
      <c r="H848" t="s">
        <v>54</v>
      </c>
      <c r="I848">
        <v>6960039</v>
      </c>
      <c r="J848" s="12">
        <v>46130</v>
      </c>
      <c r="K848" s="12">
        <v>46130</v>
      </c>
      <c r="L848" s="12">
        <v>46130</v>
      </c>
      <c r="M848">
        <v>2</v>
      </c>
      <c r="N848">
        <v>-72654158</v>
      </c>
      <c r="O848">
        <v>-72654158</v>
      </c>
      <c r="P848">
        <v>0</v>
      </c>
      <c r="Q848">
        <v>-72654158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 t="s">
        <v>47</v>
      </c>
      <c r="AA848" t="s">
        <v>55</v>
      </c>
      <c r="AB848" t="s">
        <v>51</v>
      </c>
      <c r="AC848" t="s">
        <v>51</v>
      </c>
      <c r="AD848" t="s">
        <v>51</v>
      </c>
      <c r="AE848" t="s">
        <v>51</v>
      </c>
      <c r="AF848" t="s">
        <v>660</v>
      </c>
    </row>
    <row r="849" spans="1:32" ht="14.5" customHeight="1" x14ac:dyDescent="0.35">
      <c r="A849" t="s">
        <v>175</v>
      </c>
      <c r="B849" t="s">
        <v>176</v>
      </c>
      <c r="C849" t="s">
        <v>47</v>
      </c>
      <c r="D849">
        <v>3001053</v>
      </c>
      <c r="E849">
        <v>3001055</v>
      </c>
      <c r="F849" t="s">
        <v>822</v>
      </c>
      <c r="G849" t="s">
        <v>822</v>
      </c>
      <c r="H849" t="s">
        <v>54</v>
      </c>
      <c r="I849">
        <v>6960040</v>
      </c>
      <c r="J849" s="12">
        <v>46130</v>
      </c>
      <c r="K849" s="12">
        <v>46130</v>
      </c>
      <c r="L849" s="12">
        <v>46130</v>
      </c>
      <c r="M849">
        <v>2</v>
      </c>
      <c r="N849">
        <v>-25795253</v>
      </c>
      <c r="O849">
        <v>-25795253</v>
      </c>
      <c r="P849">
        <v>0</v>
      </c>
      <c r="Q849">
        <v>-25795253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 t="s">
        <v>47</v>
      </c>
      <c r="AA849" t="s">
        <v>55</v>
      </c>
      <c r="AB849" t="s">
        <v>51</v>
      </c>
      <c r="AC849" t="s">
        <v>51</v>
      </c>
      <c r="AD849" t="s">
        <v>51</v>
      </c>
      <c r="AE849" t="s">
        <v>51</v>
      </c>
      <c r="AF849" t="s">
        <v>56</v>
      </c>
    </row>
    <row r="850" spans="1:32" ht="14.5" customHeight="1" x14ac:dyDescent="0.35">
      <c r="A850" t="s">
        <v>175</v>
      </c>
      <c r="B850" t="s">
        <v>176</v>
      </c>
      <c r="C850" t="s">
        <v>47</v>
      </c>
      <c r="D850">
        <v>3001053</v>
      </c>
      <c r="E850">
        <v>3001044</v>
      </c>
      <c r="F850" t="s">
        <v>822</v>
      </c>
      <c r="G850" t="s">
        <v>822</v>
      </c>
      <c r="H850" t="s">
        <v>54</v>
      </c>
      <c r="I850">
        <v>9913324</v>
      </c>
      <c r="J850" s="12">
        <v>46091</v>
      </c>
      <c r="K850" s="12">
        <v>46091</v>
      </c>
      <c r="L850" s="12">
        <v>46150</v>
      </c>
      <c r="M850">
        <v>-18</v>
      </c>
      <c r="N850">
        <v>172337133</v>
      </c>
      <c r="O850">
        <v>0</v>
      </c>
      <c r="P850">
        <v>172337133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 t="s">
        <v>47</v>
      </c>
      <c r="AA850" t="s">
        <v>55</v>
      </c>
      <c r="AB850" t="s">
        <v>51</v>
      </c>
      <c r="AC850" t="s">
        <v>51</v>
      </c>
      <c r="AD850" t="s">
        <v>51</v>
      </c>
      <c r="AE850" t="s">
        <v>830</v>
      </c>
      <c r="AF850" t="s">
        <v>153</v>
      </c>
    </row>
    <row r="851" spans="1:32" ht="14.5" customHeight="1" x14ac:dyDescent="0.35">
      <c r="A851" t="s">
        <v>175</v>
      </c>
      <c r="B851" t="s">
        <v>176</v>
      </c>
      <c r="C851" t="s">
        <v>47</v>
      </c>
      <c r="D851">
        <v>3001053</v>
      </c>
      <c r="E851">
        <v>3001055</v>
      </c>
      <c r="F851" t="s">
        <v>822</v>
      </c>
      <c r="G851" t="s">
        <v>822</v>
      </c>
      <c r="H851" t="s">
        <v>54</v>
      </c>
      <c r="I851">
        <v>9913325</v>
      </c>
      <c r="J851" s="12">
        <v>46091</v>
      </c>
      <c r="K851" s="12">
        <v>46091</v>
      </c>
      <c r="L851" s="12">
        <v>46150</v>
      </c>
      <c r="M851">
        <v>-18</v>
      </c>
      <c r="N851">
        <v>259182461</v>
      </c>
      <c r="O851">
        <v>0</v>
      </c>
      <c r="P851">
        <v>259182461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 t="s">
        <v>47</v>
      </c>
      <c r="AA851" t="s">
        <v>55</v>
      </c>
      <c r="AB851" t="s">
        <v>51</v>
      </c>
      <c r="AC851" t="s">
        <v>51</v>
      </c>
      <c r="AD851" t="s">
        <v>51</v>
      </c>
      <c r="AE851" t="s">
        <v>831</v>
      </c>
      <c r="AF851" t="s">
        <v>788</v>
      </c>
    </row>
    <row r="852" spans="1:32" ht="14.5" customHeight="1" x14ac:dyDescent="0.35">
      <c r="A852" t="s">
        <v>175</v>
      </c>
      <c r="B852" t="s">
        <v>176</v>
      </c>
      <c r="C852" t="s">
        <v>47</v>
      </c>
      <c r="D852">
        <v>3001053</v>
      </c>
      <c r="E852">
        <v>3001044</v>
      </c>
      <c r="F852" t="s">
        <v>822</v>
      </c>
      <c r="G852" t="s">
        <v>822</v>
      </c>
      <c r="H852" t="s">
        <v>54</v>
      </c>
      <c r="I852">
        <v>9920370</v>
      </c>
      <c r="J852" s="12">
        <v>46112</v>
      </c>
      <c r="K852" s="12">
        <v>46112</v>
      </c>
      <c r="L852" s="12">
        <v>46171</v>
      </c>
      <c r="M852">
        <v>-39</v>
      </c>
      <c r="N852">
        <v>313015207</v>
      </c>
      <c r="O852">
        <v>0</v>
      </c>
      <c r="P852">
        <v>313015207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 t="s">
        <v>47</v>
      </c>
      <c r="AA852" t="s">
        <v>55</v>
      </c>
      <c r="AB852" t="s">
        <v>51</v>
      </c>
      <c r="AC852" t="s">
        <v>51</v>
      </c>
      <c r="AD852" t="s">
        <v>51</v>
      </c>
      <c r="AE852" t="s">
        <v>832</v>
      </c>
      <c r="AF852" t="s">
        <v>195</v>
      </c>
    </row>
    <row r="853" spans="1:32" ht="14.5" customHeight="1" x14ac:dyDescent="0.35">
      <c r="A853" t="s">
        <v>175</v>
      </c>
      <c r="B853" t="s">
        <v>176</v>
      </c>
      <c r="C853" t="s">
        <v>47</v>
      </c>
      <c r="D853">
        <v>3001053</v>
      </c>
      <c r="E853">
        <v>3001044</v>
      </c>
      <c r="F853" t="s">
        <v>822</v>
      </c>
      <c r="G853" t="s">
        <v>822</v>
      </c>
      <c r="H853" t="s">
        <v>54</v>
      </c>
      <c r="I853">
        <v>9920378</v>
      </c>
      <c r="J853" s="12">
        <v>46112</v>
      </c>
      <c r="K853" s="12">
        <v>46112</v>
      </c>
      <c r="L853" s="12">
        <v>46171</v>
      </c>
      <c r="M853">
        <v>-39</v>
      </c>
      <c r="N853">
        <v>2838814</v>
      </c>
      <c r="O853">
        <v>0</v>
      </c>
      <c r="P853">
        <v>2838814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 t="s">
        <v>47</v>
      </c>
      <c r="AA853" t="s">
        <v>55</v>
      </c>
      <c r="AB853" t="s">
        <v>51</v>
      </c>
      <c r="AC853" t="s">
        <v>51</v>
      </c>
      <c r="AD853" t="s">
        <v>51</v>
      </c>
      <c r="AE853" t="s">
        <v>833</v>
      </c>
      <c r="AF853" t="s">
        <v>193</v>
      </c>
    </row>
    <row r="854" spans="1:32" ht="14.5" customHeight="1" x14ac:dyDescent="0.35">
      <c r="A854" t="s">
        <v>175</v>
      </c>
      <c r="B854" t="s">
        <v>176</v>
      </c>
      <c r="C854" t="s">
        <v>47</v>
      </c>
      <c r="D854">
        <v>3001053</v>
      </c>
      <c r="E854">
        <v>3001055</v>
      </c>
      <c r="F854" t="s">
        <v>822</v>
      </c>
      <c r="G854" t="s">
        <v>822</v>
      </c>
      <c r="H854" t="s">
        <v>54</v>
      </c>
      <c r="I854">
        <v>9920958</v>
      </c>
      <c r="J854" s="12">
        <v>46112</v>
      </c>
      <c r="K854" s="12">
        <v>46112</v>
      </c>
      <c r="L854" s="12">
        <v>46171</v>
      </c>
      <c r="M854">
        <v>-39</v>
      </c>
      <c r="N854">
        <v>235606777</v>
      </c>
      <c r="O854">
        <v>0</v>
      </c>
      <c r="P854">
        <v>235606777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 t="s">
        <v>47</v>
      </c>
      <c r="AA854" t="s">
        <v>55</v>
      </c>
      <c r="AB854" t="s">
        <v>51</v>
      </c>
      <c r="AC854" t="s">
        <v>51</v>
      </c>
      <c r="AD854" t="s">
        <v>51</v>
      </c>
      <c r="AE854" t="s">
        <v>834</v>
      </c>
      <c r="AF854" t="s">
        <v>468</v>
      </c>
    </row>
    <row r="855" spans="1:32" ht="14.5" customHeight="1" x14ac:dyDescent="0.35">
      <c r="A855" t="s">
        <v>175</v>
      </c>
      <c r="B855" t="s">
        <v>176</v>
      </c>
      <c r="C855" t="s">
        <v>47</v>
      </c>
      <c r="D855">
        <v>3001053</v>
      </c>
      <c r="E855">
        <v>3001044</v>
      </c>
      <c r="F855" t="s">
        <v>822</v>
      </c>
      <c r="G855" t="s">
        <v>822</v>
      </c>
      <c r="H855" t="s">
        <v>54</v>
      </c>
      <c r="I855">
        <v>9920980</v>
      </c>
      <c r="J855" s="12">
        <v>46112</v>
      </c>
      <c r="K855" s="12">
        <v>46112</v>
      </c>
      <c r="L855" s="12">
        <v>46171</v>
      </c>
      <c r="M855">
        <v>-39</v>
      </c>
      <c r="N855">
        <v>231547272</v>
      </c>
      <c r="O855">
        <v>0</v>
      </c>
      <c r="P855">
        <v>231547272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 t="s">
        <v>47</v>
      </c>
      <c r="AA855" t="s">
        <v>55</v>
      </c>
      <c r="AB855" t="s">
        <v>51</v>
      </c>
      <c r="AC855" t="s">
        <v>51</v>
      </c>
      <c r="AD855" t="s">
        <v>51</v>
      </c>
      <c r="AE855" t="s">
        <v>835</v>
      </c>
      <c r="AF855" t="s">
        <v>62</v>
      </c>
    </row>
    <row r="856" spans="1:32" ht="14.5" customHeight="1" x14ac:dyDescent="0.35">
      <c r="A856" t="s">
        <v>175</v>
      </c>
      <c r="B856" t="s">
        <v>176</v>
      </c>
      <c r="C856" t="s">
        <v>187</v>
      </c>
      <c r="D856">
        <v>3001053</v>
      </c>
      <c r="E856">
        <v>3100514</v>
      </c>
      <c r="F856" t="s">
        <v>822</v>
      </c>
      <c r="G856" t="s">
        <v>822</v>
      </c>
      <c r="H856" t="s">
        <v>54</v>
      </c>
      <c r="I856">
        <v>9925417</v>
      </c>
      <c r="J856" s="12">
        <v>46126</v>
      </c>
      <c r="K856" s="12">
        <v>46126</v>
      </c>
      <c r="L856" s="12">
        <v>46172</v>
      </c>
      <c r="M856">
        <v>-40</v>
      </c>
      <c r="N856">
        <v>229586997</v>
      </c>
      <c r="O856">
        <v>0</v>
      </c>
      <c r="P856">
        <v>229586997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 t="s">
        <v>187</v>
      </c>
      <c r="AA856" t="s">
        <v>55</v>
      </c>
      <c r="AB856" t="s">
        <v>51</v>
      </c>
      <c r="AC856" t="s">
        <v>51</v>
      </c>
      <c r="AD856" t="s">
        <v>51</v>
      </c>
      <c r="AE856" t="s">
        <v>836</v>
      </c>
      <c r="AF856" t="s">
        <v>62</v>
      </c>
    </row>
    <row r="857" spans="1:32" ht="14.5" customHeight="1" x14ac:dyDescent="0.35">
      <c r="A857" t="s">
        <v>175</v>
      </c>
      <c r="B857" t="s">
        <v>176</v>
      </c>
      <c r="C857" t="s">
        <v>187</v>
      </c>
      <c r="D857">
        <v>3001053</v>
      </c>
      <c r="E857">
        <v>3100588</v>
      </c>
      <c r="F857" t="s">
        <v>822</v>
      </c>
      <c r="G857" t="s">
        <v>822</v>
      </c>
      <c r="H857" t="s">
        <v>54</v>
      </c>
      <c r="I857">
        <v>9925713</v>
      </c>
      <c r="J857" s="12">
        <v>46127</v>
      </c>
      <c r="K857" s="12">
        <v>46127</v>
      </c>
      <c r="L857" s="12">
        <v>46173</v>
      </c>
      <c r="M857">
        <v>-41</v>
      </c>
      <c r="N857">
        <v>381629415</v>
      </c>
      <c r="O857">
        <v>0</v>
      </c>
      <c r="P857">
        <v>381629415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 t="s">
        <v>187</v>
      </c>
      <c r="AA857" t="s">
        <v>55</v>
      </c>
      <c r="AB857" t="s">
        <v>51</v>
      </c>
      <c r="AC857" t="s">
        <v>51</v>
      </c>
      <c r="AD857" t="s">
        <v>51</v>
      </c>
      <c r="AE857" t="s">
        <v>837</v>
      </c>
      <c r="AF857" t="s">
        <v>62</v>
      </c>
    </row>
    <row r="858" spans="1:32" ht="14.5" customHeight="1" x14ac:dyDescent="0.35">
      <c r="A858" t="s">
        <v>175</v>
      </c>
      <c r="B858" t="s">
        <v>176</v>
      </c>
      <c r="C858" t="s">
        <v>47</v>
      </c>
      <c r="D858">
        <v>3001053</v>
      </c>
      <c r="E858">
        <v>3001044</v>
      </c>
      <c r="F858" t="s">
        <v>822</v>
      </c>
      <c r="G858" t="s">
        <v>822</v>
      </c>
      <c r="H858" t="s">
        <v>140</v>
      </c>
      <c r="I858">
        <v>9926931</v>
      </c>
      <c r="J858" s="12">
        <v>46130</v>
      </c>
      <c r="K858" s="12">
        <v>46130</v>
      </c>
      <c r="L858" s="12">
        <v>46175</v>
      </c>
      <c r="M858">
        <v>-43</v>
      </c>
      <c r="N858">
        <v>203556</v>
      </c>
      <c r="O858">
        <v>0</v>
      </c>
      <c r="P858">
        <v>203556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 t="s">
        <v>47</v>
      </c>
      <c r="AA858" t="s">
        <v>55</v>
      </c>
      <c r="AB858" t="s">
        <v>51</v>
      </c>
      <c r="AC858" t="s">
        <v>51</v>
      </c>
      <c r="AD858" t="s">
        <v>51</v>
      </c>
      <c r="AE858" t="s">
        <v>838</v>
      </c>
      <c r="AF858" t="s">
        <v>839</v>
      </c>
    </row>
    <row r="859" spans="1:32" ht="14.5" customHeight="1" x14ac:dyDescent="0.35">
      <c r="A859" t="s">
        <v>84</v>
      </c>
      <c r="B859" t="s">
        <v>85</v>
      </c>
      <c r="C859" t="s">
        <v>47</v>
      </c>
      <c r="D859">
        <v>3001101</v>
      </c>
      <c r="E859">
        <v>3001101</v>
      </c>
      <c r="F859" t="s">
        <v>840</v>
      </c>
      <c r="G859" t="s">
        <v>840</v>
      </c>
      <c r="H859" t="s">
        <v>54</v>
      </c>
      <c r="I859">
        <v>6959485</v>
      </c>
      <c r="J859" s="12">
        <v>46127</v>
      </c>
      <c r="K859" s="12">
        <v>46127</v>
      </c>
      <c r="L859" s="12">
        <v>46127</v>
      </c>
      <c r="M859">
        <v>5</v>
      </c>
      <c r="N859">
        <v>-25925413</v>
      </c>
      <c r="O859">
        <v>-25925413</v>
      </c>
      <c r="P859">
        <v>0</v>
      </c>
      <c r="Q859">
        <v>-25925413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 t="s">
        <v>548</v>
      </c>
      <c r="AA859" t="s">
        <v>76</v>
      </c>
      <c r="AB859" t="s">
        <v>51</v>
      </c>
      <c r="AC859" t="s">
        <v>51</v>
      </c>
      <c r="AD859" t="s">
        <v>51</v>
      </c>
      <c r="AE859" t="s">
        <v>51</v>
      </c>
      <c r="AF859" t="s">
        <v>841</v>
      </c>
    </row>
    <row r="860" spans="1:32" ht="14.5" customHeight="1" x14ac:dyDescent="0.35">
      <c r="A860" t="s">
        <v>84</v>
      </c>
      <c r="B860" t="s">
        <v>85</v>
      </c>
      <c r="C860" t="s">
        <v>47</v>
      </c>
      <c r="D860">
        <v>3001101</v>
      </c>
      <c r="E860">
        <v>3001101</v>
      </c>
      <c r="F860" t="s">
        <v>840</v>
      </c>
      <c r="G860" t="s">
        <v>840</v>
      </c>
      <c r="H860" t="s">
        <v>54</v>
      </c>
      <c r="I860">
        <v>6959525</v>
      </c>
      <c r="J860" s="12">
        <v>46127</v>
      </c>
      <c r="K860" s="12">
        <v>46127</v>
      </c>
      <c r="L860" s="12">
        <v>46127</v>
      </c>
      <c r="M860">
        <v>5</v>
      </c>
      <c r="N860">
        <v>-12537711</v>
      </c>
      <c r="O860">
        <v>-12537711</v>
      </c>
      <c r="P860">
        <v>0</v>
      </c>
      <c r="Q860">
        <v>-12537711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 t="s">
        <v>548</v>
      </c>
      <c r="AA860" t="s">
        <v>76</v>
      </c>
      <c r="AB860" t="s">
        <v>51</v>
      </c>
      <c r="AC860" t="s">
        <v>51</v>
      </c>
      <c r="AD860" t="s">
        <v>51</v>
      </c>
      <c r="AE860" t="s">
        <v>51</v>
      </c>
      <c r="AF860" t="s">
        <v>842</v>
      </c>
    </row>
    <row r="861" spans="1:32" ht="14.5" customHeight="1" x14ac:dyDescent="0.35">
      <c r="A861" t="s">
        <v>84</v>
      </c>
      <c r="B861" t="s">
        <v>85</v>
      </c>
      <c r="C861" t="s">
        <v>47</v>
      </c>
      <c r="D861">
        <v>3001101</v>
      </c>
      <c r="E861">
        <v>3001101</v>
      </c>
      <c r="F861" t="s">
        <v>840</v>
      </c>
      <c r="G861" t="s">
        <v>840</v>
      </c>
      <c r="H861" t="s">
        <v>54</v>
      </c>
      <c r="I861">
        <v>6959596</v>
      </c>
      <c r="J861" s="12">
        <v>46127</v>
      </c>
      <c r="K861" s="12">
        <v>46127</v>
      </c>
      <c r="L861" s="12">
        <v>46127</v>
      </c>
      <c r="M861">
        <v>5</v>
      </c>
      <c r="N861">
        <v>-16350000</v>
      </c>
      <c r="O861">
        <v>-16350000</v>
      </c>
      <c r="P861">
        <v>0</v>
      </c>
      <c r="Q861">
        <v>-16350000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 t="s">
        <v>548</v>
      </c>
      <c r="AA861" t="s">
        <v>76</v>
      </c>
      <c r="AB861" t="s">
        <v>51</v>
      </c>
      <c r="AC861" t="s">
        <v>51</v>
      </c>
      <c r="AD861" t="s">
        <v>51</v>
      </c>
      <c r="AE861" t="s">
        <v>51</v>
      </c>
      <c r="AF861" t="s">
        <v>843</v>
      </c>
    </row>
    <row r="862" spans="1:32" ht="14.5" customHeight="1" x14ac:dyDescent="0.35">
      <c r="A862" t="s">
        <v>84</v>
      </c>
      <c r="B862" t="s">
        <v>85</v>
      </c>
      <c r="C862" t="s">
        <v>47</v>
      </c>
      <c r="D862">
        <v>3001101</v>
      </c>
      <c r="E862">
        <v>3001101</v>
      </c>
      <c r="F862" t="s">
        <v>840</v>
      </c>
      <c r="G862" t="s">
        <v>840</v>
      </c>
      <c r="H862" t="s">
        <v>54</v>
      </c>
      <c r="I862">
        <v>6959639</v>
      </c>
      <c r="J862" s="12">
        <v>46127</v>
      </c>
      <c r="K862" s="12">
        <v>46127</v>
      </c>
      <c r="L862" s="12">
        <v>46127</v>
      </c>
      <c r="M862">
        <v>5</v>
      </c>
      <c r="N862">
        <v>-25925413</v>
      </c>
      <c r="O862">
        <v>-25925413</v>
      </c>
      <c r="P862">
        <v>0</v>
      </c>
      <c r="Q862">
        <v>-25925413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 t="s">
        <v>548</v>
      </c>
      <c r="AA862" t="s">
        <v>76</v>
      </c>
      <c r="AB862" t="s">
        <v>51</v>
      </c>
      <c r="AC862" t="s">
        <v>51</v>
      </c>
      <c r="AD862" t="s">
        <v>51</v>
      </c>
      <c r="AE862" t="s">
        <v>51</v>
      </c>
      <c r="AF862" t="s">
        <v>844</v>
      </c>
    </row>
    <row r="863" spans="1:32" ht="14.5" customHeight="1" x14ac:dyDescent="0.35">
      <c r="A863" t="s">
        <v>84</v>
      </c>
      <c r="B863" t="s">
        <v>85</v>
      </c>
      <c r="C863" t="s">
        <v>47</v>
      </c>
      <c r="D863">
        <v>3001101</v>
      </c>
      <c r="E863">
        <v>3001101</v>
      </c>
      <c r="F863" t="s">
        <v>840</v>
      </c>
      <c r="G863" t="s">
        <v>840</v>
      </c>
      <c r="H863" t="s">
        <v>54</v>
      </c>
      <c r="I863">
        <v>6959754</v>
      </c>
      <c r="J863" s="12">
        <v>46128</v>
      </c>
      <c r="K863" s="12">
        <v>46128</v>
      </c>
      <c r="L863" s="12">
        <v>46128</v>
      </c>
      <c r="M863">
        <v>4</v>
      </c>
      <c r="N863">
        <v>-25569411</v>
      </c>
      <c r="O863">
        <v>-25569411</v>
      </c>
      <c r="P863">
        <v>0</v>
      </c>
      <c r="Q863">
        <v>-25569411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 t="s">
        <v>548</v>
      </c>
      <c r="AA863" t="s">
        <v>76</v>
      </c>
      <c r="AB863" t="s">
        <v>51</v>
      </c>
      <c r="AC863" t="s">
        <v>51</v>
      </c>
      <c r="AD863" t="s">
        <v>51</v>
      </c>
      <c r="AE863" t="s">
        <v>51</v>
      </c>
      <c r="AF863" t="s">
        <v>56</v>
      </c>
    </row>
    <row r="864" spans="1:32" ht="14.5" customHeight="1" x14ac:dyDescent="0.35">
      <c r="A864" t="s">
        <v>84</v>
      </c>
      <c r="B864" t="s">
        <v>85</v>
      </c>
      <c r="C864" t="s">
        <v>47</v>
      </c>
      <c r="D864">
        <v>3001101</v>
      </c>
      <c r="E864">
        <v>3001101</v>
      </c>
      <c r="F864" t="s">
        <v>840</v>
      </c>
      <c r="G864" t="s">
        <v>840</v>
      </c>
      <c r="H864" t="s">
        <v>140</v>
      </c>
      <c r="I864">
        <v>9923238</v>
      </c>
      <c r="J864" s="12">
        <v>46121</v>
      </c>
      <c r="K864" s="12">
        <v>46121</v>
      </c>
      <c r="L864" s="12">
        <v>46156</v>
      </c>
      <c r="M864">
        <v>-24</v>
      </c>
      <c r="N864">
        <v>965</v>
      </c>
      <c r="O864">
        <v>0</v>
      </c>
      <c r="P864">
        <v>965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 t="s">
        <v>548</v>
      </c>
      <c r="AA864" t="s">
        <v>76</v>
      </c>
      <c r="AB864" t="s">
        <v>51</v>
      </c>
      <c r="AC864" t="s">
        <v>51</v>
      </c>
      <c r="AD864" t="s">
        <v>51</v>
      </c>
      <c r="AE864" t="s">
        <v>845</v>
      </c>
      <c r="AF864" t="s">
        <v>320</v>
      </c>
    </row>
    <row r="865" spans="1:32" ht="14.5" customHeight="1" x14ac:dyDescent="0.35">
      <c r="A865" t="s">
        <v>84</v>
      </c>
      <c r="B865" t="s">
        <v>85</v>
      </c>
      <c r="C865" t="s">
        <v>846</v>
      </c>
      <c r="D865">
        <v>3001101</v>
      </c>
      <c r="E865">
        <v>3001101</v>
      </c>
      <c r="F865" t="s">
        <v>840</v>
      </c>
      <c r="G865" t="s">
        <v>840</v>
      </c>
      <c r="H865" t="s">
        <v>54</v>
      </c>
      <c r="I865">
        <v>9925455</v>
      </c>
      <c r="J865" s="12">
        <v>46126</v>
      </c>
      <c r="K865" s="12">
        <v>46126</v>
      </c>
      <c r="L865" s="12">
        <v>46162</v>
      </c>
      <c r="M865">
        <v>-30</v>
      </c>
      <c r="N865">
        <v>287600219</v>
      </c>
      <c r="O865">
        <v>0</v>
      </c>
      <c r="P865">
        <v>287600219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 t="s">
        <v>548</v>
      </c>
      <c r="AA865" t="s">
        <v>76</v>
      </c>
      <c r="AB865" t="s">
        <v>51</v>
      </c>
      <c r="AC865" t="s">
        <v>51</v>
      </c>
      <c r="AD865" t="s">
        <v>51</v>
      </c>
      <c r="AE865" t="s">
        <v>847</v>
      </c>
      <c r="AF865" t="s">
        <v>292</v>
      </c>
    </row>
    <row r="866" spans="1:32" ht="14.5" customHeight="1" x14ac:dyDescent="0.35">
      <c r="A866" t="s">
        <v>84</v>
      </c>
      <c r="B866" t="s">
        <v>85</v>
      </c>
      <c r="C866" t="s">
        <v>846</v>
      </c>
      <c r="D866">
        <v>3001101</v>
      </c>
      <c r="E866">
        <v>3001101</v>
      </c>
      <c r="F866" t="s">
        <v>840</v>
      </c>
      <c r="G866" t="s">
        <v>840</v>
      </c>
      <c r="H866" t="s">
        <v>54</v>
      </c>
      <c r="I866">
        <v>9925459</v>
      </c>
      <c r="J866" s="12">
        <v>46126</v>
      </c>
      <c r="K866" s="12">
        <v>46126</v>
      </c>
      <c r="L866" s="12">
        <v>46162</v>
      </c>
      <c r="M866">
        <v>-30</v>
      </c>
      <c r="N866">
        <v>987358</v>
      </c>
      <c r="O866">
        <v>0</v>
      </c>
      <c r="P866">
        <v>987358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 t="s">
        <v>548</v>
      </c>
      <c r="AA866" t="s">
        <v>76</v>
      </c>
      <c r="AB866" t="s">
        <v>51</v>
      </c>
      <c r="AC866" t="s">
        <v>51</v>
      </c>
      <c r="AD866" t="s">
        <v>51</v>
      </c>
      <c r="AE866" t="s">
        <v>848</v>
      </c>
      <c r="AF866" t="s">
        <v>163</v>
      </c>
    </row>
    <row r="867" spans="1:32" ht="14.5" customHeight="1" x14ac:dyDescent="0.35">
      <c r="A867" t="s">
        <v>84</v>
      </c>
      <c r="B867" t="s">
        <v>85</v>
      </c>
      <c r="C867" t="s">
        <v>47</v>
      </c>
      <c r="D867">
        <v>3001102</v>
      </c>
      <c r="E867">
        <v>3001102</v>
      </c>
      <c r="F867" t="s">
        <v>849</v>
      </c>
      <c r="G867" t="s">
        <v>849</v>
      </c>
      <c r="H867" t="s">
        <v>54</v>
      </c>
      <c r="I867">
        <v>6956321</v>
      </c>
      <c r="J867" s="12">
        <v>46098</v>
      </c>
      <c r="K867" s="12">
        <v>46098</v>
      </c>
      <c r="L867" s="12">
        <v>46098</v>
      </c>
      <c r="M867">
        <v>34</v>
      </c>
      <c r="N867">
        <v>-4166759</v>
      </c>
      <c r="O867">
        <v>-4166759</v>
      </c>
      <c r="P867">
        <v>0</v>
      </c>
      <c r="Q867">
        <v>0</v>
      </c>
      <c r="R867">
        <v>-4166759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 t="s">
        <v>548</v>
      </c>
      <c r="AA867" t="s">
        <v>76</v>
      </c>
      <c r="AB867" t="s">
        <v>51</v>
      </c>
      <c r="AC867" t="s">
        <v>51</v>
      </c>
      <c r="AD867" t="s">
        <v>51</v>
      </c>
      <c r="AE867" t="s">
        <v>51</v>
      </c>
      <c r="AF867" t="s">
        <v>850</v>
      </c>
    </row>
    <row r="868" spans="1:32" ht="14.5" customHeight="1" x14ac:dyDescent="0.35">
      <c r="A868" t="s">
        <v>84</v>
      </c>
      <c r="B868" t="s">
        <v>85</v>
      </c>
      <c r="C868" t="s">
        <v>47</v>
      </c>
      <c r="D868">
        <v>3001102</v>
      </c>
      <c r="E868">
        <v>3100938</v>
      </c>
      <c r="F868" t="s">
        <v>849</v>
      </c>
      <c r="G868" t="s">
        <v>851</v>
      </c>
      <c r="H868" t="s">
        <v>54</v>
      </c>
      <c r="I868">
        <v>6956333</v>
      </c>
      <c r="J868" s="12">
        <v>46098</v>
      </c>
      <c r="K868" s="12">
        <v>46098</v>
      </c>
      <c r="L868" s="12">
        <v>46098</v>
      </c>
      <c r="M868">
        <v>34</v>
      </c>
      <c r="N868">
        <v>-4077433</v>
      </c>
      <c r="O868">
        <v>-4077433</v>
      </c>
      <c r="P868">
        <v>0</v>
      </c>
      <c r="Q868">
        <v>0</v>
      </c>
      <c r="R868">
        <v>-4077433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 t="s">
        <v>846</v>
      </c>
      <c r="AA868" t="s">
        <v>76</v>
      </c>
      <c r="AB868" t="s">
        <v>51</v>
      </c>
      <c r="AC868" t="s">
        <v>51</v>
      </c>
      <c r="AD868" t="s">
        <v>51</v>
      </c>
      <c r="AE868" t="s">
        <v>51</v>
      </c>
      <c r="AF868" t="s">
        <v>852</v>
      </c>
    </row>
    <row r="869" spans="1:32" ht="14.5" customHeight="1" x14ac:dyDescent="0.35">
      <c r="A869" t="s">
        <v>84</v>
      </c>
      <c r="B869" t="s">
        <v>85</v>
      </c>
      <c r="C869" t="s">
        <v>47</v>
      </c>
      <c r="D869">
        <v>3001102</v>
      </c>
      <c r="E869">
        <v>3001102</v>
      </c>
      <c r="F869" t="s">
        <v>849</v>
      </c>
      <c r="G869" t="s">
        <v>849</v>
      </c>
      <c r="H869" t="s">
        <v>54</v>
      </c>
      <c r="I869">
        <v>6956534</v>
      </c>
      <c r="J869" s="12">
        <v>46105</v>
      </c>
      <c r="K869" s="12">
        <v>46105</v>
      </c>
      <c r="L869" s="12">
        <v>46105</v>
      </c>
      <c r="M869">
        <v>27</v>
      </c>
      <c r="N869">
        <v>-590405</v>
      </c>
      <c r="O869">
        <v>-590405</v>
      </c>
      <c r="P869">
        <v>0</v>
      </c>
      <c r="Q869">
        <v>-590405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 t="s">
        <v>548</v>
      </c>
      <c r="AA869" t="s">
        <v>76</v>
      </c>
      <c r="AB869" t="s">
        <v>51</v>
      </c>
      <c r="AC869" t="s">
        <v>51</v>
      </c>
      <c r="AD869" t="s">
        <v>51</v>
      </c>
      <c r="AE869" t="s">
        <v>51</v>
      </c>
      <c r="AF869" t="s">
        <v>853</v>
      </c>
    </row>
    <row r="870" spans="1:32" ht="14.5" customHeight="1" x14ac:dyDescent="0.35">
      <c r="A870" t="s">
        <v>84</v>
      </c>
      <c r="B870" t="s">
        <v>85</v>
      </c>
      <c r="C870" t="s">
        <v>47</v>
      </c>
      <c r="D870">
        <v>3001102</v>
      </c>
      <c r="E870">
        <v>3001102</v>
      </c>
      <c r="F870" t="s">
        <v>849</v>
      </c>
      <c r="G870" t="s">
        <v>849</v>
      </c>
      <c r="H870" t="s">
        <v>54</v>
      </c>
      <c r="I870">
        <v>6956543</v>
      </c>
      <c r="J870" s="12">
        <v>46105</v>
      </c>
      <c r="K870" s="12">
        <v>46105</v>
      </c>
      <c r="L870" s="12">
        <v>46105</v>
      </c>
      <c r="M870">
        <v>27</v>
      </c>
      <c r="N870">
        <v>-1258400</v>
      </c>
      <c r="O870">
        <v>-1258400</v>
      </c>
      <c r="P870">
        <v>0</v>
      </c>
      <c r="Q870">
        <v>-1258400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 t="s">
        <v>548</v>
      </c>
      <c r="AA870" t="s">
        <v>76</v>
      </c>
      <c r="AB870" t="s">
        <v>51</v>
      </c>
      <c r="AC870" t="s">
        <v>51</v>
      </c>
      <c r="AD870" t="s">
        <v>51</v>
      </c>
      <c r="AE870" t="s">
        <v>51</v>
      </c>
      <c r="AF870" t="s">
        <v>853</v>
      </c>
    </row>
    <row r="871" spans="1:32" ht="14.5" customHeight="1" x14ac:dyDescent="0.35">
      <c r="A871" t="s">
        <v>84</v>
      </c>
      <c r="B871" t="s">
        <v>85</v>
      </c>
      <c r="C871" t="s">
        <v>47</v>
      </c>
      <c r="D871">
        <v>3001102</v>
      </c>
      <c r="E871">
        <v>3001102</v>
      </c>
      <c r="F871" t="s">
        <v>849</v>
      </c>
      <c r="G871" t="s">
        <v>849</v>
      </c>
      <c r="H871" t="s">
        <v>54</v>
      </c>
      <c r="I871">
        <v>6956544</v>
      </c>
      <c r="J871" s="12">
        <v>46105</v>
      </c>
      <c r="K871" s="12">
        <v>46105</v>
      </c>
      <c r="L871" s="12">
        <v>46105</v>
      </c>
      <c r="M871">
        <v>27</v>
      </c>
      <c r="N871">
        <v>-607750</v>
      </c>
      <c r="O871">
        <v>-607750</v>
      </c>
      <c r="P871">
        <v>0</v>
      </c>
      <c r="Q871">
        <v>-607750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 t="s">
        <v>548</v>
      </c>
      <c r="AA871" t="s">
        <v>76</v>
      </c>
      <c r="AB871" t="s">
        <v>51</v>
      </c>
      <c r="AC871" t="s">
        <v>51</v>
      </c>
      <c r="AD871" t="s">
        <v>51</v>
      </c>
      <c r="AE871" t="s">
        <v>51</v>
      </c>
      <c r="AF871" t="s">
        <v>853</v>
      </c>
    </row>
    <row r="872" spans="1:32" ht="14.5" customHeight="1" x14ac:dyDescent="0.35">
      <c r="A872" t="s">
        <v>84</v>
      </c>
      <c r="B872" t="s">
        <v>85</v>
      </c>
      <c r="C872" t="s">
        <v>47</v>
      </c>
      <c r="D872">
        <v>3001102</v>
      </c>
      <c r="E872">
        <v>3001102</v>
      </c>
      <c r="F872" t="s">
        <v>849</v>
      </c>
      <c r="G872" t="s">
        <v>849</v>
      </c>
      <c r="H872" t="s">
        <v>54</v>
      </c>
      <c r="I872">
        <v>6956545</v>
      </c>
      <c r="J872" s="12">
        <v>46105</v>
      </c>
      <c r="K872" s="12">
        <v>46105</v>
      </c>
      <c r="L872" s="12">
        <v>46105</v>
      </c>
      <c r="M872">
        <v>27</v>
      </c>
      <c r="N872">
        <v>-947811</v>
      </c>
      <c r="O872">
        <v>-947811</v>
      </c>
      <c r="P872">
        <v>0</v>
      </c>
      <c r="Q872">
        <v>-947811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 t="s">
        <v>548</v>
      </c>
      <c r="AA872" t="s">
        <v>76</v>
      </c>
      <c r="AB872" t="s">
        <v>51</v>
      </c>
      <c r="AC872" t="s">
        <v>51</v>
      </c>
      <c r="AD872" t="s">
        <v>51</v>
      </c>
      <c r="AE872" t="s">
        <v>51</v>
      </c>
      <c r="AF872" t="s">
        <v>853</v>
      </c>
    </row>
    <row r="873" spans="1:32" ht="14.5" customHeight="1" x14ac:dyDescent="0.35">
      <c r="A873" t="s">
        <v>84</v>
      </c>
      <c r="B873" t="s">
        <v>85</v>
      </c>
      <c r="C873" t="s">
        <v>47</v>
      </c>
      <c r="D873">
        <v>3001102</v>
      </c>
      <c r="E873">
        <v>3001102</v>
      </c>
      <c r="F873" t="s">
        <v>849</v>
      </c>
      <c r="G873" t="s">
        <v>849</v>
      </c>
      <c r="H873" t="s">
        <v>54</v>
      </c>
      <c r="I873">
        <v>6956783</v>
      </c>
      <c r="J873" s="12">
        <v>46106</v>
      </c>
      <c r="K873" s="12">
        <v>46106</v>
      </c>
      <c r="L873" s="12">
        <v>46106</v>
      </c>
      <c r="M873">
        <v>26</v>
      </c>
      <c r="N873">
        <v>-1308000</v>
      </c>
      <c r="O873">
        <v>-1308000</v>
      </c>
      <c r="P873">
        <v>0</v>
      </c>
      <c r="Q873">
        <v>-1308000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 t="s">
        <v>548</v>
      </c>
      <c r="AA873" t="s">
        <v>76</v>
      </c>
      <c r="AB873" t="s">
        <v>51</v>
      </c>
      <c r="AC873" t="s">
        <v>51</v>
      </c>
      <c r="AD873" t="s">
        <v>51</v>
      </c>
      <c r="AE873" t="s">
        <v>51</v>
      </c>
      <c r="AF873" t="s">
        <v>854</v>
      </c>
    </row>
    <row r="874" spans="1:32" ht="14.5" customHeight="1" x14ac:dyDescent="0.35">
      <c r="A874" t="s">
        <v>84</v>
      </c>
      <c r="B874" t="s">
        <v>85</v>
      </c>
      <c r="C874" t="s">
        <v>47</v>
      </c>
      <c r="D874">
        <v>3001102</v>
      </c>
      <c r="E874">
        <v>3100938</v>
      </c>
      <c r="F874" t="s">
        <v>849</v>
      </c>
      <c r="G874" t="s">
        <v>851</v>
      </c>
      <c r="H874" t="s">
        <v>54</v>
      </c>
      <c r="I874">
        <v>6956815</v>
      </c>
      <c r="J874" s="12">
        <v>46106</v>
      </c>
      <c r="K874" s="12">
        <v>46106</v>
      </c>
      <c r="L874" s="12">
        <v>46106</v>
      </c>
      <c r="M874">
        <v>26</v>
      </c>
      <c r="N874">
        <v>-136250</v>
      </c>
      <c r="O874">
        <v>-136250</v>
      </c>
      <c r="P874">
        <v>0</v>
      </c>
      <c r="Q874">
        <v>-136250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 t="s">
        <v>846</v>
      </c>
      <c r="AA874" t="s">
        <v>76</v>
      </c>
      <c r="AB874" t="s">
        <v>51</v>
      </c>
      <c r="AC874" t="s">
        <v>51</v>
      </c>
      <c r="AD874" t="s">
        <v>51</v>
      </c>
      <c r="AE874" t="s">
        <v>51</v>
      </c>
      <c r="AF874" t="s">
        <v>855</v>
      </c>
    </row>
    <row r="875" spans="1:32" ht="14.5" customHeight="1" x14ac:dyDescent="0.35">
      <c r="A875" t="s">
        <v>84</v>
      </c>
      <c r="B875" t="s">
        <v>85</v>
      </c>
      <c r="C875" t="s">
        <v>47</v>
      </c>
      <c r="D875">
        <v>3001102</v>
      </c>
      <c r="E875">
        <v>3001102</v>
      </c>
      <c r="F875" t="s">
        <v>849</v>
      </c>
      <c r="G875" t="s">
        <v>849</v>
      </c>
      <c r="H875" t="s">
        <v>54</v>
      </c>
      <c r="I875">
        <v>6956816</v>
      </c>
      <c r="J875" s="12">
        <v>46106</v>
      </c>
      <c r="K875" s="12">
        <v>46106</v>
      </c>
      <c r="L875" s="12">
        <v>46106</v>
      </c>
      <c r="M875">
        <v>26</v>
      </c>
      <c r="N875">
        <v>-1526000</v>
      </c>
      <c r="O875">
        <v>-1526000</v>
      </c>
      <c r="P875">
        <v>0</v>
      </c>
      <c r="Q875">
        <v>-1526000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 t="s">
        <v>548</v>
      </c>
      <c r="AA875" t="s">
        <v>76</v>
      </c>
      <c r="AB875" t="s">
        <v>51</v>
      </c>
      <c r="AC875" t="s">
        <v>51</v>
      </c>
      <c r="AD875" t="s">
        <v>51</v>
      </c>
      <c r="AE875" t="s">
        <v>51</v>
      </c>
      <c r="AF875" t="s">
        <v>856</v>
      </c>
    </row>
    <row r="876" spans="1:32" ht="14.5" customHeight="1" x14ac:dyDescent="0.35">
      <c r="A876" t="s">
        <v>84</v>
      </c>
      <c r="B876" t="s">
        <v>85</v>
      </c>
      <c r="C876" t="s">
        <v>47</v>
      </c>
      <c r="D876">
        <v>3001102</v>
      </c>
      <c r="E876">
        <v>3001102</v>
      </c>
      <c r="F876" t="s">
        <v>849</v>
      </c>
      <c r="G876" t="s">
        <v>849</v>
      </c>
      <c r="H876" t="s">
        <v>54</v>
      </c>
      <c r="I876">
        <v>6956851</v>
      </c>
      <c r="J876" s="12">
        <v>46106</v>
      </c>
      <c r="K876" s="12">
        <v>46106</v>
      </c>
      <c r="L876" s="12">
        <v>46106</v>
      </c>
      <c r="M876">
        <v>26</v>
      </c>
      <c r="N876">
        <v>-12262500</v>
      </c>
      <c r="O876">
        <v>-12262500</v>
      </c>
      <c r="P876">
        <v>0</v>
      </c>
      <c r="Q876">
        <v>-12262500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 t="s">
        <v>548</v>
      </c>
      <c r="AA876" t="s">
        <v>76</v>
      </c>
      <c r="AB876" t="s">
        <v>51</v>
      </c>
      <c r="AC876" t="s">
        <v>51</v>
      </c>
      <c r="AD876" t="s">
        <v>51</v>
      </c>
      <c r="AE876" t="s">
        <v>51</v>
      </c>
      <c r="AF876" t="s">
        <v>857</v>
      </c>
    </row>
    <row r="877" spans="1:32" ht="14.5" customHeight="1" x14ac:dyDescent="0.35">
      <c r="A877" t="s">
        <v>84</v>
      </c>
      <c r="B877" t="s">
        <v>85</v>
      </c>
      <c r="C877" t="s">
        <v>47</v>
      </c>
      <c r="D877">
        <v>3001102</v>
      </c>
      <c r="E877">
        <v>3001102</v>
      </c>
      <c r="F877" t="s">
        <v>849</v>
      </c>
      <c r="G877" t="s">
        <v>849</v>
      </c>
      <c r="H877" t="s">
        <v>54</v>
      </c>
      <c r="I877">
        <v>6956852</v>
      </c>
      <c r="J877" s="12">
        <v>46106</v>
      </c>
      <c r="K877" s="12">
        <v>46106</v>
      </c>
      <c r="L877" s="12">
        <v>46106</v>
      </c>
      <c r="M877">
        <v>26</v>
      </c>
      <c r="N877">
        <v>-2452500</v>
      </c>
      <c r="O877">
        <v>-2452500</v>
      </c>
      <c r="P877">
        <v>0</v>
      </c>
      <c r="Q877">
        <v>-2452500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 t="s">
        <v>548</v>
      </c>
      <c r="AA877" t="s">
        <v>76</v>
      </c>
      <c r="AB877" t="s">
        <v>51</v>
      </c>
      <c r="AC877" t="s">
        <v>51</v>
      </c>
      <c r="AD877" t="s">
        <v>51</v>
      </c>
      <c r="AE877" t="s">
        <v>51</v>
      </c>
      <c r="AF877" t="s">
        <v>858</v>
      </c>
    </row>
    <row r="878" spans="1:32" ht="14.5" customHeight="1" x14ac:dyDescent="0.35">
      <c r="A878" t="s">
        <v>84</v>
      </c>
      <c r="B878" t="s">
        <v>85</v>
      </c>
      <c r="C878" t="s">
        <v>47</v>
      </c>
      <c r="D878">
        <v>3001102</v>
      </c>
      <c r="E878">
        <v>3001102</v>
      </c>
      <c r="F878" t="s">
        <v>849</v>
      </c>
      <c r="G878" t="s">
        <v>849</v>
      </c>
      <c r="H878" t="s">
        <v>54</v>
      </c>
      <c r="I878">
        <v>6956888</v>
      </c>
      <c r="J878" s="12">
        <v>46106</v>
      </c>
      <c r="K878" s="12">
        <v>46106</v>
      </c>
      <c r="L878" s="12">
        <v>46106</v>
      </c>
      <c r="M878">
        <v>26</v>
      </c>
      <c r="N878">
        <v>-10109564</v>
      </c>
      <c r="O878">
        <v>-10109564</v>
      </c>
      <c r="P878">
        <v>0</v>
      </c>
      <c r="Q878">
        <v>-10109564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 t="s">
        <v>548</v>
      </c>
      <c r="AA878" t="s">
        <v>76</v>
      </c>
      <c r="AB878" t="s">
        <v>51</v>
      </c>
      <c r="AC878" t="s">
        <v>51</v>
      </c>
      <c r="AD878" t="s">
        <v>51</v>
      </c>
      <c r="AE878" t="s">
        <v>51</v>
      </c>
      <c r="AF878" t="s">
        <v>857</v>
      </c>
    </row>
    <row r="879" spans="1:32" ht="14.5" customHeight="1" x14ac:dyDescent="0.35">
      <c r="A879" t="s">
        <v>84</v>
      </c>
      <c r="B879" t="s">
        <v>85</v>
      </c>
      <c r="C879" t="s">
        <v>47</v>
      </c>
      <c r="D879">
        <v>3001102</v>
      </c>
      <c r="E879">
        <v>3001102</v>
      </c>
      <c r="F879" t="s">
        <v>849</v>
      </c>
      <c r="G879" t="s">
        <v>849</v>
      </c>
      <c r="H879" t="s">
        <v>54</v>
      </c>
      <c r="I879">
        <v>6956889</v>
      </c>
      <c r="J879" s="12">
        <v>46106</v>
      </c>
      <c r="K879" s="12">
        <v>46106</v>
      </c>
      <c r="L879" s="12">
        <v>46106</v>
      </c>
      <c r="M879">
        <v>26</v>
      </c>
      <c r="N879">
        <v>-981000</v>
      </c>
      <c r="O879">
        <v>-981000</v>
      </c>
      <c r="P879">
        <v>0</v>
      </c>
      <c r="Q879">
        <v>-981000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 t="s">
        <v>548</v>
      </c>
      <c r="AA879" t="s">
        <v>76</v>
      </c>
      <c r="AB879" t="s">
        <v>51</v>
      </c>
      <c r="AC879" t="s">
        <v>51</v>
      </c>
      <c r="AD879" t="s">
        <v>51</v>
      </c>
      <c r="AE879" t="s">
        <v>51</v>
      </c>
      <c r="AF879" t="s">
        <v>857</v>
      </c>
    </row>
    <row r="880" spans="1:32" ht="14.5" customHeight="1" x14ac:dyDescent="0.35">
      <c r="A880" t="s">
        <v>84</v>
      </c>
      <c r="B880" t="s">
        <v>85</v>
      </c>
      <c r="C880" t="s">
        <v>47</v>
      </c>
      <c r="D880">
        <v>3001102</v>
      </c>
      <c r="E880">
        <v>3001102</v>
      </c>
      <c r="F880" t="s">
        <v>849</v>
      </c>
      <c r="G880" t="s">
        <v>849</v>
      </c>
      <c r="H880" t="s">
        <v>54</v>
      </c>
      <c r="I880">
        <v>6957015</v>
      </c>
      <c r="J880" s="12">
        <v>46106</v>
      </c>
      <c r="K880" s="12">
        <v>46106</v>
      </c>
      <c r="L880" s="12">
        <v>46106</v>
      </c>
      <c r="M880">
        <v>26</v>
      </c>
      <c r="N880">
        <v>-18877892</v>
      </c>
      <c r="O880">
        <v>-18877892</v>
      </c>
      <c r="P880">
        <v>0</v>
      </c>
      <c r="Q880">
        <v>-18877892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 t="s">
        <v>548</v>
      </c>
      <c r="AA880" t="s">
        <v>76</v>
      </c>
      <c r="AB880" t="s">
        <v>51</v>
      </c>
      <c r="AC880" t="s">
        <v>51</v>
      </c>
      <c r="AD880" t="s">
        <v>51</v>
      </c>
      <c r="AE880" t="s">
        <v>51</v>
      </c>
      <c r="AF880" t="s">
        <v>859</v>
      </c>
    </row>
    <row r="881" spans="1:32" ht="14.5" customHeight="1" x14ac:dyDescent="0.35">
      <c r="A881" t="s">
        <v>84</v>
      </c>
      <c r="B881" t="s">
        <v>85</v>
      </c>
      <c r="C881" t="s">
        <v>47</v>
      </c>
      <c r="D881">
        <v>3001102</v>
      </c>
      <c r="E881">
        <v>3001102</v>
      </c>
      <c r="F881" t="s">
        <v>849</v>
      </c>
      <c r="G881" t="s">
        <v>849</v>
      </c>
      <c r="H881" t="s">
        <v>54</v>
      </c>
      <c r="I881">
        <v>6957144</v>
      </c>
      <c r="J881" s="12">
        <v>46106</v>
      </c>
      <c r="K881" s="12">
        <v>46106</v>
      </c>
      <c r="L881" s="12">
        <v>46106</v>
      </c>
      <c r="M881">
        <v>26</v>
      </c>
      <c r="N881">
        <v>-19293000</v>
      </c>
      <c r="O881">
        <v>-19293000</v>
      </c>
      <c r="P881">
        <v>0</v>
      </c>
      <c r="Q881">
        <v>-19293000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 t="s">
        <v>548</v>
      </c>
      <c r="AA881" t="s">
        <v>76</v>
      </c>
      <c r="AB881" t="s">
        <v>51</v>
      </c>
      <c r="AC881" t="s">
        <v>51</v>
      </c>
      <c r="AD881" t="s">
        <v>51</v>
      </c>
      <c r="AE881" t="s">
        <v>51</v>
      </c>
      <c r="AF881" t="s">
        <v>858</v>
      </c>
    </row>
    <row r="882" spans="1:32" ht="14.5" customHeight="1" x14ac:dyDescent="0.35">
      <c r="A882" t="s">
        <v>84</v>
      </c>
      <c r="B882" t="s">
        <v>85</v>
      </c>
      <c r="C882" t="s">
        <v>47</v>
      </c>
      <c r="D882">
        <v>3001102</v>
      </c>
      <c r="E882">
        <v>3001102</v>
      </c>
      <c r="F882" t="s">
        <v>849</v>
      </c>
      <c r="G882" t="s">
        <v>849</v>
      </c>
      <c r="H882" t="s">
        <v>54</v>
      </c>
      <c r="I882">
        <v>6957145</v>
      </c>
      <c r="J882" s="12">
        <v>46106</v>
      </c>
      <c r="K882" s="12">
        <v>46106</v>
      </c>
      <c r="L882" s="12">
        <v>46106</v>
      </c>
      <c r="M882">
        <v>26</v>
      </c>
      <c r="N882">
        <v>-2125000</v>
      </c>
      <c r="O882">
        <v>-2125000</v>
      </c>
      <c r="P882">
        <v>0</v>
      </c>
      <c r="Q882">
        <v>-2125000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 t="s">
        <v>548</v>
      </c>
      <c r="AA882" t="s">
        <v>76</v>
      </c>
      <c r="AB882" t="s">
        <v>51</v>
      </c>
      <c r="AC882" t="s">
        <v>51</v>
      </c>
      <c r="AD882" t="s">
        <v>51</v>
      </c>
      <c r="AE882" t="s">
        <v>51</v>
      </c>
      <c r="AF882" t="s">
        <v>860</v>
      </c>
    </row>
    <row r="883" spans="1:32" ht="14.5" customHeight="1" x14ac:dyDescent="0.35">
      <c r="A883" t="s">
        <v>84</v>
      </c>
      <c r="B883" t="s">
        <v>85</v>
      </c>
      <c r="C883" t="s">
        <v>47</v>
      </c>
      <c r="D883">
        <v>3001102</v>
      </c>
      <c r="E883">
        <v>3001102</v>
      </c>
      <c r="F883" t="s">
        <v>849</v>
      </c>
      <c r="G883" t="s">
        <v>849</v>
      </c>
      <c r="H883" t="s">
        <v>54</v>
      </c>
      <c r="I883">
        <v>6957146</v>
      </c>
      <c r="J883" s="12">
        <v>46106</v>
      </c>
      <c r="K883" s="12">
        <v>46106</v>
      </c>
      <c r="L883" s="12">
        <v>46106</v>
      </c>
      <c r="M883">
        <v>26</v>
      </c>
      <c r="N883">
        <v>-6086000</v>
      </c>
      <c r="O883">
        <v>-6086000</v>
      </c>
      <c r="P883">
        <v>0</v>
      </c>
      <c r="Q883">
        <v>-6086000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 t="s">
        <v>548</v>
      </c>
      <c r="AA883" t="s">
        <v>76</v>
      </c>
      <c r="AB883" t="s">
        <v>51</v>
      </c>
      <c r="AC883" t="s">
        <v>51</v>
      </c>
      <c r="AD883" t="s">
        <v>51</v>
      </c>
      <c r="AE883" t="s">
        <v>51</v>
      </c>
      <c r="AF883" t="s">
        <v>859</v>
      </c>
    </row>
    <row r="884" spans="1:32" ht="14.5" customHeight="1" x14ac:dyDescent="0.35">
      <c r="A884" t="s">
        <v>84</v>
      </c>
      <c r="B884" t="s">
        <v>85</v>
      </c>
      <c r="C884" t="s">
        <v>47</v>
      </c>
      <c r="D884">
        <v>3001102</v>
      </c>
      <c r="E884">
        <v>3001102</v>
      </c>
      <c r="F884" t="s">
        <v>849</v>
      </c>
      <c r="G884" t="s">
        <v>849</v>
      </c>
      <c r="H884" t="s">
        <v>54</v>
      </c>
      <c r="I884">
        <v>6957147</v>
      </c>
      <c r="J884" s="12">
        <v>46106</v>
      </c>
      <c r="K884" s="12">
        <v>46106</v>
      </c>
      <c r="L884" s="12">
        <v>46106</v>
      </c>
      <c r="M884">
        <v>26</v>
      </c>
      <c r="N884">
        <v>-15896372</v>
      </c>
      <c r="O884">
        <v>-15896372</v>
      </c>
      <c r="P884">
        <v>0</v>
      </c>
      <c r="Q884">
        <v>-15896372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 t="s">
        <v>548</v>
      </c>
      <c r="AA884" t="s">
        <v>76</v>
      </c>
      <c r="AB884" t="s">
        <v>51</v>
      </c>
      <c r="AC884" t="s">
        <v>51</v>
      </c>
      <c r="AD884" t="s">
        <v>51</v>
      </c>
      <c r="AE884" t="s">
        <v>51</v>
      </c>
      <c r="AF884" t="s">
        <v>861</v>
      </c>
    </row>
    <row r="885" spans="1:32" ht="14.5" customHeight="1" x14ac:dyDescent="0.35">
      <c r="A885" t="s">
        <v>84</v>
      </c>
      <c r="B885" t="s">
        <v>85</v>
      </c>
      <c r="C885" t="s">
        <v>47</v>
      </c>
      <c r="D885">
        <v>3001102</v>
      </c>
      <c r="E885">
        <v>3100938</v>
      </c>
      <c r="F885" t="s">
        <v>849</v>
      </c>
      <c r="G885" t="s">
        <v>851</v>
      </c>
      <c r="H885" t="s">
        <v>54</v>
      </c>
      <c r="I885">
        <v>6957158</v>
      </c>
      <c r="J885" s="12">
        <v>46106</v>
      </c>
      <c r="K885" s="12">
        <v>46106</v>
      </c>
      <c r="L885" s="12">
        <v>46106</v>
      </c>
      <c r="M885">
        <v>26</v>
      </c>
      <c r="N885">
        <v>-2199914</v>
      </c>
      <c r="O885">
        <v>-2199914</v>
      </c>
      <c r="P885">
        <v>0</v>
      </c>
      <c r="Q885">
        <v>-2199914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 t="s">
        <v>846</v>
      </c>
      <c r="AA885" t="s">
        <v>76</v>
      </c>
      <c r="AB885" t="s">
        <v>51</v>
      </c>
      <c r="AC885" t="s">
        <v>51</v>
      </c>
      <c r="AD885" t="s">
        <v>51</v>
      </c>
      <c r="AE885" t="s">
        <v>51</v>
      </c>
      <c r="AF885" t="s">
        <v>861</v>
      </c>
    </row>
    <row r="886" spans="1:32" ht="14.5" customHeight="1" x14ac:dyDescent="0.35">
      <c r="A886" t="s">
        <v>84</v>
      </c>
      <c r="B886" t="s">
        <v>85</v>
      </c>
      <c r="C886" t="s">
        <v>47</v>
      </c>
      <c r="D886">
        <v>3001102</v>
      </c>
      <c r="E886">
        <v>3001102</v>
      </c>
      <c r="F886" t="s">
        <v>849</v>
      </c>
      <c r="G886" t="s">
        <v>849</v>
      </c>
      <c r="H886" t="s">
        <v>54</v>
      </c>
      <c r="I886">
        <v>6957457</v>
      </c>
      <c r="J886" s="12">
        <v>46106</v>
      </c>
      <c r="K886" s="12">
        <v>46106</v>
      </c>
      <c r="L886" s="12">
        <v>46106</v>
      </c>
      <c r="M886">
        <v>26</v>
      </c>
      <c r="N886">
        <v>-12824268</v>
      </c>
      <c r="O886">
        <v>-12824268</v>
      </c>
      <c r="P886">
        <v>0</v>
      </c>
      <c r="Q886">
        <v>-12824268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 t="s">
        <v>548</v>
      </c>
      <c r="AA886" t="s">
        <v>76</v>
      </c>
      <c r="AB886" t="s">
        <v>51</v>
      </c>
      <c r="AC886" t="s">
        <v>51</v>
      </c>
      <c r="AD886" t="s">
        <v>51</v>
      </c>
      <c r="AE886" t="s">
        <v>51</v>
      </c>
      <c r="AF886" t="s">
        <v>853</v>
      </c>
    </row>
    <row r="887" spans="1:32" ht="14.5" customHeight="1" x14ac:dyDescent="0.35">
      <c r="A887" t="s">
        <v>84</v>
      </c>
      <c r="B887" t="s">
        <v>85</v>
      </c>
      <c r="C887" t="s">
        <v>47</v>
      </c>
      <c r="D887">
        <v>3001102</v>
      </c>
      <c r="E887">
        <v>3001102</v>
      </c>
      <c r="F887" t="s">
        <v>849</v>
      </c>
      <c r="G887" t="s">
        <v>849</v>
      </c>
      <c r="H887" t="s">
        <v>54</v>
      </c>
      <c r="I887">
        <v>6957485</v>
      </c>
      <c r="J887" s="12">
        <v>46107</v>
      </c>
      <c r="K887" s="12">
        <v>46107</v>
      </c>
      <c r="L887" s="12">
        <v>46107</v>
      </c>
      <c r="M887">
        <v>25</v>
      </c>
      <c r="N887">
        <v>-245250</v>
      </c>
      <c r="O887">
        <v>-245250</v>
      </c>
      <c r="P887">
        <v>0</v>
      </c>
      <c r="Q887">
        <v>-245250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 t="s">
        <v>548</v>
      </c>
      <c r="AA887" t="s">
        <v>76</v>
      </c>
      <c r="AB887" t="s">
        <v>51</v>
      </c>
      <c r="AC887" t="s">
        <v>51</v>
      </c>
      <c r="AD887" t="s">
        <v>51</v>
      </c>
      <c r="AE887" t="s">
        <v>51</v>
      </c>
      <c r="AF887" t="s">
        <v>862</v>
      </c>
    </row>
    <row r="888" spans="1:32" ht="14.5" customHeight="1" x14ac:dyDescent="0.35">
      <c r="A888" t="s">
        <v>84</v>
      </c>
      <c r="B888" t="s">
        <v>85</v>
      </c>
      <c r="C888" t="s">
        <v>47</v>
      </c>
      <c r="D888">
        <v>3001102</v>
      </c>
      <c r="E888">
        <v>3001102</v>
      </c>
      <c r="F888" t="s">
        <v>849</v>
      </c>
      <c r="G888" t="s">
        <v>849</v>
      </c>
      <c r="H888" t="s">
        <v>54</v>
      </c>
      <c r="I888">
        <v>6958409</v>
      </c>
      <c r="J888" s="12">
        <v>46121</v>
      </c>
      <c r="K888" s="12">
        <v>46121</v>
      </c>
      <c r="L888" s="12">
        <v>46121</v>
      </c>
      <c r="M888">
        <v>11</v>
      </c>
      <c r="N888">
        <v>-8095097</v>
      </c>
      <c r="O888">
        <v>-8095097</v>
      </c>
      <c r="P888">
        <v>0</v>
      </c>
      <c r="Q888">
        <v>-8095097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 t="s">
        <v>548</v>
      </c>
      <c r="AA888" t="s">
        <v>76</v>
      </c>
      <c r="AB888" t="s">
        <v>51</v>
      </c>
      <c r="AC888" t="s">
        <v>51</v>
      </c>
      <c r="AD888" t="s">
        <v>51</v>
      </c>
      <c r="AE888" t="s">
        <v>51</v>
      </c>
      <c r="AF888" t="s">
        <v>858</v>
      </c>
    </row>
    <row r="889" spans="1:32" ht="14.5" customHeight="1" x14ac:dyDescent="0.35">
      <c r="A889" t="s">
        <v>84</v>
      </c>
      <c r="B889" t="s">
        <v>85</v>
      </c>
      <c r="C889" t="s">
        <v>47</v>
      </c>
      <c r="D889">
        <v>3001102</v>
      </c>
      <c r="E889">
        <v>3001102</v>
      </c>
      <c r="F889" t="s">
        <v>849</v>
      </c>
      <c r="G889" t="s">
        <v>849</v>
      </c>
      <c r="H889" t="s">
        <v>54</v>
      </c>
      <c r="I889">
        <v>6958410</v>
      </c>
      <c r="J889" s="12">
        <v>46121</v>
      </c>
      <c r="K889" s="12">
        <v>46121</v>
      </c>
      <c r="L889" s="12">
        <v>46121</v>
      </c>
      <c r="M889">
        <v>11</v>
      </c>
      <c r="N889">
        <v>-3989143</v>
      </c>
      <c r="O889">
        <v>-3989143</v>
      </c>
      <c r="P889">
        <v>0</v>
      </c>
      <c r="Q889">
        <v>-3989143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 t="s">
        <v>548</v>
      </c>
      <c r="AA889" t="s">
        <v>76</v>
      </c>
      <c r="AB889" t="s">
        <v>51</v>
      </c>
      <c r="AC889" t="s">
        <v>51</v>
      </c>
      <c r="AD889" t="s">
        <v>51</v>
      </c>
      <c r="AE889" t="s">
        <v>51</v>
      </c>
      <c r="AF889" t="s">
        <v>863</v>
      </c>
    </row>
    <row r="890" spans="1:32" ht="14.5" customHeight="1" x14ac:dyDescent="0.35">
      <c r="A890" t="s">
        <v>84</v>
      </c>
      <c r="B890" t="s">
        <v>85</v>
      </c>
      <c r="C890" t="s">
        <v>47</v>
      </c>
      <c r="D890">
        <v>3001102</v>
      </c>
      <c r="E890">
        <v>3001102</v>
      </c>
      <c r="F890" t="s">
        <v>849</v>
      </c>
      <c r="G890" t="s">
        <v>849</v>
      </c>
      <c r="H890" t="s">
        <v>54</v>
      </c>
      <c r="I890">
        <v>6958411</v>
      </c>
      <c r="J890" s="12">
        <v>46121</v>
      </c>
      <c r="K890" s="12">
        <v>46121</v>
      </c>
      <c r="L890" s="12">
        <v>46121</v>
      </c>
      <c r="M890">
        <v>11</v>
      </c>
      <c r="N890">
        <v>-4078469</v>
      </c>
      <c r="O890">
        <v>-4078469</v>
      </c>
      <c r="P890">
        <v>0</v>
      </c>
      <c r="Q890">
        <v>-4078469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 t="s">
        <v>548</v>
      </c>
      <c r="AA890" t="s">
        <v>76</v>
      </c>
      <c r="AB890" t="s">
        <v>51</v>
      </c>
      <c r="AC890" t="s">
        <v>51</v>
      </c>
      <c r="AD890" t="s">
        <v>51</v>
      </c>
      <c r="AE890" t="s">
        <v>51</v>
      </c>
      <c r="AF890" t="s">
        <v>864</v>
      </c>
    </row>
    <row r="891" spans="1:32" ht="14.5" customHeight="1" x14ac:dyDescent="0.35">
      <c r="A891" t="s">
        <v>84</v>
      </c>
      <c r="B891" t="s">
        <v>85</v>
      </c>
      <c r="C891" t="s">
        <v>846</v>
      </c>
      <c r="D891">
        <v>3001102</v>
      </c>
      <c r="E891">
        <v>3001102</v>
      </c>
      <c r="F891" t="s">
        <v>849</v>
      </c>
      <c r="G891" t="s">
        <v>849</v>
      </c>
      <c r="H891" t="s">
        <v>111</v>
      </c>
      <c r="I891">
        <v>6958787</v>
      </c>
      <c r="J891" s="12">
        <v>46123</v>
      </c>
      <c r="K891" s="12">
        <v>46123</v>
      </c>
      <c r="L891" s="12">
        <v>46123</v>
      </c>
      <c r="M891">
        <v>9</v>
      </c>
      <c r="N891">
        <v>-1181710</v>
      </c>
      <c r="O891">
        <v>-1181710</v>
      </c>
      <c r="P891">
        <v>0</v>
      </c>
      <c r="Q891">
        <v>-1181710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 t="s">
        <v>548</v>
      </c>
      <c r="AA891" t="s">
        <v>76</v>
      </c>
      <c r="AB891" t="s">
        <v>51</v>
      </c>
      <c r="AC891" t="s">
        <v>51</v>
      </c>
      <c r="AD891" t="s">
        <v>51</v>
      </c>
      <c r="AE891" t="s">
        <v>51</v>
      </c>
      <c r="AF891" t="s">
        <v>865</v>
      </c>
    </row>
    <row r="892" spans="1:32" ht="14.5" customHeight="1" x14ac:dyDescent="0.35">
      <c r="A892" t="s">
        <v>84</v>
      </c>
      <c r="B892" t="s">
        <v>85</v>
      </c>
      <c r="C892" t="s">
        <v>47</v>
      </c>
      <c r="D892">
        <v>3001102</v>
      </c>
      <c r="E892">
        <v>3100938</v>
      </c>
      <c r="F892" t="s">
        <v>849</v>
      </c>
      <c r="G892" t="s">
        <v>851</v>
      </c>
      <c r="H892" t="s">
        <v>54</v>
      </c>
      <c r="I892">
        <v>6959914</v>
      </c>
      <c r="J892" s="12">
        <v>46129</v>
      </c>
      <c r="K892" s="12">
        <v>46129</v>
      </c>
      <c r="L892" s="12">
        <v>46129</v>
      </c>
      <c r="M892">
        <v>3</v>
      </c>
      <c r="N892">
        <v>-21485615</v>
      </c>
      <c r="O892">
        <v>-21485615</v>
      </c>
      <c r="P892">
        <v>0</v>
      </c>
      <c r="Q892">
        <v>-21485615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 t="s">
        <v>846</v>
      </c>
      <c r="AA892" t="s">
        <v>76</v>
      </c>
      <c r="AB892" t="s">
        <v>51</v>
      </c>
      <c r="AC892" t="s">
        <v>51</v>
      </c>
      <c r="AD892" t="s">
        <v>51</v>
      </c>
      <c r="AE892" t="s">
        <v>51</v>
      </c>
      <c r="AF892" t="s">
        <v>325</v>
      </c>
    </row>
    <row r="893" spans="1:32" ht="14.5" customHeight="1" x14ac:dyDescent="0.35">
      <c r="A893" t="s">
        <v>84</v>
      </c>
      <c r="B893" t="s">
        <v>85</v>
      </c>
      <c r="C893" t="s">
        <v>47</v>
      </c>
      <c r="D893">
        <v>3001102</v>
      </c>
      <c r="E893">
        <v>3001102</v>
      </c>
      <c r="F893" t="s">
        <v>849</v>
      </c>
      <c r="G893" t="s">
        <v>849</v>
      </c>
      <c r="H893" t="s">
        <v>54</v>
      </c>
      <c r="I893">
        <v>6960290</v>
      </c>
      <c r="J893" s="12">
        <v>46130</v>
      </c>
      <c r="K893" s="12">
        <v>46130</v>
      </c>
      <c r="L893" s="12">
        <v>46130</v>
      </c>
      <c r="M893">
        <v>2</v>
      </c>
      <c r="N893">
        <v>-153152584</v>
      </c>
      <c r="O893">
        <v>-153152584</v>
      </c>
      <c r="P893">
        <v>0</v>
      </c>
      <c r="Q893">
        <v>-153152584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 t="s">
        <v>548</v>
      </c>
      <c r="AA893" t="s">
        <v>76</v>
      </c>
      <c r="AB893" t="s">
        <v>51</v>
      </c>
      <c r="AC893" t="s">
        <v>51</v>
      </c>
      <c r="AD893" t="s">
        <v>51</v>
      </c>
      <c r="AE893" t="s">
        <v>51</v>
      </c>
      <c r="AF893" t="s">
        <v>866</v>
      </c>
    </row>
    <row r="894" spans="1:32" ht="14.5" customHeight="1" x14ac:dyDescent="0.35">
      <c r="A894" t="s">
        <v>84</v>
      </c>
      <c r="B894" t="s">
        <v>85</v>
      </c>
      <c r="C894" t="s">
        <v>47</v>
      </c>
      <c r="D894">
        <v>3001102</v>
      </c>
      <c r="E894">
        <v>3001102</v>
      </c>
      <c r="F894" t="s">
        <v>849</v>
      </c>
      <c r="G894" t="s">
        <v>849</v>
      </c>
      <c r="H894" t="s">
        <v>54</v>
      </c>
      <c r="I894">
        <v>6960291</v>
      </c>
      <c r="J894" s="12">
        <v>46130</v>
      </c>
      <c r="K894" s="12">
        <v>46130</v>
      </c>
      <c r="L894" s="12">
        <v>46130</v>
      </c>
      <c r="M894">
        <v>2</v>
      </c>
      <c r="N894">
        <v>-84775368</v>
      </c>
      <c r="O894">
        <v>-84775368</v>
      </c>
      <c r="P894">
        <v>0</v>
      </c>
      <c r="Q894">
        <v>-84775368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 t="s">
        <v>548</v>
      </c>
      <c r="AA894" t="s">
        <v>76</v>
      </c>
      <c r="AB894" t="s">
        <v>51</v>
      </c>
      <c r="AC894" t="s">
        <v>51</v>
      </c>
      <c r="AD894" t="s">
        <v>51</v>
      </c>
      <c r="AE894" t="s">
        <v>51</v>
      </c>
      <c r="AF894" t="s">
        <v>285</v>
      </c>
    </row>
    <row r="895" spans="1:32" ht="14.5" customHeight="1" x14ac:dyDescent="0.35">
      <c r="A895" t="s">
        <v>84</v>
      </c>
      <c r="B895" t="s">
        <v>85</v>
      </c>
      <c r="C895" t="s">
        <v>846</v>
      </c>
      <c r="D895">
        <v>3001102</v>
      </c>
      <c r="E895">
        <v>3001102</v>
      </c>
      <c r="F895" t="s">
        <v>849</v>
      </c>
      <c r="G895" t="s">
        <v>849</v>
      </c>
      <c r="H895" t="s">
        <v>54</v>
      </c>
      <c r="I895">
        <v>9914987</v>
      </c>
      <c r="J895" s="12">
        <v>46095</v>
      </c>
      <c r="K895" s="12">
        <v>46095</v>
      </c>
      <c r="L895" s="12">
        <v>46131</v>
      </c>
      <c r="M895">
        <v>1</v>
      </c>
      <c r="N895">
        <v>367557692</v>
      </c>
      <c r="O895">
        <v>0</v>
      </c>
      <c r="P895">
        <v>0</v>
      </c>
      <c r="Q895">
        <v>367557692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 t="s">
        <v>548</v>
      </c>
      <c r="AA895" t="s">
        <v>76</v>
      </c>
      <c r="AB895" t="s">
        <v>51</v>
      </c>
      <c r="AC895" t="s">
        <v>51</v>
      </c>
      <c r="AD895" t="s">
        <v>51</v>
      </c>
      <c r="AE895" t="s">
        <v>51</v>
      </c>
      <c r="AF895" t="s">
        <v>153</v>
      </c>
    </row>
    <row r="896" spans="1:32" ht="14.5" customHeight="1" x14ac:dyDescent="0.35">
      <c r="A896" t="s">
        <v>84</v>
      </c>
      <c r="B896" t="s">
        <v>85</v>
      </c>
      <c r="C896" t="s">
        <v>47</v>
      </c>
      <c r="D896">
        <v>3001102</v>
      </c>
      <c r="E896">
        <v>3001102</v>
      </c>
      <c r="F896" t="s">
        <v>849</v>
      </c>
      <c r="G896" t="s">
        <v>849</v>
      </c>
      <c r="H896" t="s">
        <v>140</v>
      </c>
      <c r="I896">
        <v>9915506</v>
      </c>
      <c r="J896" s="12">
        <v>46095</v>
      </c>
      <c r="K896" s="12">
        <v>46095</v>
      </c>
      <c r="L896" s="12">
        <v>46130</v>
      </c>
      <c r="M896">
        <v>2</v>
      </c>
      <c r="N896">
        <v>3997</v>
      </c>
      <c r="O896">
        <v>0</v>
      </c>
      <c r="P896">
        <v>0</v>
      </c>
      <c r="Q896">
        <v>3997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 t="s">
        <v>548</v>
      </c>
      <c r="AA896" t="s">
        <v>76</v>
      </c>
      <c r="AB896" t="s">
        <v>51</v>
      </c>
      <c r="AC896" t="s">
        <v>51</v>
      </c>
      <c r="AD896" t="s">
        <v>51</v>
      </c>
      <c r="AE896" t="s">
        <v>51</v>
      </c>
      <c r="AF896" t="s">
        <v>206</v>
      </c>
    </row>
    <row r="897" spans="1:32" ht="14.5" customHeight="1" x14ac:dyDescent="0.35">
      <c r="A897" t="s">
        <v>84</v>
      </c>
      <c r="B897" t="s">
        <v>85</v>
      </c>
      <c r="C897" t="s">
        <v>47</v>
      </c>
      <c r="D897">
        <v>3001102</v>
      </c>
      <c r="E897">
        <v>3100938</v>
      </c>
      <c r="F897" t="s">
        <v>849</v>
      </c>
      <c r="G897" t="s">
        <v>851</v>
      </c>
      <c r="H897" t="s">
        <v>140</v>
      </c>
      <c r="I897">
        <v>9915510</v>
      </c>
      <c r="J897" s="12">
        <v>46095</v>
      </c>
      <c r="K897" s="12">
        <v>46095</v>
      </c>
      <c r="L897" s="12">
        <v>46130</v>
      </c>
      <c r="M897">
        <v>2</v>
      </c>
      <c r="N897">
        <v>1941</v>
      </c>
      <c r="O897">
        <v>0</v>
      </c>
      <c r="P897">
        <v>0</v>
      </c>
      <c r="Q897">
        <v>1941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 t="s">
        <v>846</v>
      </c>
      <c r="AA897" t="s">
        <v>76</v>
      </c>
      <c r="AB897" t="s">
        <v>51</v>
      </c>
      <c r="AC897" t="s">
        <v>51</v>
      </c>
      <c r="AD897" t="s">
        <v>51</v>
      </c>
      <c r="AE897" t="s">
        <v>51</v>
      </c>
      <c r="AF897" t="s">
        <v>195</v>
      </c>
    </row>
    <row r="898" spans="1:32" ht="14.5" customHeight="1" x14ac:dyDescent="0.35">
      <c r="A898" t="s">
        <v>84</v>
      </c>
      <c r="B898" t="s">
        <v>85</v>
      </c>
      <c r="C898" t="s">
        <v>846</v>
      </c>
      <c r="D898">
        <v>3001102</v>
      </c>
      <c r="E898">
        <v>3001102</v>
      </c>
      <c r="F898" t="s">
        <v>849</v>
      </c>
      <c r="G898" t="s">
        <v>849</v>
      </c>
      <c r="H898" t="s">
        <v>54</v>
      </c>
      <c r="I898">
        <v>9917487</v>
      </c>
      <c r="J898" s="12">
        <v>46106</v>
      </c>
      <c r="K898" s="12">
        <v>46106</v>
      </c>
      <c r="L898" s="12">
        <v>46142</v>
      </c>
      <c r="M898">
        <v>-10</v>
      </c>
      <c r="N898">
        <v>297946073</v>
      </c>
      <c r="O898">
        <v>0</v>
      </c>
      <c r="P898">
        <v>297946073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 t="s">
        <v>548</v>
      </c>
      <c r="AA898" t="s">
        <v>76</v>
      </c>
      <c r="AB898" t="s">
        <v>51</v>
      </c>
      <c r="AC898" t="s">
        <v>51</v>
      </c>
      <c r="AD898" t="s">
        <v>867</v>
      </c>
      <c r="AE898" t="s">
        <v>51</v>
      </c>
      <c r="AF898" t="s">
        <v>868</v>
      </c>
    </row>
    <row r="899" spans="1:32" ht="14.5" customHeight="1" x14ac:dyDescent="0.35">
      <c r="A899" t="s">
        <v>84</v>
      </c>
      <c r="B899" t="s">
        <v>85</v>
      </c>
      <c r="C899" t="s">
        <v>846</v>
      </c>
      <c r="D899">
        <v>3001102</v>
      </c>
      <c r="E899">
        <v>3001102</v>
      </c>
      <c r="F899" t="s">
        <v>849</v>
      </c>
      <c r="G899" t="s">
        <v>849</v>
      </c>
      <c r="H899" t="s">
        <v>54</v>
      </c>
      <c r="I899">
        <v>9917488</v>
      </c>
      <c r="J899" s="12">
        <v>46106</v>
      </c>
      <c r="K899" s="12">
        <v>46106</v>
      </c>
      <c r="L899" s="12">
        <v>46142</v>
      </c>
      <c r="M899">
        <v>-10</v>
      </c>
      <c r="N899">
        <v>858181</v>
      </c>
      <c r="O899">
        <v>0</v>
      </c>
      <c r="P899">
        <v>858181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 t="s">
        <v>548</v>
      </c>
      <c r="AA899" t="s">
        <v>76</v>
      </c>
      <c r="AB899" t="s">
        <v>51</v>
      </c>
      <c r="AC899" t="s">
        <v>51</v>
      </c>
      <c r="AD899" t="s">
        <v>869</v>
      </c>
      <c r="AE899" t="s">
        <v>51</v>
      </c>
      <c r="AF899" t="s">
        <v>455</v>
      </c>
    </row>
    <row r="900" spans="1:32" ht="14.5" customHeight="1" x14ac:dyDescent="0.35">
      <c r="A900" t="s">
        <v>84</v>
      </c>
      <c r="B900" t="s">
        <v>85</v>
      </c>
      <c r="C900" t="s">
        <v>846</v>
      </c>
      <c r="D900">
        <v>3001102</v>
      </c>
      <c r="E900">
        <v>3001102</v>
      </c>
      <c r="F900" t="s">
        <v>849</v>
      </c>
      <c r="G900" t="s">
        <v>849</v>
      </c>
      <c r="H900" t="s">
        <v>54</v>
      </c>
      <c r="I900">
        <v>9920028</v>
      </c>
      <c r="J900" s="12">
        <v>46110</v>
      </c>
      <c r="K900" s="12">
        <v>46110</v>
      </c>
      <c r="L900" s="12">
        <v>46146</v>
      </c>
      <c r="M900">
        <v>-14</v>
      </c>
      <c r="N900">
        <v>240590821</v>
      </c>
      <c r="O900">
        <v>0</v>
      </c>
      <c r="P900">
        <v>240590821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 t="s">
        <v>548</v>
      </c>
      <c r="AA900" t="s">
        <v>76</v>
      </c>
      <c r="AB900" t="s">
        <v>51</v>
      </c>
      <c r="AC900" t="s">
        <v>51</v>
      </c>
      <c r="AD900" t="s">
        <v>870</v>
      </c>
      <c r="AE900" t="s">
        <v>51</v>
      </c>
      <c r="AF900" t="s">
        <v>62</v>
      </c>
    </row>
    <row r="901" spans="1:32" ht="14.5" customHeight="1" x14ac:dyDescent="0.35">
      <c r="A901" t="s">
        <v>84</v>
      </c>
      <c r="B901" t="s">
        <v>85</v>
      </c>
      <c r="C901" t="s">
        <v>846</v>
      </c>
      <c r="D901">
        <v>3001102</v>
      </c>
      <c r="E901">
        <v>3001102</v>
      </c>
      <c r="F901" t="s">
        <v>849</v>
      </c>
      <c r="G901" t="s">
        <v>849</v>
      </c>
      <c r="H901" t="s">
        <v>54</v>
      </c>
      <c r="I901">
        <v>9921627</v>
      </c>
      <c r="J901" s="12">
        <v>46114</v>
      </c>
      <c r="K901" s="12">
        <v>46114</v>
      </c>
      <c r="L901" s="12">
        <v>46150</v>
      </c>
      <c r="M901">
        <v>-18</v>
      </c>
      <c r="N901">
        <v>309439668</v>
      </c>
      <c r="O901">
        <v>0</v>
      </c>
      <c r="P901">
        <v>309439668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 t="s">
        <v>548</v>
      </c>
      <c r="AA901" t="s">
        <v>76</v>
      </c>
      <c r="AB901" t="s">
        <v>51</v>
      </c>
      <c r="AC901" t="s">
        <v>51</v>
      </c>
      <c r="AD901" t="s">
        <v>51</v>
      </c>
      <c r="AE901" t="s">
        <v>871</v>
      </c>
      <c r="AF901" t="s">
        <v>323</v>
      </c>
    </row>
    <row r="902" spans="1:32" ht="14.5" customHeight="1" x14ac:dyDescent="0.35">
      <c r="A902" t="s">
        <v>84</v>
      </c>
      <c r="B902" t="s">
        <v>85</v>
      </c>
      <c r="C902" t="s">
        <v>846</v>
      </c>
      <c r="D902">
        <v>3001102</v>
      </c>
      <c r="E902">
        <v>3001102</v>
      </c>
      <c r="F902" t="s">
        <v>849</v>
      </c>
      <c r="G902" t="s">
        <v>849</v>
      </c>
      <c r="H902" t="s">
        <v>54</v>
      </c>
      <c r="I902">
        <v>9922686</v>
      </c>
      <c r="J902" s="12">
        <v>46119</v>
      </c>
      <c r="K902" s="12">
        <v>46119</v>
      </c>
      <c r="L902" s="12">
        <v>46155</v>
      </c>
      <c r="M902">
        <v>-23</v>
      </c>
      <c r="N902">
        <v>12721666</v>
      </c>
      <c r="O902">
        <v>0</v>
      </c>
      <c r="P902">
        <v>12721666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 t="s">
        <v>548</v>
      </c>
      <c r="AA902" t="s">
        <v>76</v>
      </c>
      <c r="AB902" t="s">
        <v>51</v>
      </c>
      <c r="AC902" t="s">
        <v>51</v>
      </c>
      <c r="AD902" t="s">
        <v>51</v>
      </c>
      <c r="AE902" t="s">
        <v>872</v>
      </c>
      <c r="AF902" t="s">
        <v>69</v>
      </c>
    </row>
    <row r="903" spans="1:32" ht="14.5" customHeight="1" x14ac:dyDescent="0.35">
      <c r="A903" t="s">
        <v>84</v>
      </c>
      <c r="B903" t="s">
        <v>85</v>
      </c>
      <c r="C903" t="s">
        <v>846</v>
      </c>
      <c r="D903">
        <v>3001102</v>
      </c>
      <c r="E903">
        <v>3001102</v>
      </c>
      <c r="F903" t="s">
        <v>849</v>
      </c>
      <c r="G903" t="s">
        <v>849</v>
      </c>
      <c r="H903" t="s">
        <v>54</v>
      </c>
      <c r="I903">
        <v>9922770</v>
      </c>
      <c r="J903" s="12">
        <v>46120</v>
      </c>
      <c r="K903" s="12">
        <v>46120</v>
      </c>
      <c r="L903" s="12">
        <v>46156</v>
      </c>
      <c r="M903">
        <v>-24</v>
      </c>
      <c r="N903">
        <v>407879765</v>
      </c>
      <c r="O903">
        <v>0</v>
      </c>
      <c r="P903">
        <v>407879765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 t="s">
        <v>548</v>
      </c>
      <c r="AA903" t="s">
        <v>76</v>
      </c>
      <c r="AB903" t="s">
        <v>51</v>
      </c>
      <c r="AC903" t="s">
        <v>51</v>
      </c>
      <c r="AD903" t="s">
        <v>51</v>
      </c>
      <c r="AE903" t="s">
        <v>873</v>
      </c>
      <c r="AF903" t="s">
        <v>62</v>
      </c>
    </row>
    <row r="904" spans="1:32" ht="14.5" customHeight="1" x14ac:dyDescent="0.35">
      <c r="A904" t="s">
        <v>84</v>
      </c>
      <c r="B904" t="s">
        <v>85</v>
      </c>
      <c r="C904" t="s">
        <v>846</v>
      </c>
      <c r="D904">
        <v>3001102</v>
      </c>
      <c r="E904">
        <v>3001102</v>
      </c>
      <c r="F904" t="s">
        <v>849</v>
      </c>
      <c r="G904" t="s">
        <v>849</v>
      </c>
      <c r="H904" t="s">
        <v>54</v>
      </c>
      <c r="I904">
        <v>9923027</v>
      </c>
      <c r="J904" s="12">
        <v>46120</v>
      </c>
      <c r="K904" s="12">
        <v>46120</v>
      </c>
      <c r="L904" s="12">
        <v>46156</v>
      </c>
      <c r="M904">
        <v>-24</v>
      </c>
      <c r="N904">
        <v>425502311</v>
      </c>
      <c r="O904">
        <v>0</v>
      </c>
      <c r="P904">
        <v>425502311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 t="s">
        <v>548</v>
      </c>
      <c r="AA904" t="s">
        <v>76</v>
      </c>
      <c r="AB904" t="s">
        <v>51</v>
      </c>
      <c r="AC904" t="s">
        <v>51</v>
      </c>
      <c r="AD904" t="s">
        <v>51</v>
      </c>
      <c r="AE904" t="s">
        <v>874</v>
      </c>
      <c r="AF904" t="s">
        <v>770</v>
      </c>
    </row>
    <row r="905" spans="1:32" ht="14.5" customHeight="1" x14ac:dyDescent="0.35">
      <c r="A905" t="s">
        <v>84</v>
      </c>
      <c r="B905" t="s">
        <v>85</v>
      </c>
      <c r="C905" t="s">
        <v>846</v>
      </c>
      <c r="D905">
        <v>3001102</v>
      </c>
      <c r="E905">
        <v>3100938</v>
      </c>
      <c r="F905" t="s">
        <v>849</v>
      </c>
      <c r="G905" t="s">
        <v>851</v>
      </c>
      <c r="H905" t="s">
        <v>54</v>
      </c>
      <c r="I905">
        <v>9924006</v>
      </c>
      <c r="J905" s="12">
        <v>46122</v>
      </c>
      <c r="K905" s="12">
        <v>46122</v>
      </c>
      <c r="L905" s="12">
        <v>46158</v>
      </c>
      <c r="M905">
        <v>-26</v>
      </c>
      <c r="N905">
        <v>130527248</v>
      </c>
      <c r="O905">
        <v>0</v>
      </c>
      <c r="P905">
        <v>130527248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 t="s">
        <v>846</v>
      </c>
      <c r="AA905" t="s">
        <v>76</v>
      </c>
      <c r="AB905" t="s">
        <v>51</v>
      </c>
      <c r="AC905" t="s">
        <v>51</v>
      </c>
      <c r="AD905" t="s">
        <v>51</v>
      </c>
      <c r="AE905" t="s">
        <v>875</v>
      </c>
      <c r="AF905" t="s">
        <v>876</v>
      </c>
    </row>
    <row r="906" spans="1:32" ht="14.5" customHeight="1" x14ac:dyDescent="0.35">
      <c r="A906" t="s">
        <v>84</v>
      </c>
      <c r="B906" t="s">
        <v>85</v>
      </c>
      <c r="C906" t="s">
        <v>846</v>
      </c>
      <c r="D906">
        <v>3001102</v>
      </c>
      <c r="E906">
        <v>3001102</v>
      </c>
      <c r="F906" t="s">
        <v>849</v>
      </c>
      <c r="G906" t="s">
        <v>849</v>
      </c>
      <c r="H906" t="s">
        <v>54</v>
      </c>
      <c r="I906">
        <v>9925454</v>
      </c>
      <c r="J906" s="12">
        <v>46126</v>
      </c>
      <c r="K906" s="12">
        <v>46126</v>
      </c>
      <c r="L906" s="12">
        <v>46162</v>
      </c>
      <c r="M906">
        <v>-30</v>
      </c>
      <c r="N906">
        <v>384811147</v>
      </c>
      <c r="O906">
        <v>0</v>
      </c>
      <c r="P906">
        <v>384811147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 t="s">
        <v>548</v>
      </c>
      <c r="AA906" t="s">
        <v>76</v>
      </c>
      <c r="AB906" t="s">
        <v>51</v>
      </c>
      <c r="AC906" t="s">
        <v>51</v>
      </c>
      <c r="AD906" t="s">
        <v>51</v>
      </c>
      <c r="AE906" t="s">
        <v>877</v>
      </c>
      <c r="AF906" t="s">
        <v>195</v>
      </c>
    </row>
    <row r="907" spans="1:32" ht="14.5" customHeight="1" x14ac:dyDescent="0.35">
      <c r="A907" t="s">
        <v>84</v>
      </c>
      <c r="B907" t="s">
        <v>85</v>
      </c>
      <c r="C907" t="s">
        <v>846</v>
      </c>
      <c r="D907">
        <v>3001102</v>
      </c>
      <c r="E907">
        <v>3001102</v>
      </c>
      <c r="F907" t="s">
        <v>849</v>
      </c>
      <c r="G907" t="s">
        <v>849</v>
      </c>
      <c r="H907" t="s">
        <v>54</v>
      </c>
      <c r="I907">
        <v>9925968</v>
      </c>
      <c r="J907" s="12">
        <v>46127</v>
      </c>
      <c r="K907" s="12">
        <v>46127</v>
      </c>
      <c r="L907" s="12">
        <v>46163</v>
      </c>
      <c r="M907">
        <v>-31</v>
      </c>
      <c r="N907">
        <v>397897268</v>
      </c>
      <c r="O907">
        <v>0</v>
      </c>
      <c r="P907">
        <v>397897268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 t="s">
        <v>548</v>
      </c>
      <c r="AA907" t="s">
        <v>76</v>
      </c>
      <c r="AB907" t="s">
        <v>51</v>
      </c>
      <c r="AC907" t="s">
        <v>51</v>
      </c>
      <c r="AD907" t="s">
        <v>51</v>
      </c>
      <c r="AE907" t="s">
        <v>878</v>
      </c>
      <c r="AF907" t="s">
        <v>69</v>
      </c>
    </row>
    <row r="908" spans="1:32" ht="14.5" customHeight="1" x14ac:dyDescent="0.35">
      <c r="A908" t="s">
        <v>84</v>
      </c>
      <c r="B908" t="s">
        <v>85</v>
      </c>
      <c r="C908" t="s">
        <v>47</v>
      </c>
      <c r="D908">
        <v>3001102</v>
      </c>
      <c r="E908">
        <v>3100938</v>
      </c>
      <c r="F908" t="s">
        <v>849</v>
      </c>
      <c r="G908" t="s">
        <v>851</v>
      </c>
      <c r="H908" t="s">
        <v>140</v>
      </c>
      <c r="I908">
        <v>9926641</v>
      </c>
      <c r="J908" s="12">
        <v>46129</v>
      </c>
      <c r="K908" s="12">
        <v>46129</v>
      </c>
      <c r="L908" s="12">
        <v>46164</v>
      </c>
      <c r="M908">
        <v>-32</v>
      </c>
      <c r="N908">
        <v>9261</v>
      </c>
      <c r="O908">
        <v>0</v>
      </c>
      <c r="P908">
        <v>9261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 t="s">
        <v>846</v>
      </c>
      <c r="AA908" t="s">
        <v>76</v>
      </c>
      <c r="AB908" t="s">
        <v>51</v>
      </c>
      <c r="AC908" t="s">
        <v>51</v>
      </c>
      <c r="AD908" t="s">
        <v>51</v>
      </c>
      <c r="AE908" t="s">
        <v>879</v>
      </c>
      <c r="AF908" t="s">
        <v>277</v>
      </c>
    </row>
    <row r="909" spans="1:32" ht="14.5" customHeight="1" x14ac:dyDescent="0.35">
      <c r="A909" t="s">
        <v>84</v>
      </c>
      <c r="B909" t="s">
        <v>85</v>
      </c>
      <c r="C909" t="s">
        <v>846</v>
      </c>
      <c r="D909">
        <v>3001102</v>
      </c>
      <c r="E909">
        <v>3001102</v>
      </c>
      <c r="F909" t="s">
        <v>849</v>
      </c>
      <c r="G909" t="s">
        <v>849</v>
      </c>
      <c r="H909" t="s">
        <v>54</v>
      </c>
      <c r="I909">
        <v>9927408</v>
      </c>
      <c r="J909" s="12">
        <v>46130</v>
      </c>
      <c r="K909" s="12">
        <v>46130</v>
      </c>
      <c r="L909" s="12">
        <v>46166</v>
      </c>
      <c r="M909">
        <v>-34</v>
      </c>
      <c r="N909">
        <v>412091829</v>
      </c>
      <c r="O909">
        <v>0</v>
      </c>
      <c r="P909">
        <v>412091829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 t="s">
        <v>548</v>
      </c>
      <c r="AA909" t="s">
        <v>76</v>
      </c>
      <c r="AB909" t="s">
        <v>51</v>
      </c>
      <c r="AC909" t="s">
        <v>51</v>
      </c>
      <c r="AD909" t="s">
        <v>51</v>
      </c>
      <c r="AE909" t="s">
        <v>880</v>
      </c>
      <c r="AF909" t="s">
        <v>881</v>
      </c>
    </row>
    <row r="910" spans="1:32" ht="14.5" customHeight="1" x14ac:dyDescent="0.35">
      <c r="A910" t="s">
        <v>84</v>
      </c>
      <c r="B910" t="s">
        <v>85</v>
      </c>
      <c r="C910" t="s">
        <v>47</v>
      </c>
      <c r="D910">
        <v>3001102</v>
      </c>
      <c r="E910">
        <v>3001102</v>
      </c>
      <c r="F910" t="s">
        <v>849</v>
      </c>
      <c r="G910" t="s">
        <v>849</v>
      </c>
      <c r="H910" t="s">
        <v>140</v>
      </c>
      <c r="I910">
        <v>9927411</v>
      </c>
      <c r="J910" s="12">
        <v>46130</v>
      </c>
      <c r="K910" s="12">
        <v>46130</v>
      </c>
      <c r="L910" s="12">
        <v>46165</v>
      </c>
      <c r="M910">
        <v>-33</v>
      </c>
      <c r="N910">
        <v>26228</v>
      </c>
      <c r="O910">
        <v>0</v>
      </c>
      <c r="P910">
        <v>26228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 t="s">
        <v>548</v>
      </c>
      <c r="AA910" t="s">
        <v>76</v>
      </c>
      <c r="AB910" t="s">
        <v>51</v>
      </c>
      <c r="AC910" t="s">
        <v>51</v>
      </c>
      <c r="AD910" t="s">
        <v>51</v>
      </c>
      <c r="AE910" t="s">
        <v>882</v>
      </c>
      <c r="AF910" t="s">
        <v>320</v>
      </c>
    </row>
    <row r="911" spans="1:32" ht="14.5" customHeight="1" x14ac:dyDescent="0.35">
      <c r="A911" t="s">
        <v>84</v>
      </c>
      <c r="B911" t="s">
        <v>85</v>
      </c>
      <c r="C911" t="s">
        <v>846</v>
      </c>
      <c r="D911">
        <v>3001102</v>
      </c>
      <c r="E911">
        <v>3100938</v>
      </c>
      <c r="F911" t="s">
        <v>849</v>
      </c>
      <c r="G911" t="s">
        <v>851</v>
      </c>
      <c r="H911" t="s">
        <v>54</v>
      </c>
      <c r="I911">
        <v>9927414</v>
      </c>
      <c r="J911" s="12">
        <v>46130</v>
      </c>
      <c r="K911" s="12">
        <v>46130</v>
      </c>
      <c r="L911" s="12">
        <v>46166</v>
      </c>
      <c r="M911">
        <v>-34</v>
      </c>
      <c r="N911">
        <v>240261334</v>
      </c>
      <c r="O911">
        <v>0</v>
      </c>
      <c r="P911">
        <v>240261334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 t="s">
        <v>846</v>
      </c>
      <c r="AA911" t="s">
        <v>76</v>
      </c>
      <c r="AB911" t="s">
        <v>51</v>
      </c>
      <c r="AC911" t="s">
        <v>51</v>
      </c>
      <c r="AD911" t="s">
        <v>51</v>
      </c>
      <c r="AE911" t="s">
        <v>883</v>
      </c>
      <c r="AF911" t="s">
        <v>440</v>
      </c>
    </row>
    <row r="912" spans="1:32" ht="14.5" customHeight="1" x14ac:dyDescent="0.35">
      <c r="A912" t="s">
        <v>84</v>
      </c>
      <c r="B912" t="s">
        <v>85</v>
      </c>
      <c r="C912" t="s">
        <v>47</v>
      </c>
      <c r="D912">
        <v>3001103</v>
      </c>
      <c r="E912">
        <v>3100410</v>
      </c>
      <c r="F912" t="s">
        <v>884</v>
      </c>
      <c r="G912" t="s">
        <v>884</v>
      </c>
      <c r="H912" t="s">
        <v>111</v>
      </c>
      <c r="I912">
        <v>6877464</v>
      </c>
      <c r="J912" s="12">
        <v>45609</v>
      </c>
      <c r="K912" s="12">
        <v>45609</v>
      </c>
      <c r="L912" s="12">
        <v>45609</v>
      </c>
      <c r="M912">
        <v>523</v>
      </c>
      <c r="N912">
        <v>-205656</v>
      </c>
      <c r="O912">
        <v>-205656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-205656</v>
      </c>
      <c r="Y912" t="s">
        <v>47</v>
      </c>
      <c r="AA912" t="s">
        <v>76</v>
      </c>
      <c r="AB912" t="s">
        <v>51</v>
      </c>
      <c r="AC912" t="s">
        <v>51</v>
      </c>
      <c r="AD912" t="s">
        <v>51</v>
      </c>
      <c r="AE912" t="s">
        <v>51</v>
      </c>
      <c r="AF912" t="s">
        <v>885</v>
      </c>
    </row>
    <row r="913" spans="1:32" ht="14.5" customHeight="1" x14ac:dyDescent="0.35">
      <c r="A913" t="s">
        <v>498</v>
      </c>
      <c r="B913" t="s">
        <v>499</v>
      </c>
      <c r="C913" t="s">
        <v>47</v>
      </c>
      <c r="D913">
        <v>3001108</v>
      </c>
      <c r="E913">
        <v>3001474</v>
      </c>
      <c r="F913" t="s">
        <v>886</v>
      </c>
      <c r="G913" t="s">
        <v>886</v>
      </c>
      <c r="H913" t="s">
        <v>54</v>
      </c>
      <c r="I913">
        <v>6955600</v>
      </c>
      <c r="J913" s="12">
        <v>46095</v>
      </c>
      <c r="K913" s="12">
        <v>46095</v>
      </c>
      <c r="L913" s="12">
        <v>46095</v>
      </c>
      <c r="M913">
        <v>37</v>
      </c>
      <c r="N913">
        <v>-5788500</v>
      </c>
      <c r="O913">
        <v>-5788500</v>
      </c>
      <c r="P913">
        <v>0</v>
      </c>
      <c r="Q913">
        <v>0</v>
      </c>
      <c r="R913">
        <v>-5788500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 t="s">
        <v>47</v>
      </c>
      <c r="AA913" t="s">
        <v>55</v>
      </c>
      <c r="AB913" t="s">
        <v>51</v>
      </c>
      <c r="AC913" t="s">
        <v>51</v>
      </c>
      <c r="AD913" t="s">
        <v>51</v>
      </c>
      <c r="AE913" t="s">
        <v>51</v>
      </c>
      <c r="AF913" t="s">
        <v>887</v>
      </c>
    </row>
    <row r="914" spans="1:32" ht="14.5" customHeight="1" x14ac:dyDescent="0.35">
      <c r="A914" t="s">
        <v>498</v>
      </c>
      <c r="B914" t="s">
        <v>499</v>
      </c>
      <c r="C914" t="s">
        <v>47</v>
      </c>
      <c r="D914">
        <v>3001108</v>
      </c>
      <c r="E914">
        <v>3001474</v>
      </c>
      <c r="F914" t="s">
        <v>886</v>
      </c>
      <c r="G914" t="s">
        <v>886</v>
      </c>
      <c r="H914" t="s">
        <v>54</v>
      </c>
      <c r="I914">
        <v>6956511</v>
      </c>
      <c r="J914" s="12">
        <v>46103</v>
      </c>
      <c r="K914" s="12">
        <v>46103</v>
      </c>
      <c r="L914" s="12">
        <v>46103</v>
      </c>
      <c r="M914">
        <v>29</v>
      </c>
      <c r="N914">
        <v>-56916986</v>
      </c>
      <c r="O914">
        <v>-56916986</v>
      </c>
      <c r="P914">
        <v>0</v>
      </c>
      <c r="Q914">
        <v>-56916986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 t="s">
        <v>47</v>
      </c>
      <c r="AA914" t="s">
        <v>55</v>
      </c>
      <c r="AB914" t="s">
        <v>51</v>
      </c>
      <c r="AC914" t="s">
        <v>51</v>
      </c>
      <c r="AD914" t="s">
        <v>51</v>
      </c>
      <c r="AE914" t="s">
        <v>51</v>
      </c>
      <c r="AF914" t="s">
        <v>56</v>
      </c>
    </row>
    <row r="915" spans="1:32" ht="14.5" customHeight="1" x14ac:dyDescent="0.35">
      <c r="A915" t="s">
        <v>498</v>
      </c>
      <c r="B915" t="s">
        <v>499</v>
      </c>
      <c r="C915" t="s">
        <v>47</v>
      </c>
      <c r="D915">
        <v>3001108</v>
      </c>
      <c r="E915">
        <v>3001474</v>
      </c>
      <c r="F915" t="s">
        <v>886</v>
      </c>
      <c r="G915" t="s">
        <v>886</v>
      </c>
      <c r="H915" t="s">
        <v>54</v>
      </c>
      <c r="I915">
        <v>6957358</v>
      </c>
      <c r="J915" s="12">
        <v>46106</v>
      </c>
      <c r="K915" s="12">
        <v>46106</v>
      </c>
      <c r="L915" s="12">
        <v>46106</v>
      </c>
      <c r="M915">
        <v>26</v>
      </c>
      <c r="N915">
        <v>-7052029</v>
      </c>
      <c r="O915">
        <v>-7052029</v>
      </c>
      <c r="P915">
        <v>0</v>
      </c>
      <c r="Q915">
        <v>-7052029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 t="s">
        <v>47</v>
      </c>
      <c r="AA915" t="s">
        <v>55</v>
      </c>
      <c r="AB915" t="s">
        <v>51</v>
      </c>
      <c r="AC915" t="s">
        <v>51</v>
      </c>
      <c r="AD915" t="s">
        <v>51</v>
      </c>
      <c r="AE915" t="s">
        <v>51</v>
      </c>
      <c r="AF915" t="s">
        <v>888</v>
      </c>
    </row>
    <row r="916" spans="1:32" ht="14.5" customHeight="1" x14ac:dyDescent="0.35">
      <c r="A916" t="s">
        <v>498</v>
      </c>
      <c r="B916" t="s">
        <v>499</v>
      </c>
      <c r="C916" t="s">
        <v>47</v>
      </c>
      <c r="D916">
        <v>3001108</v>
      </c>
      <c r="E916">
        <v>3001474</v>
      </c>
      <c r="F916" t="s">
        <v>886</v>
      </c>
      <c r="G916" t="s">
        <v>886</v>
      </c>
      <c r="H916" t="s">
        <v>54</v>
      </c>
      <c r="I916">
        <v>6958646</v>
      </c>
      <c r="J916" s="12">
        <v>46121</v>
      </c>
      <c r="K916" s="12">
        <v>46121</v>
      </c>
      <c r="L916" s="12">
        <v>46121</v>
      </c>
      <c r="M916">
        <v>11</v>
      </c>
      <c r="N916">
        <v>-972157</v>
      </c>
      <c r="O916">
        <v>-972157</v>
      </c>
      <c r="P916">
        <v>0</v>
      </c>
      <c r="Q916">
        <v>-972157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 t="s">
        <v>47</v>
      </c>
      <c r="AA916" t="s">
        <v>55</v>
      </c>
      <c r="AB916" t="s">
        <v>51</v>
      </c>
      <c r="AC916" t="s">
        <v>51</v>
      </c>
      <c r="AD916" t="s">
        <v>51</v>
      </c>
      <c r="AE916" t="s">
        <v>51</v>
      </c>
      <c r="AF916" t="s">
        <v>889</v>
      </c>
    </row>
    <row r="917" spans="1:32" ht="14.5" customHeight="1" x14ac:dyDescent="0.35">
      <c r="A917" t="s">
        <v>498</v>
      </c>
      <c r="B917" t="s">
        <v>499</v>
      </c>
      <c r="C917" t="s">
        <v>47</v>
      </c>
      <c r="D917">
        <v>3001108</v>
      </c>
      <c r="E917">
        <v>3001474</v>
      </c>
      <c r="F917" t="s">
        <v>886</v>
      </c>
      <c r="G917" t="s">
        <v>886</v>
      </c>
      <c r="H917" t="s">
        <v>54</v>
      </c>
      <c r="I917">
        <v>6959448</v>
      </c>
      <c r="J917" s="12">
        <v>46127</v>
      </c>
      <c r="K917" s="12">
        <v>46127</v>
      </c>
      <c r="L917" s="12">
        <v>46127</v>
      </c>
      <c r="M917">
        <v>5</v>
      </c>
      <c r="N917">
        <v>-981000</v>
      </c>
      <c r="O917">
        <v>-981000</v>
      </c>
      <c r="P917">
        <v>0</v>
      </c>
      <c r="Q917">
        <v>-981000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 t="s">
        <v>47</v>
      </c>
      <c r="AA917" t="s">
        <v>55</v>
      </c>
      <c r="AB917" t="s">
        <v>51</v>
      </c>
      <c r="AC917" t="s">
        <v>51</v>
      </c>
      <c r="AD917" t="s">
        <v>51</v>
      </c>
      <c r="AE917" t="s">
        <v>51</v>
      </c>
      <c r="AF917" t="s">
        <v>890</v>
      </c>
    </row>
    <row r="918" spans="1:32" ht="14.5" customHeight="1" x14ac:dyDescent="0.35">
      <c r="A918" t="s">
        <v>498</v>
      </c>
      <c r="B918" t="s">
        <v>499</v>
      </c>
      <c r="C918" t="s">
        <v>47</v>
      </c>
      <c r="D918">
        <v>3001108</v>
      </c>
      <c r="E918">
        <v>3001474</v>
      </c>
      <c r="F918" t="s">
        <v>886</v>
      </c>
      <c r="G918" t="s">
        <v>886</v>
      </c>
      <c r="H918" t="s">
        <v>54</v>
      </c>
      <c r="I918">
        <v>9902220</v>
      </c>
      <c r="J918" s="12">
        <v>46063</v>
      </c>
      <c r="K918" s="12">
        <v>46063</v>
      </c>
      <c r="L918" s="12">
        <v>46133</v>
      </c>
      <c r="M918">
        <v>-1</v>
      </c>
      <c r="N918">
        <v>358800563</v>
      </c>
      <c r="O918">
        <v>0</v>
      </c>
      <c r="P918">
        <v>358800563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 t="s">
        <v>47</v>
      </c>
      <c r="AA918" t="s">
        <v>55</v>
      </c>
      <c r="AB918" t="s">
        <v>51</v>
      </c>
      <c r="AC918" t="s">
        <v>891</v>
      </c>
      <c r="AD918" t="s">
        <v>51</v>
      </c>
      <c r="AE918" t="s">
        <v>51</v>
      </c>
      <c r="AF918" t="s">
        <v>167</v>
      </c>
    </row>
    <row r="919" spans="1:32" ht="14.5" customHeight="1" x14ac:dyDescent="0.35">
      <c r="A919" t="s">
        <v>498</v>
      </c>
      <c r="B919" t="s">
        <v>499</v>
      </c>
      <c r="C919" t="s">
        <v>47</v>
      </c>
      <c r="D919">
        <v>3001108</v>
      </c>
      <c r="E919">
        <v>3001474</v>
      </c>
      <c r="F919" t="s">
        <v>886</v>
      </c>
      <c r="G919" t="s">
        <v>886</v>
      </c>
      <c r="H919" t="s">
        <v>54</v>
      </c>
      <c r="I919">
        <v>9902221</v>
      </c>
      <c r="J919" s="12">
        <v>46063</v>
      </c>
      <c r="K919" s="12">
        <v>46063</v>
      </c>
      <c r="L919" s="12">
        <v>46133</v>
      </c>
      <c r="M919">
        <v>-1</v>
      </c>
      <c r="N919">
        <v>1891715</v>
      </c>
      <c r="O919">
        <v>0</v>
      </c>
      <c r="P919">
        <v>1891715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 t="s">
        <v>47</v>
      </c>
      <c r="AA919" t="s">
        <v>55</v>
      </c>
      <c r="AB919" t="s">
        <v>51</v>
      </c>
      <c r="AC919" t="s">
        <v>892</v>
      </c>
      <c r="AD919" t="s">
        <v>51</v>
      </c>
      <c r="AE919" t="s">
        <v>51</v>
      </c>
      <c r="AF919" t="s">
        <v>64</v>
      </c>
    </row>
    <row r="920" spans="1:32" ht="14.5" customHeight="1" x14ac:dyDescent="0.35">
      <c r="A920" t="s">
        <v>498</v>
      </c>
      <c r="B920" t="s">
        <v>499</v>
      </c>
      <c r="C920" t="s">
        <v>47</v>
      </c>
      <c r="D920">
        <v>3001108</v>
      </c>
      <c r="E920">
        <v>3001474</v>
      </c>
      <c r="F920" t="s">
        <v>886</v>
      </c>
      <c r="G920" t="s">
        <v>886</v>
      </c>
      <c r="H920" t="s">
        <v>54</v>
      </c>
      <c r="I920">
        <v>9910581</v>
      </c>
      <c r="J920" s="12">
        <v>46081</v>
      </c>
      <c r="K920" s="12">
        <v>46081</v>
      </c>
      <c r="L920" s="12">
        <v>46151</v>
      </c>
      <c r="M920">
        <v>-19</v>
      </c>
      <c r="N920">
        <v>442065099</v>
      </c>
      <c r="O920">
        <v>0</v>
      </c>
      <c r="P920">
        <v>442065099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 t="s">
        <v>47</v>
      </c>
      <c r="AA920" t="s">
        <v>55</v>
      </c>
      <c r="AB920" t="s">
        <v>51</v>
      </c>
      <c r="AC920" t="s">
        <v>51</v>
      </c>
      <c r="AD920" t="s">
        <v>51</v>
      </c>
      <c r="AE920" t="s">
        <v>893</v>
      </c>
      <c r="AF920" t="s">
        <v>487</v>
      </c>
    </row>
    <row r="921" spans="1:32" ht="14.5" customHeight="1" x14ac:dyDescent="0.35">
      <c r="A921" t="s">
        <v>498</v>
      </c>
      <c r="B921" t="s">
        <v>499</v>
      </c>
      <c r="C921" t="s">
        <v>47</v>
      </c>
      <c r="D921">
        <v>3001108</v>
      </c>
      <c r="E921">
        <v>3001474</v>
      </c>
      <c r="F921" t="s">
        <v>886</v>
      </c>
      <c r="G921" t="s">
        <v>886</v>
      </c>
      <c r="H921" t="s">
        <v>54</v>
      </c>
      <c r="I921">
        <v>9910603</v>
      </c>
      <c r="J921" s="12">
        <v>46081</v>
      </c>
      <c r="K921" s="12">
        <v>46081</v>
      </c>
      <c r="L921" s="12">
        <v>46151</v>
      </c>
      <c r="M921">
        <v>-19</v>
      </c>
      <c r="N921">
        <v>47462386</v>
      </c>
      <c r="O921">
        <v>0</v>
      </c>
      <c r="P921">
        <v>47462386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 t="s">
        <v>47</v>
      </c>
      <c r="AA921" t="s">
        <v>55</v>
      </c>
      <c r="AB921" t="s">
        <v>51</v>
      </c>
      <c r="AC921" t="s">
        <v>51</v>
      </c>
      <c r="AD921" t="s">
        <v>51</v>
      </c>
      <c r="AE921" t="s">
        <v>894</v>
      </c>
      <c r="AF921" t="s">
        <v>736</v>
      </c>
    </row>
    <row r="922" spans="1:32" ht="14.5" customHeight="1" x14ac:dyDescent="0.35">
      <c r="A922" t="s">
        <v>498</v>
      </c>
      <c r="B922" t="s">
        <v>499</v>
      </c>
      <c r="C922" t="s">
        <v>47</v>
      </c>
      <c r="D922">
        <v>3001108</v>
      </c>
      <c r="E922">
        <v>3001474</v>
      </c>
      <c r="F922" t="s">
        <v>886</v>
      </c>
      <c r="G922" t="s">
        <v>886</v>
      </c>
      <c r="H922" t="s">
        <v>54</v>
      </c>
      <c r="I922">
        <v>9910606</v>
      </c>
      <c r="J922" s="12">
        <v>46081</v>
      </c>
      <c r="K922" s="12">
        <v>46081</v>
      </c>
      <c r="L922" s="12">
        <v>46151</v>
      </c>
      <c r="M922">
        <v>-19</v>
      </c>
      <c r="N922">
        <v>389693309</v>
      </c>
      <c r="O922">
        <v>0</v>
      </c>
      <c r="P922">
        <v>389693309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 t="s">
        <v>47</v>
      </c>
      <c r="AA922" t="s">
        <v>55</v>
      </c>
      <c r="AB922" t="s">
        <v>51</v>
      </c>
      <c r="AC922" t="s">
        <v>51</v>
      </c>
      <c r="AD922" t="s">
        <v>51</v>
      </c>
      <c r="AE922" t="s">
        <v>895</v>
      </c>
      <c r="AF922" t="s">
        <v>183</v>
      </c>
    </row>
    <row r="923" spans="1:32" ht="14.5" customHeight="1" x14ac:dyDescent="0.35">
      <c r="A923" t="s">
        <v>498</v>
      </c>
      <c r="B923" t="s">
        <v>499</v>
      </c>
      <c r="C923" t="s">
        <v>47</v>
      </c>
      <c r="D923">
        <v>3001108</v>
      </c>
      <c r="E923">
        <v>3001474</v>
      </c>
      <c r="F923" t="s">
        <v>886</v>
      </c>
      <c r="G923" t="s">
        <v>886</v>
      </c>
      <c r="H923" t="s">
        <v>54</v>
      </c>
      <c r="I923">
        <v>9910611</v>
      </c>
      <c r="J923" s="12">
        <v>46081</v>
      </c>
      <c r="K923" s="12">
        <v>46081</v>
      </c>
      <c r="L923" s="12">
        <v>46151</v>
      </c>
      <c r="M923">
        <v>-19</v>
      </c>
      <c r="N923">
        <v>10856333</v>
      </c>
      <c r="O923">
        <v>0</v>
      </c>
      <c r="P923">
        <v>10856333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 t="s">
        <v>47</v>
      </c>
      <c r="AA923" t="s">
        <v>55</v>
      </c>
      <c r="AB923" t="s">
        <v>51</v>
      </c>
      <c r="AC923" t="s">
        <v>51</v>
      </c>
      <c r="AD923" t="s">
        <v>51</v>
      </c>
      <c r="AE923" t="s">
        <v>896</v>
      </c>
      <c r="AF923" t="s">
        <v>281</v>
      </c>
    </row>
    <row r="924" spans="1:32" ht="14.5" customHeight="1" x14ac:dyDescent="0.35">
      <c r="A924" t="s">
        <v>498</v>
      </c>
      <c r="B924" t="s">
        <v>499</v>
      </c>
      <c r="C924" t="s">
        <v>47</v>
      </c>
      <c r="D924">
        <v>3001108</v>
      </c>
      <c r="E924">
        <v>3001474</v>
      </c>
      <c r="F924" t="s">
        <v>886</v>
      </c>
      <c r="G924" t="s">
        <v>886</v>
      </c>
      <c r="H924" t="s">
        <v>54</v>
      </c>
      <c r="I924">
        <v>9915631</v>
      </c>
      <c r="J924" s="12">
        <v>46096</v>
      </c>
      <c r="K924" s="12">
        <v>46096</v>
      </c>
      <c r="L924" s="12">
        <v>46166</v>
      </c>
      <c r="M924">
        <v>-34</v>
      </c>
      <c r="N924">
        <v>375784189</v>
      </c>
      <c r="O924">
        <v>0</v>
      </c>
      <c r="P924">
        <v>375784189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 t="s">
        <v>47</v>
      </c>
      <c r="AA924" t="s">
        <v>55</v>
      </c>
      <c r="AB924" t="s">
        <v>51</v>
      </c>
      <c r="AC924" t="s">
        <v>51</v>
      </c>
      <c r="AD924" t="s">
        <v>51</v>
      </c>
      <c r="AE924" t="s">
        <v>897</v>
      </c>
      <c r="AF924" t="s">
        <v>898</v>
      </c>
    </row>
    <row r="925" spans="1:32" ht="14.5" customHeight="1" x14ac:dyDescent="0.35">
      <c r="A925" t="s">
        <v>498</v>
      </c>
      <c r="B925" t="s">
        <v>499</v>
      </c>
      <c r="C925" t="s">
        <v>47</v>
      </c>
      <c r="D925">
        <v>3001108</v>
      </c>
      <c r="E925">
        <v>3001474</v>
      </c>
      <c r="F925" t="s">
        <v>886</v>
      </c>
      <c r="G925" t="s">
        <v>886</v>
      </c>
      <c r="H925" t="s">
        <v>54</v>
      </c>
      <c r="I925">
        <v>9915632</v>
      </c>
      <c r="J925" s="12">
        <v>46096</v>
      </c>
      <c r="K925" s="12">
        <v>46096</v>
      </c>
      <c r="L925" s="12">
        <v>46166</v>
      </c>
      <c r="M925">
        <v>-34</v>
      </c>
      <c r="N925">
        <v>1422038</v>
      </c>
      <c r="O925">
        <v>0</v>
      </c>
      <c r="P925">
        <v>1422038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 t="s">
        <v>47</v>
      </c>
      <c r="AA925" t="s">
        <v>55</v>
      </c>
      <c r="AB925" t="s">
        <v>51</v>
      </c>
      <c r="AC925" t="s">
        <v>51</v>
      </c>
      <c r="AD925" t="s">
        <v>51</v>
      </c>
      <c r="AE925" t="s">
        <v>899</v>
      </c>
      <c r="AF925" t="s">
        <v>332</v>
      </c>
    </row>
    <row r="926" spans="1:32" ht="14.5" customHeight="1" x14ac:dyDescent="0.35">
      <c r="A926" t="s">
        <v>498</v>
      </c>
      <c r="B926" t="s">
        <v>499</v>
      </c>
      <c r="C926" t="s">
        <v>47</v>
      </c>
      <c r="D926">
        <v>3001108</v>
      </c>
      <c r="E926">
        <v>3001474</v>
      </c>
      <c r="F926" t="s">
        <v>886</v>
      </c>
      <c r="G926" t="s">
        <v>886</v>
      </c>
      <c r="H926" t="s">
        <v>54</v>
      </c>
      <c r="I926">
        <v>9916430</v>
      </c>
      <c r="J926" s="12">
        <v>46098</v>
      </c>
      <c r="K926" s="12">
        <v>46098</v>
      </c>
      <c r="L926" s="12">
        <v>46168</v>
      </c>
      <c r="M926">
        <v>-36</v>
      </c>
      <c r="N926">
        <v>300486151</v>
      </c>
      <c r="O926">
        <v>0</v>
      </c>
      <c r="P926">
        <v>300486151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 t="s">
        <v>47</v>
      </c>
      <c r="AA926" t="s">
        <v>55</v>
      </c>
      <c r="AB926" t="s">
        <v>51</v>
      </c>
      <c r="AC926" t="s">
        <v>51</v>
      </c>
      <c r="AD926" t="s">
        <v>51</v>
      </c>
      <c r="AE926" t="s">
        <v>900</v>
      </c>
      <c r="AF926" t="s">
        <v>901</v>
      </c>
    </row>
    <row r="927" spans="1:32" ht="14.5" customHeight="1" x14ac:dyDescent="0.35">
      <c r="A927" t="s">
        <v>498</v>
      </c>
      <c r="B927" t="s">
        <v>499</v>
      </c>
      <c r="C927" t="s">
        <v>47</v>
      </c>
      <c r="D927">
        <v>3001108</v>
      </c>
      <c r="E927">
        <v>3001474</v>
      </c>
      <c r="F927" t="s">
        <v>886</v>
      </c>
      <c r="G927" t="s">
        <v>886</v>
      </c>
      <c r="H927" t="s">
        <v>140</v>
      </c>
      <c r="I927">
        <v>9917207</v>
      </c>
      <c r="J927" s="12">
        <v>46103</v>
      </c>
      <c r="K927" s="12">
        <v>46103</v>
      </c>
      <c r="L927" s="12">
        <v>46148</v>
      </c>
      <c r="M927">
        <v>-16</v>
      </c>
      <c r="N927">
        <v>119639</v>
      </c>
      <c r="O927">
        <v>0</v>
      </c>
      <c r="P927">
        <v>119639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 t="s">
        <v>47</v>
      </c>
      <c r="AA927" t="s">
        <v>55</v>
      </c>
      <c r="AB927" t="s">
        <v>51</v>
      </c>
      <c r="AC927" t="s">
        <v>51</v>
      </c>
      <c r="AD927" t="s">
        <v>51</v>
      </c>
      <c r="AE927" t="s">
        <v>902</v>
      </c>
      <c r="AF927" t="s">
        <v>195</v>
      </c>
    </row>
    <row r="928" spans="1:32" ht="14.5" customHeight="1" x14ac:dyDescent="0.35">
      <c r="A928" t="s">
        <v>175</v>
      </c>
      <c r="B928" t="s">
        <v>203</v>
      </c>
      <c r="C928" t="s">
        <v>47</v>
      </c>
      <c r="D928">
        <v>3001109</v>
      </c>
      <c r="E928">
        <v>3001109</v>
      </c>
      <c r="F928" t="s">
        <v>903</v>
      </c>
      <c r="G928" t="s">
        <v>903</v>
      </c>
      <c r="H928" t="s">
        <v>54</v>
      </c>
      <c r="I928">
        <v>6955540</v>
      </c>
      <c r="J928" s="12">
        <v>46095</v>
      </c>
      <c r="K928" s="12">
        <v>46095</v>
      </c>
      <c r="L928" s="12">
        <v>46095</v>
      </c>
      <c r="M928">
        <v>37</v>
      </c>
      <c r="N928">
        <v>-54060630</v>
      </c>
      <c r="O928">
        <v>-54060630</v>
      </c>
      <c r="P928">
        <v>0</v>
      </c>
      <c r="Q928">
        <v>0</v>
      </c>
      <c r="R928">
        <v>-54060630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 t="s">
        <v>548</v>
      </c>
      <c r="AA928" t="s">
        <v>55</v>
      </c>
      <c r="AB928" t="s">
        <v>51</v>
      </c>
      <c r="AC928" t="s">
        <v>51</v>
      </c>
      <c r="AD928" t="s">
        <v>51</v>
      </c>
      <c r="AE928" t="s">
        <v>51</v>
      </c>
      <c r="AF928" t="s">
        <v>660</v>
      </c>
    </row>
    <row r="929" spans="1:32" ht="14.5" customHeight="1" x14ac:dyDescent="0.35">
      <c r="A929" t="s">
        <v>175</v>
      </c>
      <c r="B929" t="s">
        <v>203</v>
      </c>
      <c r="C929" t="s">
        <v>47</v>
      </c>
      <c r="D929">
        <v>3001109</v>
      </c>
      <c r="E929">
        <v>3001109</v>
      </c>
      <c r="F929" t="s">
        <v>903</v>
      </c>
      <c r="G929" t="s">
        <v>903</v>
      </c>
      <c r="H929" t="s">
        <v>54</v>
      </c>
      <c r="I929">
        <v>6955708</v>
      </c>
      <c r="J929" s="12">
        <v>46095</v>
      </c>
      <c r="K929" s="12">
        <v>46095</v>
      </c>
      <c r="L929" s="12">
        <v>46095</v>
      </c>
      <c r="M929">
        <v>37</v>
      </c>
      <c r="N929">
        <v>-909000</v>
      </c>
      <c r="O929">
        <v>-909000</v>
      </c>
      <c r="P929">
        <v>0</v>
      </c>
      <c r="Q929">
        <v>0</v>
      </c>
      <c r="R929">
        <v>-909000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 t="s">
        <v>548</v>
      </c>
      <c r="AA929" t="s">
        <v>55</v>
      </c>
      <c r="AB929" t="s">
        <v>51</v>
      </c>
      <c r="AC929" t="s">
        <v>51</v>
      </c>
      <c r="AD929" t="s">
        <v>51</v>
      </c>
      <c r="AE929" t="s">
        <v>51</v>
      </c>
      <c r="AF929" t="s">
        <v>904</v>
      </c>
    </row>
    <row r="930" spans="1:32" ht="14.5" customHeight="1" x14ac:dyDescent="0.35">
      <c r="A930" t="s">
        <v>175</v>
      </c>
      <c r="B930" t="s">
        <v>203</v>
      </c>
      <c r="C930" t="s">
        <v>47</v>
      </c>
      <c r="D930">
        <v>3001109</v>
      </c>
      <c r="E930">
        <v>3001109</v>
      </c>
      <c r="F930" t="s">
        <v>903</v>
      </c>
      <c r="G930" t="s">
        <v>903</v>
      </c>
      <c r="H930" t="s">
        <v>54</v>
      </c>
      <c r="I930">
        <v>6957694</v>
      </c>
      <c r="J930" s="12">
        <v>46112</v>
      </c>
      <c r="K930" s="12">
        <v>46112</v>
      </c>
      <c r="L930" s="12">
        <v>46112</v>
      </c>
      <c r="M930">
        <v>20</v>
      </c>
      <c r="N930">
        <v>-1378470</v>
      </c>
      <c r="O930">
        <v>-1378470</v>
      </c>
      <c r="P930">
        <v>0</v>
      </c>
      <c r="Q930">
        <v>-1378470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 t="s">
        <v>548</v>
      </c>
      <c r="AA930" t="s">
        <v>55</v>
      </c>
      <c r="AB930" t="s">
        <v>51</v>
      </c>
      <c r="AC930" t="s">
        <v>51</v>
      </c>
      <c r="AD930" t="s">
        <v>51</v>
      </c>
      <c r="AE930" t="s">
        <v>51</v>
      </c>
      <c r="AF930" t="s">
        <v>905</v>
      </c>
    </row>
    <row r="931" spans="1:32" ht="14.5" customHeight="1" x14ac:dyDescent="0.35">
      <c r="A931" t="s">
        <v>175</v>
      </c>
      <c r="B931" t="s">
        <v>203</v>
      </c>
      <c r="C931" t="s">
        <v>47</v>
      </c>
      <c r="D931">
        <v>3001109</v>
      </c>
      <c r="E931">
        <v>3001109</v>
      </c>
      <c r="F931" t="s">
        <v>903</v>
      </c>
      <c r="G931" t="s">
        <v>903</v>
      </c>
      <c r="H931" t="s">
        <v>54</v>
      </c>
      <c r="I931">
        <v>6960184</v>
      </c>
      <c r="J931" s="12">
        <v>46130</v>
      </c>
      <c r="K931" s="12">
        <v>46130</v>
      </c>
      <c r="L931" s="12">
        <v>46130</v>
      </c>
      <c r="M931">
        <v>2</v>
      </c>
      <c r="N931">
        <v>-49102120</v>
      </c>
      <c r="O931">
        <v>-49102120</v>
      </c>
      <c r="P931">
        <v>0</v>
      </c>
      <c r="Q931">
        <v>-49102120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 t="s">
        <v>548</v>
      </c>
      <c r="AA931" t="s">
        <v>55</v>
      </c>
      <c r="AB931" t="s">
        <v>51</v>
      </c>
      <c r="AC931" t="s">
        <v>51</v>
      </c>
      <c r="AD931" t="s">
        <v>51</v>
      </c>
      <c r="AE931" t="s">
        <v>51</v>
      </c>
      <c r="AF931" t="s">
        <v>660</v>
      </c>
    </row>
    <row r="932" spans="1:32" ht="14.5" customHeight="1" x14ac:dyDescent="0.35">
      <c r="A932" t="s">
        <v>175</v>
      </c>
      <c r="B932" t="s">
        <v>203</v>
      </c>
      <c r="C932" t="s">
        <v>846</v>
      </c>
      <c r="D932">
        <v>3001109</v>
      </c>
      <c r="E932">
        <v>3001109</v>
      </c>
      <c r="F932" t="s">
        <v>903</v>
      </c>
      <c r="G932" t="s">
        <v>903</v>
      </c>
      <c r="H932" t="s">
        <v>54</v>
      </c>
      <c r="I932">
        <v>9910677</v>
      </c>
      <c r="J932" s="12">
        <v>46081</v>
      </c>
      <c r="K932" s="12">
        <v>46081</v>
      </c>
      <c r="L932" s="12">
        <v>46140</v>
      </c>
      <c r="M932">
        <v>-8</v>
      </c>
      <c r="N932">
        <v>367292833</v>
      </c>
      <c r="O932">
        <v>0</v>
      </c>
      <c r="P932">
        <v>367292833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 t="s">
        <v>548</v>
      </c>
      <c r="AA932" t="s">
        <v>55</v>
      </c>
      <c r="AB932" t="s">
        <v>51</v>
      </c>
      <c r="AC932" t="s">
        <v>51</v>
      </c>
      <c r="AD932" t="s">
        <v>906</v>
      </c>
      <c r="AE932" t="s">
        <v>51</v>
      </c>
      <c r="AF932" t="s">
        <v>839</v>
      </c>
    </row>
    <row r="933" spans="1:32" ht="14.5" customHeight="1" x14ac:dyDescent="0.35">
      <c r="A933" t="s">
        <v>175</v>
      </c>
      <c r="B933" t="s">
        <v>203</v>
      </c>
      <c r="C933" t="s">
        <v>846</v>
      </c>
      <c r="D933">
        <v>3001109</v>
      </c>
      <c r="E933">
        <v>3001109</v>
      </c>
      <c r="F933" t="s">
        <v>903</v>
      </c>
      <c r="G933" t="s">
        <v>903</v>
      </c>
      <c r="H933" t="s">
        <v>49</v>
      </c>
      <c r="I933">
        <v>9102073738</v>
      </c>
      <c r="J933" s="12">
        <v>46112</v>
      </c>
      <c r="K933" s="12">
        <v>46112</v>
      </c>
      <c r="L933" s="12">
        <v>46112</v>
      </c>
      <c r="M933">
        <v>20</v>
      </c>
      <c r="N933">
        <v>396486954</v>
      </c>
      <c r="O933">
        <v>0</v>
      </c>
      <c r="P933">
        <v>0</v>
      </c>
      <c r="Q933">
        <v>396486954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 t="s">
        <v>548</v>
      </c>
      <c r="AA933" t="s">
        <v>50</v>
      </c>
      <c r="AB933" t="s">
        <v>51</v>
      </c>
      <c r="AC933" t="s">
        <v>51</v>
      </c>
      <c r="AD933" t="s">
        <v>51</v>
      </c>
      <c r="AE933" t="s">
        <v>51</v>
      </c>
      <c r="AF933" t="s">
        <v>907</v>
      </c>
    </row>
    <row r="934" spans="1:32" ht="14.5" customHeight="1" x14ac:dyDescent="0.35">
      <c r="A934" t="s">
        <v>175</v>
      </c>
      <c r="B934" t="s">
        <v>176</v>
      </c>
      <c r="C934" t="s">
        <v>47</v>
      </c>
      <c r="D934">
        <v>3001120</v>
      </c>
      <c r="E934">
        <v>3100360</v>
      </c>
      <c r="F934" t="s">
        <v>908</v>
      </c>
      <c r="G934" t="s">
        <v>908</v>
      </c>
      <c r="H934" t="s">
        <v>54</v>
      </c>
      <c r="I934">
        <v>6954261</v>
      </c>
      <c r="J934" s="12">
        <v>46088</v>
      </c>
      <c r="K934" s="12">
        <v>46088</v>
      </c>
      <c r="L934" s="12">
        <v>46088</v>
      </c>
      <c r="M934">
        <v>44</v>
      </c>
      <c r="N934">
        <v>-8175000</v>
      </c>
      <c r="O934">
        <v>-8175000</v>
      </c>
      <c r="P934">
        <v>0</v>
      </c>
      <c r="Q934">
        <v>0</v>
      </c>
      <c r="R934">
        <v>-8175000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 t="s">
        <v>47</v>
      </c>
      <c r="AA934" t="s">
        <v>55</v>
      </c>
      <c r="AB934" t="s">
        <v>51</v>
      </c>
      <c r="AC934" t="s">
        <v>51</v>
      </c>
      <c r="AD934" t="s">
        <v>51</v>
      </c>
      <c r="AE934" t="s">
        <v>51</v>
      </c>
      <c r="AF934" t="s">
        <v>909</v>
      </c>
    </row>
    <row r="935" spans="1:32" ht="14.5" customHeight="1" x14ac:dyDescent="0.35">
      <c r="A935" t="s">
        <v>175</v>
      </c>
      <c r="B935" t="s">
        <v>176</v>
      </c>
      <c r="C935" t="s">
        <v>47</v>
      </c>
      <c r="D935">
        <v>3001120</v>
      </c>
      <c r="E935">
        <v>3100360</v>
      </c>
      <c r="F935" t="s">
        <v>908</v>
      </c>
      <c r="G935" t="s">
        <v>908</v>
      </c>
      <c r="H935" t="s">
        <v>54</v>
      </c>
      <c r="I935">
        <v>6954273</v>
      </c>
      <c r="J935" s="12">
        <v>46088</v>
      </c>
      <c r="K935" s="12">
        <v>46088</v>
      </c>
      <c r="L935" s="12">
        <v>46088</v>
      </c>
      <c r="M935">
        <v>44</v>
      </c>
      <c r="N935">
        <v>-86746996</v>
      </c>
      <c r="O935">
        <v>-86746996</v>
      </c>
      <c r="P935">
        <v>0</v>
      </c>
      <c r="Q935">
        <v>0</v>
      </c>
      <c r="R935">
        <v>-86746996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 t="s">
        <v>47</v>
      </c>
      <c r="AA935" t="s">
        <v>55</v>
      </c>
      <c r="AB935" t="s">
        <v>51</v>
      </c>
      <c r="AC935" t="s">
        <v>51</v>
      </c>
      <c r="AD935" t="s">
        <v>51</v>
      </c>
      <c r="AE935" t="s">
        <v>51</v>
      </c>
      <c r="AF935" t="s">
        <v>910</v>
      </c>
    </row>
    <row r="936" spans="1:32" ht="14.5" customHeight="1" x14ac:dyDescent="0.35">
      <c r="A936" t="s">
        <v>175</v>
      </c>
      <c r="B936" t="s">
        <v>176</v>
      </c>
      <c r="C936" t="s">
        <v>47</v>
      </c>
      <c r="D936">
        <v>3001120</v>
      </c>
      <c r="E936">
        <v>3100360</v>
      </c>
      <c r="F936" t="s">
        <v>908</v>
      </c>
      <c r="G936" t="s">
        <v>908</v>
      </c>
      <c r="H936" t="s">
        <v>54</v>
      </c>
      <c r="I936">
        <v>6954334</v>
      </c>
      <c r="J936" s="12">
        <v>46088</v>
      </c>
      <c r="K936" s="12">
        <v>46088</v>
      </c>
      <c r="L936" s="12">
        <v>46088</v>
      </c>
      <c r="M936">
        <v>44</v>
      </c>
      <c r="N936">
        <v>-889054</v>
      </c>
      <c r="O936">
        <v>-889054</v>
      </c>
      <c r="P936">
        <v>0</v>
      </c>
      <c r="Q936">
        <v>0</v>
      </c>
      <c r="R936">
        <v>-889054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 t="s">
        <v>47</v>
      </c>
      <c r="AA936" t="s">
        <v>55</v>
      </c>
      <c r="AB936" t="s">
        <v>51</v>
      </c>
      <c r="AC936" t="s">
        <v>51</v>
      </c>
      <c r="AD936" t="s">
        <v>51</v>
      </c>
      <c r="AE936" t="s">
        <v>51</v>
      </c>
      <c r="AF936" t="s">
        <v>911</v>
      </c>
    </row>
    <row r="937" spans="1:32" ht="14.5" customHeight="1" x14ac:dyDescent="0.35">
      <c r="A937" t="s">
        <v>175</v>
      </c>
      <c r="B937" t="s">
        <v>176</v>
      </c>
      <c r="C937" t="s">
        <v>47</v>
      </c>
      <c r="D937">
        <v>3001120</v>
      </c>
      <c r="E937">
        <v>3100360</v>
      </c>
      <c r="F937" t="s">
        <v>908</v>
      </c>
      <c r="G937" t="s">
        <v>908</v>
      </c>
      <c r="H937" t="s">
        <v>54</v>
      </c>
      <c r="I937">
        <v>6954335</v>
      </c>
      <c r="J937" s="12">
        <v>46088</v>
      </c>
      <c r="K937" s="12">
        <v>46088</v>
      </c>
      <c r="L937" s="12">
        <v>46088</v>
      </c>
      <c r="M937">
        <v>44</v>
      </c>
      <c r="N937">
        <v>-633669</v>
      </c>
      <c r="O937">
        <v>-633669</v>
      </c>
      <c r="P937">
        <v>0</v>
      </c>
      <c r="Q937">
        <v>0</v>
      </c>
      <c r="R937">
        <v>-633669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 t="s">
        <v>47</v>
      </c>
      <c r="AA937" t="s">
        <v>55</v>
      </c>
      <c r="AB937" t="s">
        <v>51</v>
      </c>
      <c r="AC937" t="s">
        <v>51</v>
      </c>
      <c r="AD937" t="s">
        <v>51</v>
      </c>
      <c r="AE937" t="s">
        <v>51</v>
      </c>
      <c r="AF937" t="s">
        <v>912</v>
      </c>
    </row>
    <row r="938" spans="1:32" ht="14.5" customHeight="1" x14ac:dyDescent="0.35">
      <c r="A938" t="s">
        <v>175</v>
      </c>
      <c r="B938" t="s">
        <v>176</v>
      </c>
      <c r="C938" t="s">
        <v>47</v>
      </c>
      <c r="D938">
        <v>3001120</v>
      </c>
      <c r="E938">
        <v>3100360</v>
      </c>
      <c r="F938" t="s">
        <v>908</v>
      </c>
      <c r="G938" t="s">
        <v>908</v>
      </c>
      <c r="H938" t="s">
        <v>54</v>
      </c>
      <c r="I938">
        <v>6954792</v>
      </c>
      <c r="J938" s="12">
        <v>46090</v>
      </c>
      <c r="K938" s="12">
        <v>46090</v>
      </c>
      <c r="L938" s="12">
        <v>46090</v>
      </c>
      <c r="M938">
        <v>42</v>
      </c>
      <c r="N938">
        <v>-1244594</v>
      </c>
      <c r="O938">
        <v>-1244594</v>
      </c>
      <c r="P938">
        <v>0</v>
      </c>
      <c r="Q938">
        <v>0</v>
      </c>
      <c r="R938">
        <v>-1244594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 t="s">
        <v>47</v>
      </c>
      <c r="AA938" t="s">
        <v>55</v>
      </c>
      <c r="AB938" t="s">
        <v>51</v>
      </c>
      <c r="AC938" t="s">
        <v>51</v>
      </c>
      <c r="AD938" t="s">
        <v>51</v>
      </c>
      <c r="AE938" t="s">
        <v>51</v>
      </c>
      <c r="AF938" t="s">
        <v>913</v>
      </c>
    </row>
    <row r="939" spans="1:32" ht="14.5" customHeight="1" x14ac:dyDescent="0.35">
      <c r="A939" t="s">
        <v>175</v>
      </c>
      <c r="B939" t="s">
        <v>176</v>
      </c>
      <c r="C939" t="s">
        <v>47</v>
      </c>
      <c r="D939">
        <v>3001120</v>
      </c>
      <c r="E939">
        <v>3100360</v>
      </c>
      <c r="F939" t="s">
        <v>908</v>
      </c>
      <c r="G939" t="s">
        <v>908</v>
      </c>
      <c r="H939" t="s">
        <v>54</v>
      </c>
      <c r="I939">
        <v>6956512</v>
      </c>
      <c r="J939" s="12">
        <v>46103</v>
      </c>
      <c r="K939" s="12">
        <v>46103</v>
      </c>
      <c r="L939" s="12">
        <v>46103</v>
      </c>
      <c r="M939">
        <v>29</v>
      </c>
      <c r="N939">
        <v>-75097002</v>
      </c>
      <c r="O939">
        <v>-75097002</v>
      </c>
      <c r="P939">
        <v>0</v>
      </c>
      <c r="Q939">
        <v>-75097002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 t="s">
        <v>47</v>
      </c>
      <c r="AA939" t="s">
        <v>55</v>
      </c>
      <c r="AB939" t="s">
        <v>51</v>
      </c>
      <c r="AC939" t="s">
        <v>51</v>
      </c>
      <c r="AD939" t="s">
        <v>51</v>
      </c>
      <c r="AE939" t="s">
        <v>51</v>
      </c>
      <c r="AF939" t="s">
        <v>56</v>
      </c>
    </row>
    <row r="940" spans="1:32" ht="14.5" customHeight="1" x14ac:dyDescent="0.35">
      <c r="A940" t="s">
        <v>175</v>
      </c>
      <c r="B940" t="s">
        <v>176</v>
      </c>
      <c r="C940" t="s">
        <v>47</v>
      </c>
      <c r="D940">
        <v>3001120</v>
      </c>
      <c r="E940">
        <v>3100360</v>
      </c>
      <c r="F940" t="s">
        <v>908</v>
      </c>
      <c r="G940" t="s">
        <v>908</v>
      </c>
      <c r="H940" t="s">
        <v>54</v>
      </c>
      <c r="I940">
        <v>6956802</v>
      </c>
      <c r="J940" s="12">
        <v>46106</v>
      </c>
      <c r="K940" s="12">
        <v>46106</v>
      </c>
      <c r="L940" s="12">
        <v>46106</v>
      </c>
      <c r="M940">
        <v>26</v>
      </c>
      <c r="N940">
        <v>-705738</v>
      </c>
      <c r="O940">
        <v>-705738</v>
      </c>
      <c r="P940">
        <v>0</v>
      </c>
      <c r="Q940">
        <v>-705738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 t="s">
        <v>47</v>
      </c>
      <c r="AA940" t="s">
        <v>55</v>
      </c>
      <c r="AB940" t="s">
        <v>51</v>
      </c>
      <c r="AC940" t="s">
        <v>51</v>
      </c>
      <c r="AD940" t="s">
        <v>51</v>
      </c>
      <c r="AE940" t="s">
        <v>51</v>
      </c>
      <c r="AF940" t="s">
        <v>912</v>
      </c>
    </row>
    <row r="941" spans="1:32" ht="14.5" customHeight="1" x14ac:dyDescent="0.35">
      <c r="A941" t="s">
        <v>175</v>
      </c>
      <c r="B941" t="s">
        <v>176</v>
      </c>
      <c r="C941" t="s">
        <v>47</v>
      </c>
      <c r="D941">
        <v>3001120</v>
      </c>
      <c r="E941">
        <v>3100360</v>
      </c>
      <c r="F941" t="s">
        <v>908</v>
      </c>
      <c r="G941" t="s">
        <v>908</v>
      </c>
      <c r="H941" t="s">
        <v>54</v>
      </c>
      <c r="I941">
        <v>6956818</v>
      </c>
      <c r="J941" s="12">
        <v>46106</v>
      </c>
      <c r="K941" s="12">
        <v>46106</v>
      </c>
      <c r="L941" s="12">
        <v>46106</v>
      </c>
      <c r="M941">
        <v>26</v>
      </c>
      <c r="N941">
        <v>-906650</v>
      </c>
      <c r="O941">
        <v>-906650</v>
      </c>
      <c r="P941">
        <v>0</v>
      </c>
      <c r="Q941">
        <v>-906650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 t="s">
        <v>47</v>
      </c>
      <c r="AA941" t="s">
        <v>55</v>
      </c>
      <c r="AB941" t="s">
        <v>51</v>
      </c>
      <c r="AC941" t="s">
        <v>51</v>
      </c>
      <c r="AD941" t="s">
        <v>51</v>
      </c>
      <c r="AE941" t="s">
        <v>51</v>
      </c>
      <c r="AF941" t="s">
        <v>913</v>
      </c>
    </row>
    <row r="942" spans="1:32" ht="14.5" customHeight="1" x14ac:dyDescent="0.35">
      <c r="A942" t="s">
        <v>175</v>
      </c>
      <c r="B942" t="s">
        <v>176</v>
      </c>
      <c r="C942" t="s">
        <v>47</v>
      </c>
      <c r="D942">
        <v>3001120</v>
      </c>
      <c r="E942">
        <v>3100360</v>
      </c>
      <c r="F942" t="s">
        <v>908</v>
      </c>
      <c r="G942" t="s">
        <v>908</v>
      </c>
      <c r="H942" t="s">
        <v>54</v>
      </c>
      <c r="I942">
        <v>6956819</v>
      </c>
      <c r="J942" s="12">
        <v>46106</v>
      </c>
      <c r="K942" s="12">
        <v>46106</v>
      </c>
      <c r="L942" s="12">
        <v>46106</v>
      </c>
      <c r="M942">
        <v>26</v>
      </c>
      <c r="N942">
        <v>-1997819</v>
      </c>
      <c r="O942">
        <v>-1997819</v>
      </c>
      <c r="P942">
        <v>0</v>
      </c>
      <c r="Q942">
        <v>-1997819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 t="s">
        <v>47</v>
      </c>
      <c r="AA942" t="s">
        <v>55</v>
      </c>
      <c r="AB942" t="s">
        <v>51</v>
      </c>
      <c r="AC942" t="s">
        <v>51</v>
      </c>
      <c r="AD942" t="s">
        <v>51</v>
      </c>
      <c r="AE942" t="s">
        <v>51</v>
      </c>
      <c r="AF942" t="s">
        <v>913</v>
      </c>
    </row>
    <row r="943" spans="1:32" ht="14.5" customHeight="1" x14ac:dyDescent="0.35">
      <c r="A943" t="s">
        <v>175</v>
      </c>
      <c r="B943" t="s">
        <v>176</v>
      </c>
      <c r="C943" t="s">
        <v>47</v>
      </c>
      <c r="D943">
        <v>3001120</v>
      </c>
      <c r="E943">
        <v>3100360</v>
      </c>
      <c r="F943" t="s">
        <v>908</v>
      </c>
      <c r="G943" t="s">
        <v>908</v>
      </c>
      <c r="H943" t="s">
        <v>54</v>
      </c>
      <c r="I943">
        <v>6956895</v>
      </c>
      <c r="J943" s="12">
        <v>46106</v>
      </c>
      <c r="K943" s="12">
        <v>46106</v>
      </c>
      <c r="L943" s="12">
        <v>46106</v>
      </c>
      <c r="M943">
        <v>26</v>
      </c>
      <c r="N943">
        <v>-82435</v>
      </c>
      <c r="O943">
        <v>-82435</v>
      </c>
      <c r="P943">
        <v>0</v>
      </c>
      <c r="Q943">
        <v>-82435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 t="s">
        <v>47</v>
      </c>
      <c r="AA943" t="s">
        <v>55</v>
      </c>
      <c r="AB943" t="s">
        <v>51</v>
      </c>
      <c r="AC943" t="s">
        <v>51</v>
      </c>
      <c r="AD943" t="s">
        <v>51</v>
      </c>
      <c r="AE943" t="s">
        <v>51</v>
      </c>
      <c r="AF943" t="s">
        <v>913</v>
      </c>
    </row>
    <row r="944" spans="1:32" ht="14.5" customHeight="1" x14ac:dyDescent="0.35">
      <c r="A944" t="s">
        <v>175</v>
      </c>
      <c r="B944" t="s">
        <v>176</v>
      </c>
      <c r="C944" t="s">
        <v>47</v>
      </c>
      <c r="D944">
        <v>3001120</v>
      </c>
      <c r="E944">
        <v>3100360</v>
      </c>
      <c r="F944" t="s">
        <v>908</v>
      </c>
      <c r="G944" t="s">
        <v>908</v>
      </c>
      <c r="H944" t="s">
        <v>54</v>
      </c>
      <c r="I944">
        <v>6956896</v>
      </c>
      <c r="J944" s="12">
        <v>46106</v>
      </c>
      <c r="K944" s="12">
        <v>46106</v>
      </c>
      <c r="L944" s="12">
        <v>46106</v>
      </c>
      <c r="M944">
        <v>26</v>
      </c>
      <c r="N944">
        <v>-3150399</v>
      </c>
      <c r="O944">
        <v>-3150399</v>
      </c>
      <c r="P944">
        <v>0</v>
      </c>
      <c r="Q944">
        <v>-3150399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 t="s">
        <v>47</v>
      </c>
      <c r="AA944" t="s">
        <v>55</v>
      </c>
      <c r="AB944" t="s">
        <v>51</v>
      </c>
      <c r="AC944" t="s">
        <v>51</v>
      </c>
      <c r="AD944" t="s">
        <v>51</v>
      </c>
      <c r="AE944" t="s">
        <v>51</v>
      </c>
      <c r="AF944" t="s">
        <v>913</v>
      </c>
    </row>
    <row r="945" spans="1:32" ht="14.5" customHeight="1" x14ac:dyDescent="0.35">
      <c r="A945" t="s">
        <v>175</v>
      </c>
      <c r="B945" t="s">
        <v>176</v>
      </c>
      <c r="C945" t="s">
        <v>47</v>
      </c>
      <c r="D945">
        <v>3001120</v>
      </c>
      <c r="E945">
        <v>3100360</v>
      </c>
      <c r="F945" t="s">
        <v>908</v>
      </c>
      <c r="G945" t="s">
        <v>908</v>
      </c>
      <c r="H945" t="s">
        <v>54</v>
      </c>
      <c r="I945">
        <v>6957302</v>
      </c>
      <c r="J945" s="12">
        <v>46106</v>
      </c>
      <c r="K945" s="12">
        <v>46106</v>
      </c>
      <c r="L945" s="12">
        <v>46106</v>
      </c>
      <c r="M945">
        <v>26</v>
      </c>
      <c r="N945">
        <v>-5282042</v>
      </c>
      <c r="O945">
        <v>-5282042</v>
      </c>
      <c r="P945">
        <v>0</v>
      </c>
      <c r="Q945">
        <v>-5282042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 t="s">
        <v>47</v>
      </c>
      <c r="AA945" t="s">
        <v>55</v>
      </c>
      <c r="AB945" t="s">
        <v>51</v>
      </c>
      <c r="AC945" t="s">
        <v>51</v>
      </c>
      <c r="AD945" t="s">
        <v>51</v>
      </c>
      <c r="AE945" t="s">
        <v>51</v>
      </c>
      <c r="AF945" t="s">
        <v>914</v>
      </c>
    </row>
    <row r="946" spans="1:32" ht="14.5" customHeight="1" x14ac:dyDescent="0.35">
      <c r="A946" t="s">
        <v>175</v>
      </c>
      <c r="B946" t="s">
        <v>176</v>
      </c>
      <c r="C946" t="s">
        <v>47</v>
      </c>
      <c r="D946">
        <v>3001120</v>
      </c>
      <c r="E946">
        <v>3100360</v>
      </c>
      <c r="F946" t="s">
        <v>908</v>
      </c>
      <c r="G946" t="s">
        <v>908</v>
      </c>
      <c r="H946" t="s">
        <v>54</v>
      </c>
      <c r="I946">
        <v>6957361</v>
      </c>
      <c r="J946" s="12">
        <v>46106</v>
      </c>
      <c r="K946" s="12">
        <v>46106</v>
      </c>
      <c r="L946" s="12">
        <v>46106</v>
      </c>
      <c r="M946">
        <v>26</v>
      </c>
      <c r="N946">
        <v>-13113980</v>
      </c>
      <c r="O946">
        <v>-13113980</v>
      </c>
      <c r="P946">
        <v>0</v>
      </c>
      <c r="Q946">
        <v>-13113980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 t="s">
        <v>47</v>
      </c>
      <c r="AA946" t="s">
        <v>55</v>
      </c>
      <c r="AB946" t="s">
        <v>51</v>
      </c>
      <c r="AC946" t="s">
        <v>51</v>
      </c>
      <c r="AD946" t="s">
        <v>51</v>
      </c>
      <c r="AE946" t="s">
        <v>51</v>
      </c>
      <c r="AF946" t="s">
        <v>915</v>
      </c>
    </row>
    <row r="947" spans="1:32" ht="14.5" customHeight="1" x14ac:dyDescent="0.35">
      <c r="A947" t="s">
        <v>175</v>
      </c>
      <c r="B947" t="s">
        <v>176</v>
      </c>
      <c r="C947" t="s">
        <v>47</v>
      </c>
      <c r="D947">
        <v>3001120</v>
      </c>
      <c r="E947">
        <v>3100360</v>
      </c>
      <c r="F947" t="s">
        <v>908</v>
      </c>
      <c r="G947" t="s">
        <v>908</v>
      </c>
      <c r="H947" t="s">
        <v>54</v>
      </c>
      <c r="I947">
        <v>6958362</v>
      </c>
      <c r="J947" s="12">
        <v>46120</v>
      </c>
      <c r="K947" s="12">
        <v>46120</v>
      </c>
      <c r="L947" s="12">
        <v>46120</v>
      </c>
      <c r="M947">
        <v>12</v>
      </c>
      <c r="N947">
        <v>-54500</v>
      </c>
      <c r="O947">
        <v>-54500</v>
      </c>
      <c r="P947">
        <v>0</v>
      </c>
      <c r="Q947">
        <v>-54500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 t="s">
        <v>47</v>
      </c>
      <c r="AA947" t="s">
        <v>55</v>
      </c>
      <c r="AB947" t="s">
        <v>51</v>
      </c>
      <c r="AC947" t="s">
        <v>51</v>
      </c>
      <c r="AD947" t="s">
        <v>51</v>
      </c>
      <c r="AE947" t="s">
        <v>51</v>
      </c>
      <c r="AF947" t="s">
        <v>916</v>
      </c>
    </row>
    <row r="948" spans="1:32" ht="14.5" customHeight="1" x14ac:dyDescent="0.35">
      <c r="A948" t="s">
        <v>175</v>
      </c>
      <c r="B948" t="s">
        <v>176</v>
      </c>
      <c r="C948" t="s">
        <v>47</v>
      </c>
      <c r="D948">
        <v>3001120</v>
      </c>
      <c r="E948">
        <v>3100360</v>
      </c>
      <c r="F948" t="s">
        <v>908</v>
      </c>
      <c r="G948" t="s">
        <v>908</v>
      </c>
      <c r="H948" t="s">
        <v>54</v>
      </c>
      <c r="I948">
        <v>9914393</v>
      </c>
      <c r="J948" s="12">
        <v>46094</v>
      </c>
      <c r="K948" s="12">
        <v>46094</v>
      </c>
      <c r="L948" s="12">
        <v>46146</v>
      </c>
      <c r="M948">
        <v>-14</v>
      </c>
      <c r="N948">
        <v>289138512</v>
      </c>
      <c r="O948">
        <v>0</v>
      </c>
      <c r="P948">
        <v>289138512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 t="s">
        <v>47</v>
      </c>
      <c r="AA948" t="s">
        <v>55</v>
      </c>
      <c r="AB948" t="s">
        <v>51</v>
      </c>
      <c r="AC948" t="s">
        <v>51</v>
      </c>
      <c r="AD948" t="s">
        <v>917</v>
      </c>
      <c r="AE948" t="s">
        <v>51</v>
      </c>
      <c r="AF948" t="s">
        <v>303</v>
      </c>
    </row>
    <row r="949" spans="1:32" ht="14.5" customHeight="1" x14ac:dyDescent="0.35">
      <c r="A949" t="s">
        <v>175</v>
      </c>
      <c r="B949" t="s">
        <v>176</v>
      </c>
      <c r="C949" t="s">
        <v>47</v>
      </c>
      <c r="D949">
        <v>3001120</v>
      </c>
      <c r="E949">
        <v>3100360</v>
      </c>
      <c r="F949" t="s">
        <v>908</v>
      </c>
      <c r="G949" t="s">
        <v>908</v>
      </c>
      <c r="H949" t="s">
        <v>54</v>
      </c>
      <c r="I949">
        <v>9914394</v>
      </c>
      <c r="J949" s="12">
        <v>46094</v>
      </c>
      <c r="K949" s="12">
        <v>46094</v>
      </c>
      <c r="L949" s="12">
        <v>46146</v>
      </c>
      <c r="M949">
        <v>-14</v>
      </c>
      <c r="N949">
        <v>789769</v>
      </c>
      <c r="O949">
        <v>0</v>
      </c>
      <c r="P949">
        <v>789769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 t="s">
        <v>47</v>
      </c>
      <c r="AA949" t="s">
        <v>55</v>
      </c>
      <c r="AB949" t="s">
        <v>51</v>
      </c>
      <c r="AC949" t="s">
        <v>51</v>
      </c>
      <c r="AD949" t="s">
        <v>154</v>
      </c>
      <c r="AE949" t="s">
        <v>51</v>
      </c>
      <c r="AF949" t="s">
        <v>155</v>
      </c>
    </row>
    <row r="950" spans="1:32" ht="14.5" customHeight="1" x14ac:dyDescent="0.35">
      <c r="A950" t="s">
        <v>175</v>
      </c>
      <c r="B950" t="s">
        <v>176</v>
      </c>
      <c r="C950" t="s">
        <v>187</v>
      </c>
      <c r="D950">
        <v>3001120</v>
      </c>
      <c r="E950">
        <v>3100512</v>
      </c>
      <c r="F950" t="s">
        <v>908</v>
      </c>
      <c r="G950" t="s">
        <v>908</v>
      </c>
      <c r="H950" t="s">
        <v>54</v>
      </c>
      <c r="I950">
        <v>9918665</v>
      </c>
      <c r="J950" s="12">
        <v>46108</v>
      </c>
      <c r="K950" s="12">
        <v>46108</v>
      </c>
      <c r="L950" s="12">
        <v>46154</v>
      </c>
      <c r="M950">
        <v>-22</v>
      </c>
      <c r="N950">
        <v>372548732</v>
      </c>
      <c r="O950">
        <v>0</v>
      </c>
      <c r="P950">
        <v>372548732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 t="s">
        <v>187</v>
      </c>
      <c r="AA950" t="s">
        <v>55</v>
      </c>
      <c r="AB950" t="s">
        <v>51</v>
      </c>
      <c r="AC950" t="s">
        <v>51</v>
      </c>
      <c r="AD950" t="s">
        <v>51</v>
      </c>
      <c r="AE950" t="s">
        <v>918</v>
      </c>
      <c r="AF950" t="s">
        <v>62</v>
      </c>
    </row>
    <row r="951" spans="1:32" ht="14.5" customHeight="1" x14ac:dyDescent="0.35">
      <c r="A951" t="s">
        <v>175</v>
      </c>
      <c r="B951" t="s">
        <v>176</v>
      </c>
      <c r="C951" t="s">
        <v>187</v>
      </c>
      <c r="D951">
        <v>3001120</v>
      </c>
      <c r="E951">
        <v>3100512</v>
      </c>
      <c r="F951" t="s">
        <v>908</v>
      </c>
      <c r="G951" t="s">
        <v>908</v>
      </c>
      <c r="H951" t="s">
        <v>54</v>
      </c>
      <c r="I951">
        <v>9918666</v>
      </c>
      <c r="J951" s="12">
        <v>46108</v>
      </c>
      <c r="K951" s="12">
        <v>46108</v>
      </c>
      <c r="L951" s="12">
        <v>46154</v>
      </c>
      <c r="M951">
        <v>-22</v>
      </c>
      <c r="N951">
        <v>789769</v>
      </c>
      <c r="O951">
        <v>0</v>
      </c>
      <c r="P951">
        <v>789769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 t="s">
        <v>187</v>
      </c>
      <c r="AA951" t="s">
        <v>55</v>
      </c>
      <c r="AB951" t="s">
        <v>51</v>
      </c>
      <c r="AC951" t="s">
        <v>51</v>
      </c>
      <c r="AD951" t="s">
        <v>51</v>
      </c>
      <c r="AE951" t="s">
        <v>154</v>
      </c>
      <c r="AF951" t="s">
        <v>320</v>
      </c>
    </row>
    <row r="952" spans="1:32" ht="14.5" customHeight="1" x14ac:dyDescent="0.35">
      <c r="A952" t="s">
        <v>175</v>
      </c>
      <c r="B952" t="s">
        <v>176</v>
      </c>
      <c r="C952" t="s">
        <v>187</v>
      </c>
      <c r="D952">
        <v>3001120</v>
      </c>
      <c r="E952">
        <v>3100512</v>
      </c>
      <c r="F952" t="s">
        <v>908</v>
      </c>
      <c r="G952" t="s">
        <v>908</v>
      </c>
      <c r="H952" t="s">
        <v>54</v>
      </c>
      <c r="I952">
        <v>9925521</v>
      </c>
      <c r="J952" s="12">
        <v>46126</v>
      </c>
      <c r="K952" s="12">
        <v>46126</v>
      </c>
      <c r="L952" s="12">
        <v>46172</v>
      </c>
      <c r="M952">
        <v>-40</v>
      </c>
      <c r="N952">
        <v>239411700</v>
      </c>
      <c r="O952">
        <v>0</v>
      </c>
      <c r="P952">
        <v>239411700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 t="s">
        <v>187</v>
      </c>
      <c r="AA952" t="s">
        <v>55</v>
      </c>
      <c r="AB952" t="s">
        <v>51</v>
      </c>
      <c r="AC952" t="s">
        <v>51</v>
      </c>
      <c r="AD952" t="s">
        <v>51</v>
      </c>
      <c r="AE952" t="s">
        <v>919</v>
      </c>
      <c r="AF952" t="s">
        <v>920</v>
      </c>
    </row>
    <row r="953" spans="1:32" ht="14.5" customHeight="1" x14ac:dyDescent="0.35">
      <c r="A953" t="s">
        <v>175</v>
      </c>
      <c r="B953" t="s">
        <v>176</v>
      </c>
      <c r="C953" t="s">
        <v>187</v>
      </c>
      <c r="D953">
        <v>3001120</v>
      </c>
      <c r="E953">
        <v>3001120</v>
      </c>
      <c r="F953" t="s">
        <v>908</v>
      </c>
      <c r="G953" t="s">
        <v>908</v>
      </c>
      <c r="H953" t="s">
        <v>761</v>
      </c>
      <c r="I953">
        <v>9103019333</v>
      </c>
      <c r="J953" s="12">
        <v>46106</v>
      </c>
      <c r="K953" s="12">
        <v>46106</v>
      </c>
      <c r="L953" s="12">
        <v>46106</v>
      </c>
      <c r="M953">
        <v>26</v>
      </c>
      <c r="N953">
        <v>2628612</v>
      </c>
      <c r="O953">
        <v>0</v>
      </c>
      <c r="P953">
        <v>0</v>
      </c>
      <c r="Q953">
        <v>2628612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 t="s">
        <v>548</v>
      </c>
      <c r="AA953" t="s">
        <v>50</v>
      </c>
      <c r="AB953" t="s">
        <v>51</v>
      </c>
      <c r="AC953" t="s">
        <v>51</v>
      </c>
      <c r="AD953" t="s">
        <v>51</v>
      </c>
      <c r="AE953" t="s">
        <v>51</v>
      </c>
      <c r="AF953" t="s">
        <v>921</v>
      </c>
    </row>
    <row r="954" spans="1:32" ht="14.5" customHeight="1" x14ac:dyDescent="0.35">
      <c r="A954" t="s">
        <v>84</v>
      </c>
      <c r="B954" t="s">
        <v>85</v>
      </c>
      <c r="C954" t="s">
        <v>47</v>
      </c>
      <c r="D954">
        <v>3001121</v>
      </c>
      <c r="E954">
        <v>3001121</v>
      </c>
      <c r="F954" t="s">
        <v>922</v>
      </c>
      <c r="G954" t="s">
        <v>922</v>
      </c>
      <c r="H954" t="s">
        <v>54</v>
      </c>
      <c r="I954">
        <v>6942777</v>
      </c>
      <c r="J954" s="12">
        <v>46013</v>
      </c>
      <c r="K954" s="12">
        <v>46013</v>
      </c>
      <c r="L954" s="12">
        <v>46013</v>
      </c>
      <c r="M954">
        <v>119</v>
      </c>
      <c r="N954">
        <v>-4131000</v>
      </c>
      <c r="O954">
        <v>-4131000</v>
      </c>
      <c r="P954">
        <v>0</v>
      </c>
      <c r="Q954">
        <v>0</v>
      </c>
      <c r="R954">
        <v>0</v>
      </c>
      <c r="S954">
        <v>0</v>
      </c>
      <c r="T954">
        <v>-4131000</v>
      </c>
      <c r="U954">
        <v>0</v>
      </c>
      <c r="V954">
        <v>0</v>
      </c>
      <c r="W954">
        <v>0</v>
      </c>
      <c r="X954">
        <v>0</v>
      </c>
      <c r="Y954" t="s">
        <v>548</v>
      </c>
      <c r="AA954" t="s">
        <v>55</v>
      </c>
      <c r="AB954" t="s">
        <v>51</v>
      </c>
      <c r="AC954" t="s">
        <v>51</v>
      </c>
      <c r="AD954" t="s">
        <v>51</v>
      </c>
      <c r="AE954" t="s">
        <v>51</v>
      </c>
      <c r="AF954" t="s">
        <v>923</v>
      </c>
    </row>
    <row r="955" spans="1:32" ht="14.5" customHeight="1" x14ac:dyDescent="0.35">
      <c r="A955" t="s">
        <v>84</v>
      </c>
      <c r="B955" t="s">
        <v>85</v>
      </c>
      <c r="C955" t="s">
        <v>47</v>
      </c>
      <c r="D955">
        <v>3001121</v>
      </c>
      <c r="E955">
        <v>3001121</v>
      </c>
      <c r="F955" t="s">
        <v>922</v>
      </c>
      <c r="G955" t="s">
        <v>922</v>
      </c>
      <c r="H955" t="s">
        <v>54</v>
      </c>
      <c r="I955">
        <v>6942786</v>
      </c>
      <c r="J955" s="12">
        <v>46013</v>
      </c>
      <c r="K955" s="12">
        <v>46013</v>
      </c>
      <c r="L955" s="12">
        <v>46013</v>
      </c>
      <c r="M955">
        <v>119</v>
      </c>
      <c r="N955">
        <v>-565250</v>
      </c>
      <c r="O955">
        <v>-565250</v>
      </c>
      <c r="P955">
        <v>0</v>
      </c>
      <c r="Q955">
        <v>0</v>
      </c>
      <c r="R955">
        <v>0</v>
      </c>
      <c r="S955">
        <v>0</v>
      </c>
      <c r="T955">
        <v>-565250</v>
      </c>
      <c r="U955">
        <v>0</v>
      </c>
      <c r="V955">
        <v>0</v>
      </c>
      <c r="W955">
        <v>0</v>
      </c>
      <c r="X955">
        <v>0</v>
      </c>
      <c r="Y955" t="s">
        <v>548</v>
      </c>
      <c r="AA955" t="s">
        <v>55</v>
      </c>
      <c r="AB955" t="s">
        <v>51</v>
      </c>
      <c r="AC955" t="s">
        <v>51</v>
      </c>
      <c r="AD955" t="s">
        <v>51</v>
      </c>
      <c r="AE955" t="s">
        <v>51</v>
      </c>
      <c r="AF955" t="s">
        <v>924</v>
      </c>
    </row>
    <row r="956" spans="1:32" ht="14.5" customHeight="1" x14ac:dyDescent="0.35">
      <c r="A956" t="s">
        <v>84</v>
      </c>
      <c r="B956" t="s">
        <v>85</v>
      </c>
      <c r="C956" t="s">
        <v>47</v>
      </c>
      <c r="D956">
        <v>3001121</v>
      </c>
      <c r="E956">
        <v>3001121</v>
      </c>
      <c r="F956" t="s">
        <v>922</v>
      </c>
      <c r="G956" t="s">
        <v>922</v>
      </c>
      <c r="H956" t="s">
        <v>54</v>
      </c>
      <c r="I956">
        <v>6942787</v>
      </c>
      <c r="J956" s="12">
        <v>46013</v>
      </c>
      <c r="K956" s="12">
        <v>46013</v>
      </c>
      <c r="L956" s="12">
        <v>46013</v>
      </c>
      <c r="M956">
        <v>119</v>
      </c>
      <c r="N956">
        <v>-2567000</v>
      </c>
      <c r="O956">
        <v>-2567000</v>
      </c>
      <c r="P956">
        <v>0</v>
      </c>
      <c r="Q956">
        <v>0</v>
      </c>
      <c r="R956">
        <v>0</v>
      </c>
      <c r="S956">
        <v>0</v>
      </c>
      <c r="T956">
        <v>-2567000</v>
      </c>
      <c r="U956">
        <v>0</v>
      </c>
      <c r="V956">
        <v>0</v>
      </c>
      <c r="W956">
        <v>0</v>
      </c>
      <c r="X956">
        <v>0</v>
      </c>
      <c r="Y956" t="s">
        <v>548</v>
      </c>
      <c r="AA956" t="s">
        <v>55</v>
      </c>
      <c r="AB956" t="s">
        <v>51</v>
      </c>
      <c r="AC956" t="s">
        <v>51</v>
      </c>
      <c r="AD956" t="s">
        <v>51</v>
      </c>
      <c r="AE956" t="s">
        <v>51</v>
      </c>
      <c r="AF956" t="s">
        <v>925</v>
      </c>
    </row>
    <row r="957" spans="1:32" ht="14.5" customHeight="1" x14ac:dyDescent="0.35">
      <c r="A957" t="s">
        <v>84</v>
      </c>
      <c r="B957" t="s">
        <v>85</v>
      </c>
      <c r="C957" t="s">
        <v>47</v>
      </c>
      <c r="D957">
        <v>3001121</v>
      </c>
      <c r="E957">
        <v>3001121</v>
      </c>
      <c r="F957" t="s">
        <v>922</v>
      </c>
      <c r="G957" t="s">
        <v>922</v>
      </c>
      <c r="H957" t="s">
        <v>54</v>
      </c>
      <c r="I957">
        <v>6942788</v>
      </c>
      <c r="J957" s="12">
        <v>46013</v>
      </c>
      <c r="K957" s="12">
        <v>46013</v>
      </c>
      <c r="L957" s="12">
        <v>46013</v>
      </c>
      <c r="M957">
        <v>119</v>
      </c>
      <c r="N957">
        <v>-616250</v>
      </c>
      <c r="O957">
        <v>-616250</v>
      </c>
      <c r="P957">
        <v>0</v>
      </c>
      <c r="Q957">
        <v>0</v>
      </c>
      <c r="R957">
        <v>0</v>
      </c>
      <c r="S957">
        <v>0</v>
      </c>
      <c r="T957">
        <v>-616250</v>
      </c>
      <c r="U957">
        <v>0</v>
      </c>
      <c r="V957">
        <v>0</v>
      </c>
      <c r="W957">
        <v>0</v>
      </c>
      <c r="X957">
        <v>0</v>
      </c>
      <c r="Y957" t="s">
        <v>548</v>
      </c>
      <c r="AA957" t="s">
        <v>55</v>
      </c>
      <c r="AB957" t="s">
        <v>51</v>
      </c>
      <c r="AC957" t="s">
        <v>51</v>
      </c>
      <c r="AD957" t="s">
        <v>51</v>
      </c>
      <c r="AE957" t="s">
        <v>51</v>
      </c>
      <c r="AF957" t="s">
        <v>926</v>
      </c>
    </row>
    <row r="958" spans="1:32" ht="14.5" customHeight="1" x14ac:dyDescent="0.35">
      <c r="A958" t="s">
        <v>84</v>
      </c>
      <c r="B958" t="s">
        <v>85</v>
      </c>
      <c r="C958" t="s">
        <v>47</v>
      </c>
      <c r="D958">
        <v>3001121</v>
      </c>
      <c r="E958">
        <v>3001121</v>
      </c>
      <c r="F958" t="s">
        <v>922</v>
      </c>
      <c r="G958" t="s">
        <v>922</v>
      </c>
      <c r="H958" t="s">
        <v>54</v>
      </c>
      <c r="I958">
        <v>6942914</v>
      </c>
      <c r="J958" s="12">
        <v>46013</v>
      </c>
      <c r="K958" s="12">
        <v>46013</v>
      </c>
      <c r="L958" s="12">
        <v>46013</v>
      </c>
      <c r="M958">
        <v>119</v>
      </c>
      <c r="N958">
        <v>-10900000</v>
      </c>
      <c r="O958">
        <v>-10900000</v>
      </c>
      <c r="P958">
        <v>0</v>
      </c>
      <c r="Q958">
        <v>0</v>
      </c>
      <c r="R958">
        <v>0</v>
      </c>
      <c r="S958">
        <v>0</v>
      </c>
      <c r="T958">
        <v>-10900000</v>
      </c>
      <c r="U958">
        <v>0</v>
      </c>
      <c r="V958">
        <v>0</v>
      </c>
      <c r="W958">
        <v>0</v>
      </c>
      <c r="X958">
        <v>0</v>
      </c>
      <c r="Y958" t="s">
        <v>548</v>
      </c>
      <c r="AA958" t="s">
        <v>55</v>
      </c>
      <c r="AB958" t="s">
        <v>51</v>
      </c>
      <c r="AC958" t="s">
        <v>51</v>
      </c>
      <c r="AD958" t="s">
        <v>51</v>
      </c>
      <c r="AE958" t="s">
        <v>51</v>
      </c>
      <c r="AF958" t="s">
        <v>927</v>
      </c>
    </row>
    <row r="959" spans="1:32" ht="14.5" customHeight="1" x14ac:dyDescent="0.35">
      <c r="A959" t="s">
        <v>84</v>
      </c>
      <c r="B959" t="s">
        <v>85</v>
      </c>
      <c r="C959" t="s">
        <v>47</v>
      </c>
      <c r="D959">
        <v>3001121</v>
      </c>
      <c r="E959">
        <v>3001121</v>
      </c>
      <c r="F959" t="s">
        <v>922</v>
      </c>
      <c r="G959" t="s">
        <v>922</v>
      </c>
      <c r="H959" t="s">
        <v>54</v>
      </c>
      <c r="I959">
        <v>6945301</v>
      </c>
      <c r="J959" s="12">
        <v>46030</v>
      </c>
      <c r="K959" s="12">
        <v>46030</v>
      </c>
      <c r="L959" s="12">
        <v>46030</v>
      </c>
      <c r="M959">
        <v>102</v>
      </c>
      <c r="N959">
        <v>-36331754</v>
      </c>
      <c r="O959">
        <v>-36331754</v>
      </c>
      <c r="P959">
        <v>0</v>
      </c>
      <c r="Q959">
        <v>0</v>
      </c>
      <c r="R959">
        <v>0</v>
      </c>
      <c r="S959">
        <v>0</v>
      </c>
      <c r="T959">
        <v>-36331754</v>
      </c>
      <c r="U959">
        <v>0</v>
      </c>
      <c r="V959">
        <v>0</v>
      </c>
      <c r="W959">
        <v>0</v>
      </c>
      <c r="X959">
        <v>0</v>
      </c>
      <c r="Y959" t="s">
        <v>548</v>
      </c>
      <c r="AA959" t="s">
        <v>55</v>
      </c>
      <c r="AB959" t="s">
        <v>51</v>
      </c>
      <c r="AC959" t="s">
        <v>51</v>
      </c>
      <c r="AD959" t="s">
        <v>51</v>
      </c>
      <c r="AE959" t="s">
        <v>51</v>
      </c>
      <c r="AF959" t="s">
        <v>928</v>
      </c>
    </row>
    <row r="960" spans="1:32" ht="14.5" customHeight="1" x14ac:dyDescent="0.35">
      <c r="A960" t="s">
        <v>84</v>
      </c>
      <c r="B960" t="s">
        <v>85</v>
      </c>
      <c r="C960" t="s">
        <v>929</v>
      </c>
      <c r="D960">
        <v>3001121</v>
      </c>
      <c r="E960">
        <v>3100667</v>
      </c>
      <c r="F960" t="s">
        <v>922</v>
      </c>
      <c r="G960" t="s">
        <v>922</v>
      </c>
      <c r="H960" t="s">
        <v>111</v>
      </c>
      <c r="I960">
        <v>6946836</v>
      </c>
      <c r="J960" s="12">
        <v>46041</v>
      </c>
      <c r="K960" s="12">
        <v>46041</v>
      </c>
      <c r="L960" s="12">
        <v>46041</v>
      </c>
      <c r="M960">
        <v>91</v>
      </c>
      <c r="N960">
        <v>-2756920</v>
      </c>
      <c r="O960">
        <v>-2756920</v>
      </c>
      <c r="P960">
        <v>0</v>
      </c>
      <c r="Q960">
        <v>0</v>
      </c>
      <c r="R960">
        <v>0</v>
      </c>
      <c r="S960">
        <v>0</v>
      </c>
      <c r="T960">
        <v>-2756920</v>
      </c>
      <c r="U960">
        <v>0</v>
      </c>
      <c r="V960">
        <v>0</v>
      </c>
      <c r="W960">
        <v>0</v>
      </c>
      <c r="X960">
        <v>0</v>
      </c>
      <c r="Y960" t="s">
        <v>929</v>
      </c>
      <c r="AA960" t="s">
        <v>55</v>
      </c>
      <c r="AB960" t="s">
        <v>51</v>
      </c>
      <c r="AC960" t="s">
        <v>51</v>
      </c>
      <c r="AD960" t="s">
        <v>51</v>
      </c>
      <c r="AE960" t="s">
        <v>51</v>
      </c>
      <c r="AF960" t="s">
        <v>930</v>
      </c>
    </row>
    <row r="961" spans="1:32" ht="14.5" customHeight="1" x14ac:dyDescent="0.35">
      <c r="A961" t="s">
        <v>84</v>
      </c>
      <c r="B961" t="s">
        <v>85</v>
      </c>
      <c r="C961" t="s">
        <v>929</v>
      </c>
      <c r="D961">
        <v>3001121</v>
      </c>
      <c r="E961">
        <v>3001121</v>
      </c>
      <c r="F961" t="s">
        <v>922</v>
      </c>
      <c r="G961" t="s">
        <v>922</v>
      </c>
      <c r="H961" t="s">
        <v>111</v>
      </c>
      <c r="I961">
        <v>6946837</v>
      </c>
      <c r="J961" s="12">
        <v>46041</v>
      </c>
      <c r="K961" s="12">
        <v>46041</v>
      </c>
      <c r="L961" s="12">
        <v>46041</v>
      </c>
      <c r="M961">
        <v>91</v>
      </c>
      <c r="N961">
        <v>-628363</v>
      </c>
      <c r="O961">
        <v>-628363</v>
      </c>
      <c r="P961">
        <v>0</v>
      </c>
      <c r="Q961">
        <v>0</v>
      </c>
      <c r="R961">
        <v>0</v>
      </c>
      <c r="S961">
        <v>0</v>
      </c>
      <c r="T961">
        <v>-628363</v>
      </c>
      <c r="U961">
        <v>0</v>
      </c>
      <c r="V961">
        <v>0</v>
      </c>
      <c r="W961">
        <v>0</v>
      </c>
      <c r="X961">
        <v>0</v>
      </c>
      <c r="Y961" t="s">
        <v>548</v>
      </c>
      <c r="AA961" t="s">
        <v>55</v>
      </c>
      <c r="AB961" t="s">
        <v>51</v>
      </c>
      <c r="AC961" t="s">
        <v>51</v>
      </c>
      <c r="AD961" t="s">
        <v>51</v>
      </c>
      <c r="AE961" t="s">
        <v>51</v>
      </c>
      <c r="AF961" t="s">
        <v>931</v>
      </c>
    </row>
    <row r="962" spans="1:32" ht="14.5" customHeight="1" x14ac:dyDescent="0.35">
      <c r="A962" t="s">
        <v>84</v>
      </c>
      <c r="B962" t="s">
        <v>85</v>
      </c>
      <c r="C962" t="s">
        <v>929</v>
      </c>
      <c r="D962">
        <v>3001121</v>
      </c>
      <c r="E962">
        <v>3001121</v>
      </c>
      <c r="F962" t="s">
        <v>922</v>
      </c>
      <c r="G962" t="s">
        <v>922</v>
      </c>
      <c r="H962" t="s">
        <v>111</v>
      </c>
      <c r="I962">
        <v>6946838</v>
      </c>
      <c r="J962" s="12">
        <v>46041</v>
      </c>
      <c r="K962" s="12">
        <v>46041</v>
      </c>
      <c r="L962" s="12">
        <v>46041</v>
      </c>
      <c r="M962">
        <v>91</v>
      </c>
      <c r="N962">
        <v>-198788</v>
      </c>
      <c r="O962">
        <v>-198788</v>
      </c>
      <c r="P962">
        <v>0</v>
      </c>
      <c r="Q962">
        <v>0</v>
      </c>
      <c r="R962">
        <v>0</v>
      </c>
      <c r="S962">
        <v>0</v>
      </c>
      <c r="T962">
        <v>-198788</v>
      </c>
      <c r="U962">
        <v>0</v>
      </c>
      <c r="V962">
        <v>0</v>
      </c>
      <c r="W962">
        <v>0</v>
      </c>
      <c r="X962">
        <v>0</v>
      </c>
      <c r="Y962" t="s">
        <v>548</v>
      </c>
      <c r="AA962" t="s">
        <v>55</v>
      </c>
      <c r="AB962" t="s">
        <v>51</v>
      </c>
      <c r="AC962" t="s">
        <v>51</v>
      </c>
      <c r="AD962" t="s">
        <v>51</v>
      </c>
      <c r="AE962" t="s">
        <v>51</v>
      </c>
      <c r="AF962" t="s">
        <v>932</v>
      </c>
    </row>
    <row r="963" spans="1:32" ht="14.5" customHeight="1" x14ac:dyDescent="0.35">
      <c r="A963" t="s">
        <v>84</v>
      </c>
      <c r="B963" t="s">
        <v>85</v>
      </c>
      <c r="C963" t="s">
        <v>929</v>
      </c>
      <c r="D963">
        <v>3001121</v>
      </c>
      <c r="E963">
        <v>3001121</v>
      </c>
      <c r="F963" t="s">
        <v>922</v>
      </c>
      <c r="G963" t="s">
        <v>922</v>
      </c>
      <c r="H963" t="s">
        <v>111</v>
      </c>
      <c r="I963">
        <v>6946839</v>
      </c>
      <c r="J963" s="12">
        <v>46041</v>
      </c>
      <c r="K963" s="12">
        <v>46041</v>
      </c>
      <c r="L963" s="12">
        <v>46041</v>
      </c>
      <c r="M963">
        <v>91</v>
      </c>
      <c r="N963">
        <v>-4145450</v>
      </c>
      <c r="O963">
        <v>-4145450</v>
      </c>
      <c r="P963">
        <v>0</v>
      </c>
      <c r="Q963">
        <v>0</v>
      </c>
      <c r="R963">
        <v>0</v>
      </c>
      <c r="S963">
        <v>0</v>
      </c>
      <c r="T963">
        <v>-4145450</v>
      </c>
      <c r="U963">
        <v>0</v>
      </c>
      <c r="V963">
        <v>0</v>
      </c>
      <c r="W963">
        <v>0</v>
      </c>
      <c r="X963">
        <v>0</v>
      </c>
      <c r="Y963" t="s">
        <v>548</v>
      </c>
      <c r="AA963" t="s">
        <v>55</v>
      </c>
      <c r="AB963" t="s">
        <v>51</v>
      </c>
      <c r="AC963" t="s">
        <v>51</v>
      </c>
      <c r="AD963" t="s">
        <v>51</v>
      </c>
      <c r="AE963" t="s">
        <v>51</v>
      </c>
      <c r="AF963" t="s">
        <v>933</v>
      </c>
    </row>
    <row r="964" spans="1:32" ht="14.5" customHeight="1" x14ac:dyDescent="0.35">
      <c r="A964" t="s">
        <v>84</v>
      </c>
      <c r="B964" t="s">
        <v>85</v>
      </c>
      <c r="C964" t="s">
        <v>929</v>
      </c>
      <c r="D964">
        <v>3001121</v>
      </c>
      <c r="E964">
        <v>3001121</v>
      </c>
      <c r="F964" t="s">
        <v>922</v>
      </c>
      <c r="G964" t="s">
        <v>922</v>
      </c>
      <c r="H964" t="s">
        <v>111</v>
      </c>
      <c r="I964">
        <v>6946840</v>
      </c>
      <c r="J964" s="12">
        <v>46041</v>
      </c>
      <c r="K964" s="12">
        <v>46041</v>
      </c>
      <c r="L964" s="12">
        <v>46041</v>
      </c>
      <c r="M964">
        <v>91</v>
      </c>
      <c r="N964">
        <v>-2159392</v>
      </c>
      <c r="O964">
        <v>-2159392</v>
      </c>
      <c r="P964">
        <v>0</v>
      </c>
      <c r="Q964">
        <v>0</v>
      </c>
      <c r="R964">
        <v>0</v>
      </c>
      <c r="S964">
        <v>0</v>
      </c>
      <c r="T964">
        <v>-2159392</v>
      </c>
      <c r="U964">
        <v>0</v>
      </c>
      <c r="V964">
        <v>0</v>
      </c>
      <c r="W964">
        <v>0</v>
      </c>
      <c r="X964">
        <v>0</v>
      </c>
      <c r="Y964" t="s">
        <v>548</v>
      </c>
      <c r="AA964" t="s">
        <v>55</v>
      </c>
      <c r="AB964" t="s">
        <v>51</v>
      </c>
      <c r="AC964" t="s">
        <v>51</v>
      </c>
      <c r="AD964" t="s">
        <v>51</v>
      </c>
      <c r="AE964" t="s">
        <v>51</v>
      </c>
      <c r="AF964" t="s">
        <v>934</v>
      </c>
    </row>
    <row r="965" spans="1:32" ht="14.5" customHeight="1" x14ac:dyDescent="0.35">
      <c r="A965" t="s">
        <v>84</v>
      </c>
      <c r="B965" t="s">
        <v>85</v>
      </c>
      <c r="C965" t="s">
        <v>929</v>
      </c>
      <c r="D965">
        <v>3001121</v>
      </c>
      <c r="E965">
        <v>3100667</v>
      </c>
      <c r="F965" t="s">
        <v>922</v>
      </c>
      <c r="G965" t="s">
        <v>922</v>
      </c>
      <c r="H965" t="s">
        <v>111</v>
      </c>
      <c r="I965">
        <v>6946841</v>
      </c>
      <c r="J965" s="12">
        <v>46041</v>
      </c>
      <c r="K965" s="12">
        <v>46041</v>
      </c>
      <c r="L965" s="12">
        <v>46041</v>
      </c>
      <c r="M965">
        <v>91</v>
      </c>
      <c r="N965">
        <v>-1256725</v>
      </c>
      <c r="O965">
        <v>-1256725</v>
      </c>
      <c r="P965">
        <v>0</v>
      </c>
      <c r="Q965">
        <v>0</v>
      </c>
      <c r="R965">
        <v>0</v>
      </c>
      <c r="S965">
        <v>0</v>
      </c>
      <c r="T965">
        <v>-1256725</v>
      </c>
      <c r="U965">
        <v>0</v>
      </c>
      <c r="V965">
        <v>0</v>
      </c>
      <c r="W965">
        <v>0</v>
      </c>
      <c r="X965">
        <v>0</v>
      </c>
      <c r="Y965" t="s">
        <v>929</v>
      </c>
      <c r="AA965" t="s">
        <v>55</v>
      </c>
      <c r="AB965" t="s">
        <v>51</v>
      </c>
      <c r="AC965" t="s">
        <v>51</v>
      </c>
      <c r="AD965" t="s">
        <v>51</v>
      </c>
      <c r="AE965" t="s">
        <v>51</v>
      </c>
      <c r="AF965" t="s">
        <v>935</v>
      </c>
    </row>
    <row r="966" spans="1:32" ht="14.5" customHeight="1" x14ac:dyDescent="0.35">
      <c r="A966" t="s">
        <v>84</v>
      </c>
      <c r="B966" t="s">
        <v>85</v>
      </c>
      <c r="C966" t="s">
        <v>929</v>
      </c>
      <c r="D966">
        <v>3001121</v>
      </c>
      <c r="E966">
        <v>3100667</v>
      </c>
      <c r="F966" t="s">
        <v>922</v>
      </c>
      <c r="G966" t="s">
        <v>922</v>
      </c>
      <c r="H966" t="s">
        <v>111</v>
      </c>
      <c r="I966">
        <v>6946842</v>
      </c>
      <c r="J966" s="12">
        <v>46041</v>
      </c>
      <c r="K966" s="12">
        <v>46041</v>
      </c>
      <c r="L966" s="12">
        <v>46041</v>
      </c>
      <c r="M966">
        <v>91</v>
      </c>
      <c r="N966">
        <v>-1425453</v>
      </c>
      <c r="O966">
        <v>-1425453</v>
      </c>
      <c r="P966">
        <v>0</v>
      </c>
      <c r="Q966">
        <v>0</v>
      </c>
      <c r="R966">
        <v>0</v>
      </c>
      <c r="S966">
        <v>0</v>
      </c>
      <c r="T966">
        <v>-1425453</v>
      </c>
      <c r="U966">
        <v>0</v>
      </c>
      <c r="V966">
        <v>0</v>
      </c>
      <c r="W966">
        <v>0</v>
      </c>
      <c r="X966">
        <v>0</v>
      </c>
      <c r="Y966" t="s">
        <v>929</v>
      </c>
      <c r="AA966" t="s">
        <v>55</v>
      </c>
      <c r="AB966" t="s">
        <v>51</v>
      </c>
      <c r="AC966" t="s">
        <v>51</v>
      </c>
      <c r="AD966" t="s">
        <v>51</v>
      </c>
      <c r="AE966" t="s">
        <v>51</v>
      </c>
      <c r="AF966" t="s">
        <v>936</v>
      </c>
    </row>
    <row r="967" spans="1:32" ht="14.5" customHeight="1" x14ac:dyDescent="0.35">
      <c r="A967" t="s">
        <v>84</v>
      </c>
      <c r="B967" t="s">
        <v>85</v>
      </c>
      <c r="C967" t="s">
        <v>929</v>
      </c>
      <c r="D967">
        <v>3001121</v>
      </c>
      <c r="E967">
        <v>3100667</v>
      </c>
      <c r="F967" t="s">
        <v>922</v>
      </c>
      <c r="G967" t="s">
        <v>922</v>
      </c>
      <c r="H967" t="s">
        <v>111</v>
      </c>
      <c r="I967">
        <v>6946843</v>
      </c>
      <c r="J967" s="12">
        <v>46041</v>
      </c>
      <c r="K967" s="12">
        <v>46041</v>
      </c>
      <c r="L967" s="12">
        <v>46041</v>
      </c>
      <c r="M967">
        <v>91</v>
      </c>
      <c r="N967">
        <v>-6981811</v>
      </c>
      <c r="O967">
        <v>-6981811</v>
      </c>
      <c r="P967">
        <v>0</v>
      </c>
      <c r="Q967">
        <v>0</v>
      </c>
      <c r="R967">
        <v>0</v>
      </c>
      <c r="S967">
        <v>0</v>
      </c>
      <c r="T967">
        <v>-6981811</v>
      </c>
      <c r="U967">
        <v>0</v>
      </c>
      <c r="V967">
        <v>0</v>
      </c>
      <c r="W967">
        <v>0</v>
      </c>
      <c r="X967">
        <v>0</v>
      </c>
      <c r="Y967" t="s">
        <v>929</v>
      </c>
      <c r="AA967" t="s">
        <v>55</v>
      </c>
      <c r="AB967" t="s">
        <v>51</v>
      </c>
      <c r="AC967" t="s">
        <v>51</v>
      </c>
      <c r="AD967" t="s">
        <v>51</v>
      </c>
      <c r="AE967" t="s">
        <v>51</v>
      </c>
      <c r="AF967" t="s">
        <v>521</v>
      </c>
    </row>
    <row r="968" spans="1:32" ht="14.5" customHeight="1" x14ac:dyDescent="0.35">
      <c r="A968" t="s">
        <v>84</v>
      </c>
      <c r="B968" t="s">
        <v>85</v>
      </c>
      <c r="C968" t="s">
        <v>929</v>
      </c>
      <c r="D968">
        <v>3001121</v>
      </c>
      <c r="E968">
        <v>3100667</v>
      </c>
      <c r="F968" t="s">
        <v>922</v>
      </c>
      <c r="G968" t="s">
        <v>922</v>
      </c>
      <c r="H968" t="s">
        <v>111</v>
      </c>
      <c r="I968">
        <v>6946844</v>
      </c>
      <c r="J968" s="12">
        <v>46041</v>
      </c>
      <c r="K968" s="12">
        <v>46041</v>
      </c>
      <c r="L968" s="12">
        <v>46041</v>
      </c>
      <c r="M968">
        <v>91</v>
      </c>
      <c r="N968">
        <v>-703030</v>
      </c>
      <c r="O968">
        <v>-703030</v>
      </c>
      <c r="P968">
        <v>0</v>
      </c>
      <c r="Q968">
        <v>0</v>
      </c>
      <c r="R968">
        <v>0</v>
      </c>
      <c r="S968">
        <v>0</v>
      </c>
      <c r="T968">
        <v>-703030</v>
      </c>
      <c r="U968">
        <v>0</v>
      </c>
      <c r="V968">
        <v>0</v>
      </c>
      <c r="W968">
        <v>0</v>
      </c>
      <c r="X968">
        <v>0</v>
      </c>
      <c r="Y968" t="s">
        <v>929</v>
      </c>
      <c r="AA968" t="s">
        <v>55</v>
      </c>
      <c r="AB968" t="s">
        <v>51</v>
      </c>
      <c r="AC968" t="s">
        <v>51</v>
      </c>
      <c r="AD968" t="s">
        <v>51</v>
      </c>
      <c r="AE968" t="s">
        <v>51</v>
      </c>
      <c r="AF968" t="s">
        <v>354</v>
      </c>
    </row>
    <row r="969" spans="1:32" ht="14.5" customHeight="1" x14ac:dyDescent="0.35">
      <c r="A969" t="s">
        <v>84</v>
      </c>
      <c r="B969" t="s">
        <v>85</v>
      </c>
      <c r="C969" t="s">
        <v>929</v>
      </c>
      <c r="D969">
        <v>3001121</v>
      </c>
      <c r="E969">
        <v>3100667</v>
      </c>
      <c r="F969" t="s">
        <v>922</v>
      </c>
      <c r="G969" t="s">
        <v>922</v>
      </c>
      <c r="H969" t="s">
        <v>111</v>
      </c>
      <c r="I969">
        <v>6946845</v>
      </c>
      <c r="J969" s="12">
        <v>46041</v>
      </c>
      <c r="K969" s="12">
        <v>46041</v>
      </c>
      <c r="L969" s="12">
        <v>46041</v>
      </c>
      <c r="M969">
        <v>91</v>
      </c>
      <c r="N969">
        <v>-683636</v>
      </c>
      <c r="O969">
        <v>-683636</v>
      </c>
      <c r="P969">
        <v>0</v>
      </c>
      <c r="Q969">
        <v>0</v>
      </c>
      <c r="R969">
        <v>0</v>
      </c>
      <c r="S969">
        <v>0</v>
      </c>
      <c r="T969">
        <v>-683636</v>
      </c>
      <c r="U969">
        <v>0</v>
      </c>
      <c r="V969">
        <v>0</v>
      </c>
      <c r="W969">
        <v>0</v>
      </c>
      <c r="X969">
        <v>0</v>
      </c>
      <c r="Y969" t="s">
        <v>929</v>
      </c>
      <c r="AA969" t="s">
        <v>55</v>
      </c>
      <c r="AB969" t="s">
        <v>51</v>
      </c>
      <c r="AC969" t="s">
        <v>51</v>
      </c>
      <c r="AD969" t="s">
        <v>51</v>
      </c>
      <c r="AE969" t="s">
        <v>51</v>
      </c>
      <c r="AF969" t="s">
        <v>937</v>
      </c>
    </row>
    <row r="970" spans="1:32" ht="14.5" customHeight="1" x14ac:dyDescent="0.35">
      <c r="A970" t="s">
        <v>84</v>
      </c>
      <c r="B970" t="s">
        <v>85</v>
      </c>
      <c r="C970" t="s">
        <v>929</v>
      </c>
      <c r="D970">
        <v>3001121</v>
      </c>
      <c r="E970">
        <v>3100667</v>
      </c>
      <c r="F970" t="s">
        <v>922</v>
      </c>
      <c r="G970" t="s">
        <v>922</v>
      </c>
      <c r="H970" t="s">
        <v>111</v>
      </c>
      <c r="I970">
        <v>6946846</v>
      </c>
      <c r="J970" s="12">
        <v>46041</v>
      </c>
      <c r="K970" s="12">
        <v>46041</v>
      </c>
      <c r="L970" s="12">
        <v>46041</v>
      </c>
      <c r="M970">
        <v>91</v>
      </c>
      <c r="N970">
        <v>-1650907</v>
      </c>
      <c r="O970">
        <v>-1650907</v>
      </c>
      <c r="P970">
        <v>0</v>
      </c>
      <c r="Q970">
        <v>0</v>
      </c>
      <c r="R970">
        <v>0</v>
      </c>
      <c r="S970">
        <v>0</v>
      </c>
      <c r="T970">
        <v>-1650907</v>
      </c>
      <c r="U970">
        <v>0</v>
      </c>
      <c r="V970">
        <v>0</v>
      </c>
      <c r="W970">
        <v>0</v>
      </c>
      <c r="X970">
        <v>0</v>
      </c>
      <c r="Y970" t="s">
        <v>929</v>
      </c>
      <c r="AA970" t="s">
        <v>55</v>
      </c>
      <c r="AB970" t="s">
        <v>51</v>
      </c>
      <c r="AC970" t="s">
        <v>51</v>
      </c>
      <c r="AD970" t="s">
        <v>51</v>
      </c>
      <c r="AE970" t="s">
        <v>51</v>
      </c>
      <c r="AF970" t="s">
        <v>938</v>
      </c>
    </row>
    <row r="971" spans="1:32" ht="14.5" customHeight="1" x14ac:dyDescent="0.35">
      <c r="A971" t="s">
        <v>84</v>
      </c>
      <c r="B971" t="s">
        <v>85</v>
      </c>
      <c r="C971" t="s">
        <v>929</v>
      </c>
      <c r="D971">
        <v>3001121</v>
      </c>
      <c r="E971">
        <v>3100667</v>
      </c>
      <c r="F971" t="s">
        <v>922</v>
      </c>
      <c r="G971" t="s">
        <v>922</v>
      </c>
      <c r="H971" t="s">
        <v>111</v>
      </c>
      <c r="I971">
        <v>6946847</v>
      </c>
      <c r="J971" s="12">
        <v>46041</v>
      </c>
      <c r="K971" s="12">
        <v>46041</v>
      </c>
      <c r="L971" s="12">
        <v>46041</v>
      </c>
      <c r="M971">
        <v>91</v>
      </c>
      <c r="N971">
        <v>-7367265</v>
      </c>
      <c r="O971">
        <v>-7367265</v>
      </c>
      <c r="P971">
        <v>0</v>
      </c>
      <c r="Q971">
        <v>0</v>
      </c>
      <c r="R971">
        <v>0</v>
      </c>
      <c r="S971">
        <v>0</v>
      </c>
      <c r="T971">
        <v>-7367265</v>
      </c>
      <c r="U971">
        <v>0</v>
      </c>
      <c r="V971">
        <v>0</v>
      </c>
      <c r="W971">
        <v>0</v>
      </c>
      <c r="X971">
        <v>0</v>
      </c>
      <c r="Y971" t="s">
        <v>929</v>
      </c>
      <c r="AA971" t="s">
        <v>55</v>
      </c>
      <c r="AB971" t="s">
        <v>51</v>
      </c>
      <c r="AC971" t="s">
        <v>51</v>
      </c>
      <c r="AD971" t="s">
        <v>51</v>
      </c>
      <c r="AE971" t="s">
        <v>51</v>
      </c>
      <c r="AF971" t="s">
        <v>939</v>
      </c>
    </row>
    <row r="972" spans="1:32" ht="14.5" customHeight="1" x14ac:dyDescent="0.35">
      <c r="A972" t="s">
        <v>84</v>
      </c>
      <c r="B972" t="s">
        <v>85</v>
      </c>
      <c r="C972" t="s">
        <v>929</v>
      </c>
      <c r="D972">
        <v>3001121</v>
      </c>
      <c r="E972">
        <v>3100667</v>
      </c>
      <c r="F972" t="s">
        <v>922</v>
      </c>
      <c r="G972" t="s">
        <v>922</v>
      </c>
      <c r="H972" t="s">
        <v>111</v>
      </c>
      <c r="I972">
        <v>6946848</v>
      </c>
      <c r="J972" s="12">
        <v>46041</v>
      </c>
      <c r="K972" s="12">
        <v>46041</v>
      </c>
      <c r="L972" s="12">
        <v>46041</v>
      </c>
      <c r="M972">
        <v>91</v>
      </c>
      <c r="N972">
        <v>-870222</v>
      </c>
      <c r="O972">
        <v>-870222</v>
      </c>
      <c r="P972">
        <v>0</v>
      </c>
      <c r="Q972">
        <v>0</v>
      </c>
      <c r="R972">
        <v>0</v>
      </c>
      <c r="S972">
        <v>0</v>
      </c>
      <c r="T972">
        <v>-870222</v>
      </c>
      <c r="U972">
        <v>0</v>
      </c>
      <c r="V972">
        <v>0</v>
      </c>
      <c r="W972">
        <v>0</v>
      </c>
      <c r="X972">
        <v>0</v>
      </c>
      <c r="Y972" t="s">
        <v>929</v>
      </c>
      <c r="AA972" t="s">
        <v>55</v>
      </c>
      <c r="AB972" t="s">
        <v>51</v>
      </c>
      <c r="AC972" t="s">
        <v>51</v>
      </c>
      <c r="AD972" t="s">
        <v>51</v>
      </c>
      <c r="AE972" t="s">
        <v>51</v>
      </c>
      <c r="AF972" t="s">
        <v>940</v>
      </c>
    </row>
    <row r="973" spans="1:32" ht="14.5" customHeight="1" x14ac:dyDescent="0.35">
      <c r="A973" t="s">
        <v>84</v>
      </c>
      <c r="B973" t="s">
        <v>85</v>
      </c>
      <c r="C973" t="s">
        <v>929</v>
      </c>
      <c r="D973">
        <v>3001121</v>
      </c>
      <c r="E973">
        <v>3100667</v>
      </c>
      <c r="F973" t="s">
        <v>922</v>
      </c>
      <c r="G973" t="s">
        <v>922</v>
      </c>
      <c r="H973" t="s">
        <v>111</v>
      </c>
      <c r="I973">
        <v>6946849</v>
      </c>
      <c r="J973" s="12">
        <v>46041</v>
      </c>
      <c r="K973" s="12">
        <v>46041</v>
      </c>
      <c r="L973" s="12">
        <v>46041</v>
      </c>
      <c r="M973">
        <v>91</v>
      </c>
      <c r="N973">
        <v>-18002406</v>
      </c>
      <c r="O973">
        <v>-18002406</v>
      </c>
      <c r="P973">
        <v>0</v>
      </c>
      <c r="Q973">
        <v>0</v>
      </c>
      <c r="R973">
        <v>0</v>
      </c>
      <c r="S973">
        <v>0</v>
      </c>
      <c r="T973">
        <v>-18002406</v>
      </c>
      <c r="U973">
        <v>0</v>
      </c>
      <c r="V973">
        <v>0</v>
      </c>
      <c r="W973">
        <v>0</v>
      </c>
      <c r="X973">
        <v>0</v>
      </c>
      <c r="Y973" t="s">
        <v>929</v>
      </c>
      <c r="AA973" t="s">
        <v>55</v>
      </c>
      <c r="AB973" t="s">
        <v>51</v>
      </c>
      <c r="AC973" t="s">
        <v>51</v>
      </c>
      <c r="AD973" t="s">
        <v>51</v>
      </c>
      <c r="AE973" t="s">
        <v>51</v>
      </c>
      <c r="AF973" t="s">
        <v>941</v>
      </c>
    </row>
    <row r="974" spans="1:32" ht="14.5" customHeight="1" x14ac:dyDescent="0.35">
      <c r="A974" t="s">
        <v>84</v>
      </c>
      <c r="B974" t="s">
        <v>85</v>
      </c>
      <c r="C974" t="s">
        <v>929</v>
      </c>
      <c r="D974">
        <v>3001121</v>
      </c>
      <c r="E974">
        <v>3100667</v>
      </c>
      <c r="F974" t="s">
        <v>922</v>
      </c>
      <c r="G974" t="s">
        <v>922</v>
      </c>
      <c r="H974" t="s">
        <v>111</v>
      </c>
      <c r="I974">
        <v>6946850</v>
      </c>
      <c r="J974" s="12">
        <v>46041</v>
      </c>
      <c r="K974" s="12">
        <v>46041</v>
      </c>
      <c r="L974" s="12">
        <v>46041</v>
      </c>
      <c r="M974">
        <v>91</v>
      </c>
      <c r="N974">
        <v>-2775755</v>
      </c>
      <c r="O974">
        <v>-2775755</v>
      </c>
      <c r="P974">
        <v>0</v>
      </c>
      <c r="Q974">
        <v>0</v>
      </c>
      <c r="R974">
        <v>0</v>
      </c>
      <c r="S974">
        <v>0</v>
      </c>
      <c r="T974">
        <v>-2775755</v>
      </c>
      <c r="U974">
        <v>0</v>
      </c>
      <c r="V974">
        <v>0</v>
      </c>
      <c r="W974">
        <v>0</v>
      </c>
      <c r="X974">
        <v>0</v>
      </c>
      <c r="Y974" t="s">
        <v>929</v>
      </c>
      <c r="AA974" t="s">
        <v>55</v>
      </c>
      <c r="AB974" t="s">
        <v>51</v>
      </c>
      <c r="AC974" t="s">
        <v>51</v>
      </c>
      <c r="AD974" t="s">
        <v>51</v>
      </c>
      <c r="AE974" t="s">
        <v>51</v>
      </c>
      <c r="AF974" t="s">
        <v>942</v>
      </c>
    </row>
    <row r="975" spans="1:32" ht="14.5" customHeight="1" x14ac:dyDescent="0.35">
      <c r="A975" t="s">
        <v>84</v>
      </c>
      <c r="B975" t="s">
        <v>85</v>
      </c>
      <c r="C975" t="s">
        <v>929</v>
      </c>
      <c r="D975">
        <v>3001121</v>
      </c>
      <c r="E975">
        <v>3100667</v>
      </c>
      <c r="F975" t="s">
        <v>922</v>
      </c>
      <c r="G975" t="s">
        <v>922</v>
      </c>
      <c r="H975" t="s">
        <v>111</v>
      </c>
      <c r="I975">
        <v>6946851</v>
      </c>
      <c r="J975" s="12">
        <v>46041</v>
      </c>
      <c r="K975" s="12">
        <v>46041</v>
      </c>
      <c r="L975" s="12">
        <v>46041</v>
      </c>
      <c r="M975">
        <v>91</v>
      </c>
      <c r="N975">
        <v>-13144875</v>
      </c>
      <c r="O975">
        <v>-13144875</v>
      </c>
      <c r="P975">
        <v>0</v>
      </c>
      <c r="Q975">
        <v>0</v>
      </c>
      <c r="R975">
        <v>0</v>
      </c>
      <c r="S975">
        <v>0</v>
      </c>
      <c r="T975">
        <v>-13144875</v>
      </c>
      <c r="U975">
        <v>0</v>
      </c>
      <c r="V975">
        <v>0</v>
      </c>
      <c r="W975">
        <v>0</v>
      </c>
      <c r="X975">
        <v>0</v>
      </c>
      <c r="Y975" t="s">
        <v>929</v>
      </c>
      <c r="AA975" t="s">
        <v>55</v>
      </c>
      <c r="AB975" t="s">
        <v>51</v>
      </c>
      <c r="AC975" t="s">
        <v>51</v>
      </c>
      <c r="AD975" t="s">
        <v>51</v>
      </c>
      <c r="AE975" t="s">
        <v>51</v>
      </c>
      <c r="AF975" t="s">
        <v>943</v>
      </c>
    </row>
    <row r="976" spans="1:32" ht="14.5" customHeight="1" x14ac:dyDescent="0.35">
      <c r="A976" t="s">
        <v>84</v>
      </c>
      <c r="B976" t="s">
        <v>85</v>
      </c>
      <c r="C976" t="s">
        <v>929</v>
      </c>
      <c r="D976">
        <v>3001121</v>
      </c>
      <c r="E976">
        <v>3100667</v>
      </c>
      <c r="F976" t="s">
        <v>922</v>
      </c>
      <c r="G976" t="s">
        <v>922</v>
      </c>
      <c r="H976" t="s">
        <v>111</v>
      </c>
      <c r="I976">
        <v>6946852</v>
      </c>
      <c r="J976" s="12">
        <v>46041</v>
      </c>
      <c r="K976" s="12">
        <v>46041</v>
      </c>
      <c r="L976" s="12">
        <v>46041</v>
      </c>
      <c r="M976">
        <v>91</v>
      </c>
      <c r="N976">
        <v>-4330905</v>
      </c>
      <c r="O976">
        <v>-4330905</v>
      </c>
      <c r="P976">
        <v>0</v>
      </c>
      <c r="Q976">
        <v>0</v>
      </c>
      <c r="R976">
        <v>0</v>
      </c>
      <c r="S976">
        <v>0</v>
      </c>
      <c r="T976">
        <v>-4330905</v>
      </c>
      <c r="U976">
        <v>0</v>
      </c>
      <c r="V976">
        <v>0</v>
      </c>
      <c r="W976">
        <v>0</v>
      </c>
      <c r="X976">
        <v>0</v>
      </c>
      <c r="Y976" t="s">
        <v>929</v>
      </c>
      <c r="AA976" t="s">
        <v>55</v>
      </c>
      <c r="AB976" t="s">
        <v>51</v>
      </c>
      <c r="AC976" t="s">
        <v>51</v>
      </c>
      <c r="AD976" t="s">
        <v>51</v>
      </c>
      <c r="AE976" t="s">
        <v>51</v>
      </c>
      <c r="AF976" t="s">
        <v>944</v>
      </c>
    </row>
    <row r="977" spans="1:32" ht="14.5" customHeight="1" x14ac:dyDescent="0.35">
      <c r="A977" t="s">
        <v>84</v>
      </c>
      <c r="B977" t="s">
        <v>85</v>
      </c>
      <c r="C977" t="s">
        <v>929</v>
      </c>
      <c r="D977">
        <v>3001121</v>
      </c>
      <c r="E977">
        <v>3001121</v>
      </c>
      <c r="F977" t="s">
        <v>922</v>
      </c>
      <c r="G977" t="s">
        <v>922</v>
      </c>
      <c r="H977" t="s">
        <v>111</v>
      </c>
      <c r="I977">
        <v>6946853</v>
      </c>
      <c r="J977" s="12">
        <v>46041</v>
      </c>
      <c r="K977" s="12">
        <v>46041</v>
      </c>
      <c r="L977" s="12">
        <v>46041</v>
      </c>
      <c r="M977">
        <v>91</v>
      </c>
      <c r="N977">
        <v>-22203148</v>
      </c>
      <c r="O977">
        <v>-22203148</v>
      </c>
      <c r="P977">
        <v>0</v>
      </c>
      <c r="Q977">
        <v>0</v>
      </c>
      <c r="R977">
        <v>0</v>
      </c>
      <c r="S977">
        <v>0</v>
      </c>
      <c r="T977">
        <v>-22203148</v>
      </c>
      <c r="U977">
        <v>0</v>
      </c>
      <c r="V977">
        <v>0</v>
      </c>
      <c r="W977">
        <v>0</v>
      </c>
      <c r="X977">
        <v>0</v>
      </c>
      <c r="Y977" t="s">
        <v>548</v>
      </c>
      <c r="AA977" t="s">
        <v>55</v>
      </c>
      <c r="AB977" t="s">
        <v>51</v>
      </c>
      <c r="AC977" t="s">
        <v>51</v>
      </c>
      <c r="AD977" t="s">
        <v>51</v>
      </c>
      <c r="AE977" t="s">
        <v>51</v>
      </c>
      <c r="AF977" t="s">
        <v>151</v>
      </c>
    </row>
    <row r="978" spans="1:32" ht="14.5" customHeight="1" x14ac:dyDescent="0.35">
      <c r="A978" t="s">
        <v>84</v>
      </c>
      <c r="B978" t="s">
        <v>85</v>
      </c>
      <c r="C978" t="s">
        <v>929</v>
      </c>
      <c r="D978">
        <v>3001121</v>
      </c>
      <c r="E978">
        <v>3001121</v>
      </c>
      <c r="F978" t="s">
        <v>922</v>
      </c>
      <c r="G978" t="s">
        <v>922</v>
      </c>
      <c r="H978" t="s">
        <v>111</v>
      </c>
      <c r="I978">
        <v>6946854</v>
      </c>
      <c r="J978" s="12">
        <v>46041</v>
      </c>
      <c r="K978" s="12">
        <v>46041</v>
      </c>
      <c r="L978" s="12">
        <v>46041</v>
      </c>
      <c r="M978">
        <v>91</v>
      </c>
      <c r="N978">
        <v>-5554640</v>
      </c>
      <c r="O978">
        <v>-5554640</v>
      </c>
      <c r="P978">
        <v>0</v>
      </c>
      <c r="Q978">
        <v>0</v>
      </c>
      <c r="R978">
        <v>0</v>
      </c>
      <c r="S978">
        <v>0</v>
      </c>
      <c r="T978">
        <v>-5554640</v>
      </c>
      <c r="U978">
        <v>0</v>
      </c>
      <c r="V978">
        <v>0</v>
      </c>
      <c r="W978">
        <v>0</v>
      </c>
      <c r="X978">
        <v>0</v>
      </c>
      <c r="Y978" t="s">
        <v>548</v>
      </c>
      <c r="AA978" t="s">
        <v>55</v>
      </c>
      <c r="AB978" t="s">
        <v>51</v>
      </c>
      <c r="AC978" t="s">
        <v>51</v>
      </c>
      <c r="AD978" t="s">
        <v>51</v>
      </c>
      <c r="AE978" t="s">
        <v>51</v>
      </c>
      <c r="AF978" t="s">
        <v>945</v>
      </c>
    </row>
    <row r="979" spans="1:32" ht="14.5" customHeight="1" x14ac:dyDescent="0.35">
      <c r="A979" t="s">
        <v>84</v>
      </c>
      <c r="B979" t="s">
        <v>85</v>
      </c>
      <c r="C979" t="s">
        <v>929</v>
      </c>
      <c r="D979">
        <v>3001121</v>
      </c>
      <c r="E979">
        <v>3100667</v>
      </c>
      <c r="F979" t="s">
        <v>922</v>
      </c>
      <c r="G979" t="s">
        <v>922</v>
      </c>
      <c r="H979" t="s">
        <v>111</v>
      </c>
      <c r="I979">
        <v>6946855</v>
      </c>
      <c r="J979" s="12">
        <v>46041</v>
      </c>
      <c r="K979" s="12">
        <v>46041</v>
      </c>
      <c r="L979" s="12">
        <v>46041</v>
      </c>
      <c r="M979">
        <v>91</v>
      </c>
      <c r="N979">
        <v>-4356246</v>
      </c>
      <c r="O979">
        <v>-4356246</v>
      </c>
      <c r="P979">
        <v>0</v>
      </c>
      <c r="Q979">
        <v>0</v>
      </c>
      <c r="R979">
        <v>0</v>
      </c>
      <c r="S979">
        <v>0</v>
      </c>
      <c r="T979">
        <v>-4356246</v>
      </c>
      <c r="U979">
        <v>0</v>
      </c>
      <c r="V979">
        <v>0</v>
      </c>
      <c r="W979">
        <v>0</v>
      </c>
      <c r="X979">
        <v>0</v>
      </c>
      <c r="Y979" t="s">
        <v>929</v>
      </c>
      <c r="AA979" t="s">
        <v>55</v>
      </c>
      <c r="AB979" t="s">
        <v>51</v>
      </c>
      <c r="AC979" t="s">
        <v>51</v>
      </c>
      <c r="AD979" t="s">
        <v>51</v>
      </c>
      <c r="AE979" t="s">
        <v>51</v>
      </c>
      <c r="AF979" t="s">
        <v>399</v>
      </c>
    </row>
    <row r="980" spans="1:32" ht="14.5" customHeight="1" x14ac:dyDescent="0.35">
      <c r="A980" t="s">
        <v>84</v>
      </c>
      <c r="B980" t="s">
        <v>85</v>
      </c>
      <c r="C980" t="s">
        <v>929</v>
      </c>
      <c r="D980">
        <v>3001121</v>
      </c>
      <c r="E980">
        <v>3100667</v>
      </c>
      <c r="F980" t="s">
        <v>922</v>
      </c>
      <c r="G980" t="s">
        <v>922</v>
      </c>
      <c r="H980" t="s">
        <v>111</v>
      </c>
      <c r="I980">
        <v>6946856</v>
      </c>
      <c r="J980" s="12">
        <v>46041</v>
      </c>
      <c r="K980" s="12">
        <v>46041</v>
      </c>
      <c r="L980" s="12">
        <v>46041</v>
      </c>
      <c r="M980">
        <v>91</v>
      </c>
      <c r="N980">
        <v>-33396866</v>
      </c>
      <c r="O980">
        <v>-33396866</v>
      </c>
      <c r="P980">
        <v>0</v>
      </c>
      <c r="Q980">
        <v>0</v>
      </c>
      <c r="R980">
        <v>0</v>
      </c>
      <c r="S980">
        <v>0</v>
      </c>
      <c r="T980">
        <v>-33396866</v>
      </c>
      <c r="U980">
        <v>0</v>
      </c>
      <c r="V980">
        <v>0</v>
      </c>
      <c r="W980">
        <v>0</v>
      </c>
      <c r="X980">
        <v>0</v>
      </c>
      <c r="Y980" t="s">
        <v>929</v>
      </c>
      <c r="AA980" t="s">
        <v>55</v>
      </c>
      <c r="AB980" t="s">
        <v>51</v>
      </c>
      <c r="AC980" t="s">
        <v>51</v>
      </c>
      <c r="AD980" t="s">
        <v>51</v>
      </c>
      <c r="AE980" t="s">
        <v>51</v>
      </c>
      <c r="AF980" t="s">
        <v>946</v>
      </c>
    </row>
    <row r="981" spans="1:32" ht="14.5" customHeight="1" x14ac:dyDescent="0.35">
      <c r="A981" t="s">
        <v>84</v>
      </c>
      <c r="B981" t="s">
        <v>85</v>
      </c>
      <c r="C981" t="s">
        <v>929</v>
      </c>
      <c r="D981">
        <v>3001121</v>
      </c>
      <c r="E981">
        <v>3100667</v>
      </c>
      <c r="F981" t="s">
        <v>922</v>
      </c>
      <c r="G981" t="s">
        <v>922</v>
      </c>
      <c r="H981" t="s">
        <v>111</v>
      </c>
      <c r="I981">
        <v>6946857</v>
      </c>
      <c r="J981" s="12">
        <v>46041</v>
      </c>
      <c r="K981" s="12">
        <v>46041</v>
      </c>
      <c r="L981" s="12">
        <v>46041</v>
      </c>
      <c r="M981">
        <v>91</v>
      </c>
      <c r="N981">
        <v>-108254011</v>
      </c>
      <c r="O981">
        <v>-108254011</v>
      </c>
      <c r="P981">
        <v>0</v>
      </c>
      <c r="Q981">
        <v>0</v>
      </c>
      <c r="R981">
        <v>0</v>
      </c>
      <c r="S981">
        <v>0</v>
      </c>
      <c r="T981">
        <v>-108254011</v>
      </c>
      <c r="U981">
        <v>0</v>
      </c>
      <c r="V981">
        <v>0</v>
      </c>
      <c r="W981">
        <v>0</v>
      </c>
      <c r="X981">
        <v>0</v>
      </c>
      <c r="Y981" t="s">
        <v>929</v>
      </c>
      <c r="AA981" t="s">
        <v>55</v>
      </c>
      <c r="AB981" t="s">
        <v>51</v>
      </c>
      <c r="AC981" t="s">
        <v>51</v>
      </c>
      <c r="AD981" t="s">
        <v>51</v>
      </c>
      <c r="AE981" t="s">
        <v>51</v>
      </c>
      <c r="AF981" t="s">
        <v>947</v>
      </c>
    </row>
    <row r="982" spans="1:32" ht="14.5" customHeight="1" x14ac:dyDescent="0.35">
      <c r="A982" t="s">
        <v>84</v>
      </c>
      <c r="B982" t="s">
        <v>85</v>
      </c>
      <c r="C982" t="s">
        <v>929</v>
      </c>
      <c r="D982">
        <v>3001121</v>
      </c>
      <c r="E982">
        <v>3100667</v>
      </c>
      <c r="F982" t="s">
        <v>922</v>
      </c>
      <c r="G982" t="s">
        <v>922</v>
      </c>
      <c r="H982" t="s">
        <v>111</v>
      </c>
      <c r="I982">
        <v>6946858</v>
      </c>
      <c r="J982" s="12">
        <v>46041</v>
      </c>
      <c r="K982" s="12">
        <v>46041</v>
      </c>
      <c r="L982" s="12">
        <v>46041</v>
      </c>
      <c r="M982">
        <v>91</v>
      </c>
      <c r="N982">
        <v>-523636</v>
      </c>
      <c r="O982">
        <v>-523636</v>
      </c>
      <c r="P982">
        <v>0</v>
      </c>
      <c r="Q982">
        <v>0</v>
      </c>
      <c r="R982">
        <v>0</v>
      </c>
      <c r="S982">
        <v>0</v>
      </c>
      <c r="T982">
        <v>-523636</v>
      </c>
      <c r="U982">
        <v>0</v>
      </c>
      <c r="V982">
        <v>0</v>
      </c>
      <c r="W982">
        <v>0</v>
      </c>
      <c r="X982">
        <v>0</v>
      </c>
      <c r="Y982" t="s">
        <v>929</v>
      </c>
      <c r="AA982" t="s">
        <v>55</v>
      </c>
      <c r="AB982" t="s">
        <v>51</v>
      </c>
      <c r="AC982" t="s">
        <v>51</v>
      </c>
      <c r="AD982" t="s">
        <v>51</v>
      </c>
      <c r="AE982" t="s">
        <v>51</v>
      </c>
      <c r="AF982" t="s">
        <v>516</v>
      </c>
    </row>
    <row r="983" spans="1:32" ht="14.5" customHeight="1" x14ac:dyDescent="0.35">
      <c r="A983" t="s">
        <v>84</v>
      </c>
      <c r="B983" t="s">
        <v>85</v>
      </c>
      <c r="C983" t="s">
        <v>929</v>
      </c>
      <c r="D983">
        <v>3001121</v>
      </c>
      <c r="E983">
        <v>3100667</v>
      </c>
      <c r="F983" t="s">
        <v>922</v>
      </c>
      <c r="G983" t="s">
        <v>922</v>
      </c>
      <c r="H983" t="s">
        <v>111</v>
      </c>
      <c r="I983">
        <v>6946859</v>
      </c>
      <c r="J983" s="12">
        <v>46041</v>
      </c>
      <c r="K983" s="12">
        <v>46041</v>
      </c>
      <c r="L983" s="12">
        <v>46041</v>
      </c>
      <c r="M983">
        <v>91</v>
      </c>
      <c r="N983">
        <v>-130006177</v>
      </c>
      <c r="O983">
        <v>-130006177</v>
      </c>
      <c r="P983">
        <v>0</v>
      </c>
      <c r="Q983">
        <v>0</v>
      </c>
      <c r="R983">
        <v>0</v>
      </c>
      <c r="S983">
        <v>0</v>
      </c>
      <c r="T983">
        <v>-130006177</v>
      </c>
      <c r="U983">
        <v>0</v>
      </c>
      <c r="V983">
        <v>0</v>
      </c>
      <c r="W983">
        <v>0</v>
      </c>
      <c r="X983">
        <v>0</v>
      </c>
      <c r="Y983" t="s">
        <v>929</v>
      </c>
      <c r="AA983" t="s">
        <v>55</v>
      </c>
      <c r="AB983" t="s">
        <v>51</v>
      </c>
      <c r="AC983" t="s">
        <v>51</v>
      </c>
      <c r="AD983" t="s">
        <v>51</v>
      </c>
      <c r="AE983" t="s">
        <v>51</v>
      </c>
      <c r="AF983" t="s">
        <v>948</v>
      </c>
    </row>
    <row r="984" spans="1:32" ht="14.5" customHeight="1" x14ac:dyDescent="0.35">
      <c r="A984" t="s">
        <v>84</v>
      </c>
      <c r="B984" t="s">
        <v>85</v>
      </c>
      <c r="C984" t="s">
        <v>929</v>
      </c>
      <c r="D984">
        <v>3001121</v>
      </c>
      <c r="E984">
        <v>3100667</v>
      </c>
      <c r="F984" t="s">
        <v>922</v>
      </c>
      <c r="G984" t="s">
        <v>922</v>
      </c>
      <c r="H984" t="s">
        <v>111</v>
      </c>
      <c r="I984">
        <v>6946860</v>
      </c>
      <c r="J984" s="12">
        <v>46041</v>
      </c>
      <c r="K984" s="12">
        <v>46041</v>
      </c>
      <c r="L984" s="12">
        <v>46041</v>
      </c>
      <c r="M984">
        <v>91</v>
      </c>
      <c r="N984">
        <v>-4773329</v>
      </c>
      <c r="O984">
        <v>-4773329</v>
      </c>
      <c r="P984">
        <v>0</v>
      </c>
      <c r="Q984">
        <v>0</v>
      </c>
      <c r="R984">
        <v>0</v>
      </c>
      <c r="S984">
        <v>0</v>
      </c>
      <c r="T984">
        <v>-4773329</v>
      </c>
      <c r="U984">
        <v>0</v>
      </c>
      <c r="V984">
        <v>0</v>
      </c>
      <c r="W984">
        <v>0</v>
      </c>
      <c r="X984">
        <v>0</v>
      </c>
      <c r="Y984" t="s">
        <v>929</v>
      </c>
      <c r="AA984" t="s">
        <v>55</v>
      </c>
      <c r="AB984" t="s">
        <v>51</v>
      </c>
      <c r="AC984" t="s">
        <v>51</v>
      </c>
      <c r="AD984" t="s">
        <v>51</v>
      </c>
      <c r="AE984" t="s">
        <v>51</v>
      </c>
      <c r="AF984" t="s">
        <v>949</v>
      </c>
    </row>
    <row r="985" spans="1:32" ht="14.5" customHeight="1" x14ac:dyDescent="0.35">
      <c r="A985" t="s">
        <v>84</v>
      </c>
      <c r="B985" t="s">
        <v>85</v>
      </c>
      <c r="C985" t="s">
        <v>929</v>
      </c>
      <c r="D985">
        <v>3001121</v>
      </c>
      <c r="E985">
        <v>3100667</v>
      </c>
      <c r="F985" t="s">
        <v>922</v>
      </c>
      <c r="G985" t="s">
        <v>922</v>
      </c>
      <c r="H985" t="s">
        <v>111</v>
      </c>
      <c r="I985">
        <v>6946861</v>
      </c>
      <c r="J985" s="12">
        <v>46041</v>
      </c>
      <c r="K985" s="12">
        <v>46041</v>
      </c>
      <c r="L985" s="12">
        <v>46041</v>
      </c>
      <c r="M985">
        <v>91</v>
      </c>
      <c r="N985">
        <v>-490598</v>
      </c>
      <c r="O985">
        <v>-490598</v>
      </c>
      <c r="P985">
        <v>0</v>
      </c>
      <c r="Q985">
        <v>0</v>
      </c>
      <c r="R985">
        <v>0</v>
      </c>
      <c r="S985">
        <v>0</v>
      </c>
      <c r="T985">
        <v>-490598</v>
      </c>
      <c r="U985">
        <v>0</v>
      </c>
      <c r="V985">
        <v>0</v>
      </c>
      <c r="W985">
        <v>0</v>
      </c>
      <c r="X985">
        <v>0</v>
      </c>
      <c r="Y985" t="s">
        <v>929</v>
      </c>
      <c r="AA985" t="s">
        <v>55</v>
      </c>
      <c r="AB985" t="s">
        <v>51</v>
      </c>
      <c r="AC985" t="s">
        <v>51</v>
      </c>
      <c r="AD985" t="s">
        <v>51</v>
      </c>
      <c r="AE985" t="s">
        <v>51</v>
      </c>
      <c r="AF985" t="s">
        <v>930</v>
      </c>
    </row>
    <row r="986" spans="1:32" ht="14.5" customHeight="1" x14ac:dyDescent="0.35">
      <c r="A986" t="s">
        <v>84</v>
      </c>
      <c r="B986" t="s">
        <v>85</v>
      </c>
      <c r="C986" t="s">
        <v>929</v>
      </c>
      <c r="D986">
        <v>3001121</v>
      </c>
      <c r="E986">
        <v>3100667</v>
      </c>
      <c r="F986" t="s">
        <v>922</v>
      </c>
      <c r="G986" t="s">
        <v>922</v>
      </c>
      <c r="H986" t="s">
        <v>111</v>
      </c>
      <c r="I986">
        <v>6946862</v>
      </c>
      <c r="J986" s="12">
        <v>46041</v>
      </c>
      <c r="K986" s="12">
        <v>46041</v>
      </c>
      <c r="L986" s="12">
        <v>46041</v>
      </c>
      <c r="M986">
        <v>91</v>
      </c>
      <c r="N986">
        <v>-743434</v>
      </c>
      <c r="O986">
        <v>-743434</v>
      </c>
      <c r="P986">
        <v>0</v>
      </c>
      <c r="Q986">
        <v>0</v>
      </c>
      <c r="R986">
        <v>0</v>
      </c>
      <c r="S986">
        <v>0</v>
      </c>
      <c r="T986">
        <v>-743434</v>
      </c>
      <c r="U986">
        <v>0</v>
      </c>
      <c r="V986">
        <v>0</v>
      </c>
      <c r="W986">
        <v>0</v>
      </c>
      <c r="X986">
        <v>0</v>
      </c>
      <c r="Y986" t="s">
        <v>929</v>
      </c>
      <c r="AA986" t="s">
        <v>55</v>
      </c>
      <c r="AB986" t="s">
        <v>51</v>
      </c>
      <c r="AC986" t="s">
        <v>51</v>
      </c>
      <c r="AD986" t="s">
        <v>51</v>
      </c>
      <c r="AE986" t="s">
        <v>51</v>
      </c>
      <c r="AF986" t="s">
        <v>950</v>
      </c>
    </row>
    <row r="987" spans="1:32" ht="14.5" customHeight="1" x14ac:dyDescent="0.35">
      <c r="A987" t="s">
        <v>84</v>
      </c>
      <c r="B987" t="s">
        <v>85</v>
      </c>
      <c r="C987" t="s">
        <v>929</v>
      </c>
      <c r="D987">
        <v>3001121</v>
      </c>
      <c r="E987">
        <v>3100667</v>
      </c>
      <c r="F987" t="s">
        <v>922</v>
      </c>
      <c r="G987" t="s">
        <v>922</v>
      </c>
      <c r="H987" t="s">
        <v>111</v>
      </c>
      <c r="I987">
        <v>6946863</v>
      </c>
      <c r="J987" s="12">
        <v>46041</v>
      </c>
      <c r="K987" s="12">
        <v>46041</v>
      </c>
      <c r="L987" s="12">
        <v>46041</v>
      </c>
      <c r="M987">
        <v>91</v>
      </c>
      <c r="N987">
        <v>-26325</v>
      </c>
      <c r="O987">
        <v>-26325</v>
      </c>
      <c r="P987">
        <v>0</v>
      </c>
      <c r="Q987">
        <v>0</v>
      </c>
      <c r="R987">
        <v>0</v>
      </c>
      <c r="S987">
        <v>0</v>
      </c>
      <c r="T987">
        <v>-26325</v>
      </c>
      <c r="U987">
        <v>0</v>
      </c>
      <c r="V987">
        <v>0</v>
      </c>
      <c r="W987">
        <v>0</v>
      </c>
      <c r="X987">
        <v>0</v>
      </c>
      <c r="Y987" t="s">
        <v>929</v>
      </c>
      <c r="AA987" t="s">
        <v>55</v>
      </c>
      <c r="AB987" t="s">
        <v>51</v>
      </c>
      <c r="AC987" t="s">
        <v>51</v>
      </c>
      <c r="AD987" t="s">
        <v>51</v>
      </c>
      <c r="AE987" t="s">
        <v>51</v>
      </c>
      <c r="AF987" t="s">
        <v>930</v>
      </c>
    </row>
    <row r="988" spans="1:32" ht="14.5" customHeight="1" x14ac:dyDescent="0.35">
      <c r="A988" t="s">
        <v>84</v>
      </c>
      <c r="B988" t="s">
        <v>85</v>
      </c>
      <c r="C988" t="s">
        <v>929</v>
      </c>
      <c r="D988">
        <v>3001121</v>
      </c>
      <c r="E988">
        <v>3001121</v>
      </c>
      <c r="F988" t="s">
        <v>922</v>
      </c>
      <c r="G988" t="s">
        <v>922</v>
      </c>
      <c r="H988" t="s">
        <v>111</v>
      </c>
      <c r="I988">
        <v>6946864</v>
      </c>
      <c r="J988" s="12">
        <v>46041</v>
      </c>
      <c r="K988" s="12">
        <v>46041</v>
      </c>
      <c r="L988" s="12">
        <v>46041</v>
      </c>
      <c r="M988">
        <v>91</v>
      </c>
      <c r="N988">
        <v>-51414</v>
      </c>
      <c r="O988">
        <v>-51414</v>
      </c>
      <c r="P988">
        <v>0</v>
      </c>
      <c r="Q988">
        <v>0</v>
      </c>
      <c r="R988">
        <v>0</v>
      </c>
      <c r="S988">
        <v>0</v>
      </c>
      <c r="T988">
        <v>-51414</v>
      </c>
      <c r="U988">
        <v>0</v>
      </c>
      <c r="V988">
        <v>0</v>
      </c>
      <c r="W988">
        <v>0</v>
      </c>
      <c r="X988">
        <v>0</v>
      </c>
      <c r="Y988" t="s">
        <v>548</v>
      </c>
      <c r="AA988" t="s">
        <v>55</v>
      </c>
      <c r="AB988" t="s">
        <v>51</v>
      </c>
      <c r="AC988" t="s">
        <v>51</v>
      </c>
      <c r="AD988" t="s">
        <v>51</v>
      </c>
      <c r="AE988" t="s">
        <v>51</v>
      </c>
      <c r="AF988" t="s">
        <v>934</v>
      </c>
    </row>
    <row r="989" spans="1:32" ht="14.5" customHeight="1" x14ac:dyDescent="0.35">
      <c r="A989" t="s">
        <v>84</v>
      </c>
      <c r="B989" t="s">
        <v>85</v>
      </c>
      <c r="C989" t="s">
        <v>929</v>
      </c>
      <c r="D989">
        <v>3001121</v>
      </c>
      <c r="E989">
        <v>3100667</v>
      </c>
      <c r="F989" t="s">
        <v>922</v>
      </c>
      <c r="G989" t="s">
        <v>922</v>
      </c>
      <c r="H989" t="s">
        <v>111</v>
      </c>
      <c r="I989">
        <v>6946865</v>
      </c>
      <c r="J989" s="12">
        <v>46041</v>
      </c>
      <c r="K989" s="12">
        <v>46041</v>
      </c>
      <c r="L989" s="12">
        <v>46041</v>
      </c>
      <c r="M989">
        <v>91</v>
      </c>
      <c r="N989">
        <v>-2272483</v>
      </c>
      <c r="O989">
        <v>-2272483</v>
      </c>
      <c r="P989">
        <v>0</v>
      </c>
      <c r="Q989">
        <v>0</v>
      </c>
      <c r="R989">
        <v>0</v>
      </c>
      <c r="S989">
        <v>0</v>
      </c>
      <c r="T989">
        <v>-2272483</v>
      </c>
      <c r="U989">
        <v>0</v>
      </c>
      <c r="V989">
        <v>0</v>
      </c>
      <c r="W989">
        <v>0</v>
      </c>
      <c r="X989">
        <v>0</v>
      </c>
      <c r="Y989" t="s">
        <v>929</v>
      </c>
      <c r="AA989" t="s">
        <v>55</v>
      </c>
      <c r="AB989" t="s">
        <v>51</v>
      </c>
      <c r="AC989" t="s">
        <v>51</v>
      </c>
      <c r="AD989" t="s">
        <v>51</v>
      </c>
      <c r="AE989" t="s">
        <v>51</v>
      </c>
      <c r="AF989" t="s">
        <v>951</v>
      </c>
    </row>
    <row r="990" spans="1:32" ht="14.5" customHeight="1" x14ac:dyDescent="0.35">
      <c r="A990" t="s">
        <v>84</v>
      </c>
      <c r="B990" t="s">
        <v>85</v>
      </c>
      <c r="C990" t="s">
        <v>929</v>
      </c>
      <c r="D990">
        <v>3001121</v>
      </c>
      <c r="E990">
        <v>3100667</v>
      </c>
      <c r="F990" t="s">
        <v>922</v>
      </c>
      <c r="G990" t="s">
        <v>922</v>
      </c>
      <c r="H990" t="s">
        <v>111</v>
      </c>
      <c r="I990">
        <v>6946866</v>
      </c>
      <c r="J990" s="12">
        <v>46041</v>
      </c>
      <c r="K990" s="12">
        <v>46041</v>
      </c>
      <c r="L990" s="12">
        <v>46041</v>
      </c>
      <c r="M990">
        <v>91</v>
      </c>
      <c r="N990">
        <v>-98990</v>
      </c>
      <c r="O990">
        <v>-98990</v>
      </c>
      <c r="P990">
        <v>0</v>
      </c>
      <c r="Q990">
        <v>0</v>
      </c>
      <c r="R990">
        <v>0</v>
      </c>
      <c r="S990">
        <v>0</v>
      </c>
      <c r="T990">
        <v>-98990</v>
      </c>
      <c r="U990">
        <v>0</v>
      </c>
      <c r="V990">
        <v>0</v>
      </c>
      <c r="W990">
        <v>0</v>
      </c>
      <c r="X990">
        <v>0</v>
      </c>
      <c r="Y990" t="s">
        <v>929</v>
      </c>
      <c r="AA990" t="s">
        <v>55</v>
      </c>
      <c r="AB990" t="s">
        <v>51</v>
      </c>
      <c r="AC990" t="s">
        <v>51</v>
      </c>
      <c r="AD990" t="s">
        <v>51</v>
      </c>
      <c r="AE990" t="s">
        <v>51</v>
      </c>
      <c r="AF990" t="s">
        <v>936</v>
      </c>
    </row>
    <row r="991" spans="1:32" ht="14.5" customHeight="1" x14ac:dyDescent="0.35">
      <c r="A991" t="s">
        <v>84</v>
      </c>
      <c r="B991" t="s">
        <v>85</v>
      </c>
      <c r="C991" t="s">
        <v>929</v>
      </c>
      <c r="D991">
        <v>3001121</v>
      </c>
      <c r="E991">
        <v>3100667</v>
      </c>
      <c r="F991" t="s">
        <v>922</v>
      </c>
      <c r="G991" t="s">
        <v>922</v>
      </c>
      <c r="H991" t="s">
        <v>111</v>
      </c>
      <c r="I991">
        <v>6946867</v>
      </c>
      <c r="J991" s="12">
        <v>46041</v>
      </c>
      <c r="K991" s="12">
        <v>46041</v>
      </c>
      <c r="L991" s="12">
        <v>46041</v>
      </c>
      <c r="M991">
        <v>91</v>
      </c>
      <c r="N991">
        <v>-46620</v>
      </c>
      <c r="O991">
        <v>-46620</v>
      </c>
      <c r="P991">
        <v>0</v>
      </c>
      <c r="Q991">
        <v>0</v>
      </c>
      <c r="R991">
        <v>0</v>
      </c>
      <c r="S991">
        <v>0</v>
      </c>
      <c r="T991">
        <v>-46620</v>
      </c>
      <c r="U991">
        <v>0</v>
      </c>
      <c r="V991">
        <v>0</v>
      </c>
      <c r="W991">
        <v>0</v>
      </c>
      <c r="X991">
        <v>0</v>
      </c>
      <c r="Y991" t="s">
        <v>929</v>
      </c>
      <c r="AA991" t="s">
        <v>55</v>
      </c>
      <c r="AB991" t="s">
        <v>51</v>
      </c>
      <c r="AC991" t="s">
        <v>51</v>
      </c>
      <c r="AD991" t="s">
        <v>51</v>
      </c>
      <c r="AE991" t="s">
        <v>51</v>
      </c>
      <c r="AF991" t="s">
        <v>174</v>
      </c>
    </row>
    <row r="992" spans="1:32" ht="14.5" customHeight="1" x14ac:dyDescent="0.35">
      <c r="A992" t="s">
        <v>84</v>
      </c>
      <c r="B992" t="s">
        <v>85</v>
      </c>
      <c r="C992" t="s">
        <v>929</v>
      </c>
      <c r="D992">
        <v>3001121</v>
      </c>
      <c r="E992">
        <v>3100667</v>
      </c>
      <c r="F992" t="s">
        <v>922</v>
      </c>
      <c r="G992" t="s">
        <v>922</v>
      </c>
      <c r="H992" t="s">
        <v>111</v>
      </c>
      <c r="I992">
        <v>6946868</v>
      </c>
      <c r="J992" s="12">
        <v>46041</v>
      </c>
      <c r="K992" s="12">
        <v>46041</v>
      </c>
      <c r="L992" s="12">
        <v>46041</v>
      </c>
      <c r="M992">
        <v>91</v>
      </c>
      <c r="N992">
        <v>-47475</v>
      </c>
      <c r="O992">
        <v>-47475</v>
      </c>
      <c r="P992">
        <v>0</v>
      </c>
      <c r="Q992">
        <v>0</v>
      </c>
      <c r="R992">
        <v>0</v>
      </c>
      <c r="S992">
        <v>0</v>
      </c>
      <c r="T992">
        <v>-47475</v>
      </c>
      <c r="U992">
        <v>0</v>
      </c>
      <c r="V992">
        <v>0</v>
      </c>
      <c r="W992">
        <v>0</v>
      </c>
      <c r="X992">
        <v>0</v>
      </c>
      <c r="Y992" t="s">
        <v>929</v>
      </c>
      <c r="AA992" t="s">
        <v>55</v>
      </c>
      <c r="AB992" t="s">
        <v>51</v>
      </c>
      <c r="AC992" t="s">
        <v>51</v>
      </c>
      <c r="AD992" t="s">
        <v>51</v>
      </c>
      <c r="AE992" t="s">
        <v>51</v>
      </c>
      <c r="AF992" t="s">
        <v>938</v>
      </c>
    </row>
    <row r="993" spans="1:32" ht="14.5" customHeight="1" x14ac:dyDescent="0.35">
      <c r="A993" t="s">
        <v>84</v>
      </c>
      <c r="B993" t="s">
        <v>85</v>
      </c>
      <c r="C993" t="s">
        <v>929</v>
      </c>
      <c r="D993">
        <v>3001121</v>
      </c>
      <c r="E993">
        <v>3100667</v>
      </c>
      <c r="F993" t="s">
        <v>922</v>
      </c>
      <c r="G993" t="s">
        <v>922</v>
      </c>
      <c r="H993" t="s">
        <v>111</v>
      </c>
      <c r="I993">
        <v>6946869</v>
      </c>
      <c r="J993" s="12">
        <v>46041</v>
      </c>
      <c r="K993" s="12">
        <v>46041</v>
      </c>
      <c r="L993" s="12">
        <v>46041</v>
      </c>
      <c r="M993">
        <v>91</v>
      </c>
      <c r="N993">
        <v>-61212</v>
      </c>
      <c r="O993">
        <v>-61212</v>
      </c>
      <c r="P993">
        <v>0</v>
      </c>
      <c r="Q993">
        <v>0</v>
      </c>
      <c r="R993">
        <v>0</v>
      </c>
      <c r="S993">
        <v>0</v>
      </c>
      <c r="T993">
        <v>-61212</v>
      </c>
      <c r="U993">
        <v>0</v>
      </c>
      <c r="V993">
        <v>0</v>
      </c>
      <c r="W993">
        <v>0</v>
      </c>
      <c r="X993">
        <v>0</v>
      </c>
      <c r="Y993" t="s">
        <v>929</v>
      </c>
      <c r="AA993" t="s">
        <v>55</v>
      </c>
      <c r="AB993" t="s">
        <v>51</v>
      </c>
      <c r="AC993" t="s">
        <v>51</v>
      </c>
      <c r="AD993" t="s">
        <v>51</v>
      </c>
      <c r="AE993" t="s">
        <v>51</v>
      </c>
      <c r="AF993" t="s">
        <v>952</v>
      </c>
    </row>
    <row r="994" spans="1:32" ht="14.5" customHeight="1" x14ac:dyDescent="0.35">
      <c r="A994" t="s">
        <v>84</v>
      </c>
      <c r="B994" t="s">
        <v>85</v>
      </c>
      <c r="C994" t="s">
        <v>929</v>
      </c>
      <c r="D994">
        <v>3001121</v>
      </c>
      <c r="E994">
        <v>3100667</v>
      </c>
      <c r="F994" t="s">
        <v>922</v>
      </c>
      <c r="G994" t="s">
        <v>922</v>
      </c>
      <c r="H994" t="s">
        <v>111</v>
      </c>
      <c r="I994">
        <v>6946870</v>
      </c>
      <c r="J994" s="12">
        <v>46041</v>
      </c>
      <c r="K994" s="12">
        <v>46041</v>
      </c>
      <c r="L994" s="12">
        <v>46041</v>
      </c>
      <c r="M994">
        <v>91</v>
      </c>
      <c r="N994">
        <v>-2740906</v>
      </c>
      <c r="O994">
        <v>-2740906</v>
      </c>
      <c r="P994">
        <v>0</v>
      </c>
      <c r="Q994">
        <v>0</v>
      </c>
      <c r="R994">
        <v>0</v>
      </c>
      <c r="S994">
        <v>0</v>
      </c>
      <c r="T994">
        <v>-2740906</v>
      </c>
      <c r="U994">
        <v>0</v>
      </c>
      <c r="V994">
        <v>0</v>
      </c>
      <c r="W994">
        <v>0</v>
      </c>
      <c r="X994">
        <v>0</v>
      </c>
      <c r="Y994" t="s">
        <v>929</v>
      </c>
      <c r="AA994" t="s">
        <v>55</v>
      </c>
      <c r="AB994" t="s">
        <v>51</v>
      </c>
      <c r="AC994" t="s">
        <v>51</v>
      </c>
      <c r="AD994" t="s">
        <v>51</v>
      </c>
      <c r="AE994" t="s">
        <v>51</v>
      </c>
      <c r="AF994" t="s">
        <v>953</v>
      </c>
    </row>
    <row r="995" spans="1:32" ht="14.5" customHeight="1" x14ac:dyDescent="0.35">
      <c r="A995" t="s">
        <v>84</v>
      </c>
      <c r="B995" t="s">
        <v>85</v>
      </c>
      <c r="C995" t="s">
        <v>929</v>
      </c>
      <c r="D995">
        <v>3001121</v>
      </c>
      <c r="E995">
        <v>3100667</v>
      </c>
      <c r="F995" t="s">
        <v>922</v>
      </c>
      <c r="G995" t="s">
        <v>922</v>
      </c>
      <c r="H995" t="s">
        <v>111</v>
      </c>
      <c r="I995">
        <v>6946871</v>
      </c>
      <c r="J995" s="12">
        <v>46041</v>
      </c>
      <c r="K995" s="12">
        <v>46041</v>
      </c>
      <c r="L995" s="12">
        <v>46041</v>
      </c>
      <c r="M995">
        <v>91</v>
      </c>
      <c r="N995">
        <v>-767474</v>
      </c>
      <c r="O995">
        <v>-767474</v>
      </c>
      <c r="P995">
        <v>0</v>
      </c>
      <c r="Q995">
        <v>0</v>
      </c>
      <c r="R995">
        <v>0</v>
      </c>
      <c r="S995">
        <v>0</v>
      </c>
      <c r="T995">
        <v>-767474</v>
      </c>
      <c r="U995">
        <v>0</v>
      </c>
      <c r="V995">
        <v>0</v>
      </c>
      <c r="W995">
        <v>0</v>
      </c>
      <c r="X995">
        <v>0</v>
      </c>
      <c r="Y995" t="s">
        <v>929</v>
      </c>
      <c r="AA995" t="s">
        <v>55</v>
      </c>
      <c r="AB995" t="s">
        <v>51</v>
      </c>
      <c r="AC995" t="s">
        <v>51</v>
      </c>
      <c r="AD995" t="s">
        <v>51</v>
      </c>
      <c r="AE995" t="s">
        <v>51</v>
      </c>
      <c r="AF995" t="s">
        <v>341</v>
      </c>
    </row>
    <row r="996" spans="1:32" ht="14.5" customHeight="1" x14ac:dyDescent="0.35">
      <c r="A996" t="s">
        <v>84</v>
      </c>
      <c r="B996" t="s">
        <v>85</v>
      </c>
      <c r="C996" t="s">
        <v>929</v>
      </c>
      <c r="D996">
        <v>3001121</v>
      </c>
      <c r="E996">
        <v>3100667</v>
      </c>
      <c r="F996" t="s">
        <v>922</v>
      </c>
      <c r="G996" t="s">
        <v>922</v>
      </c>
      <c r="H996" t="s">
        <v>111</v>
      </c>
      <c r="I996">
        <v>6946872</v>
      </c>
      <c r="J996" s="12">
        <v>46041</v>
      </c>
      <c r="K996" s="12">
        <v>46041</v>
      </c>
      <c r="L996" s="12">
        <v>46041</v>
      </c>
      <c r="M996">
        <v>91</v>
      </c>
      <c r="N996">
        <v>-2381513</v>
      </c>
      <c r="O996">
        <v>-2381513</v>
      </c>
      <c r="P996">
        <v>0</v>
      </c>
      <c r="Q996">
        <v>0</v>
      </c>
      <c r="R996">
        <v>0</v>
      </c>
      <c r="S996">
        <v>0</v>
      </c>
      <c r="T996">
        <v>-2381513</v>
      </c>
      <c r="U996">
        <v>0</v>
      </c>
      <c r="V996">
        <v>0</v>
      </c>
      <c r="W996">
        <v>0</v>
      </c>
      <c r="X996">
        <v>0</v>
      </c>
      <c r="Y996" t="s">
        <v>929</v>
      </c>
      <c r="AA996" t="s">
        <v>55</v>
      </c>
      <c r="AB996" t="s">
        <v>51</v>
      </c>
      <c r="AC996" t="s">
        <v>51</v>
      </c>
      <c r="AD996" t="s">
        <v>51</v>
      </c>
      <c r="AE996" t="s">
        <v>51</v>
      </c>
      <c r="AF996" t="s">
        <v>942</v>
      </c>
    </row>
    <row r="997" spans="1:32" ht="14.5" customHeight="1" x14ac:dyDescent="0.35">
      <c r="A997" t="s">
        <v>84</v>
      </c>
      <c r="B997" t="s">
        <v>85</v>
      </c>
      <c r="C997" t="s">
        <v>929</v>
      </c>
      <c r="D997">
        <v>3001121</v>
      </c>
      <c r="E997">
        <v>3100667</v>
      </c>
      <c r="F997" t="s">
        <v>922</v>
      </c>
      <c r="G997" t="s">
        <v>922</v>
      </c>
      <c r="H997" t="s">
        <v>111</v>
      </c>
      <c r="I997">
        <v>6946873</v>
      </c>
      <c r="J997" s="12">
        <v>46041</v>
      </c>
      <c r="K997" s="12">
        <v>46041</v>
      </c>
      <c r="L997" s="12">
        <v>46041</v>
      </c>
      <c r="M997">
        <v>91</v>
      </c>
      <c r="N997">
        <v>-160000</v>
      </c>
      <c r="O997">
        <v>-160000</v>
      </c>
      <c r="P997">
        <v>0</v>
      </c>
      <c r="Q997">
        <v>0</v>
      </c>
      <c r="R997">
        <v>0</v>
      </c>
      <c r="S997">
        <v>0</v>
      </c>
      <c r="T997">
        <v>-160000</v>
      </c>
      <c r="U997">
        <v>0</v>
      </c>
      <c r="V997">
        <v>0</v>
      </c>
      <c r="W997">
        <v>0</v>
      </c>
      <c r="X997">
        <v>0</v>
      </c>
      <c r="Y997" t="s">
        <v>929</v>
      </c>
      <c r="AA997" t="s">
        <v>55</v>
      </c>
      <c r="AB997" t="s">
        <v>51</v>
      </c>
      <c r="AC997" t="s">
        <v>51</v>
      </c>
      <c r="AD997" t="s">
        <v>51</v>
      </c>
      <c r="AE997" t="s">
        <v>51</v>
      </c>
      <c r="AF997" t="s">
        <v>954</v>
      </c>
    </row>
    <row r="998" spans="1:32" ht="14.5" customHeight="1" x14ac:dyDescent="0.35">
      <c r="A998" t="s">
        <v>84</v>
      </c>
      <c r="B998" t="s">
        <v>85</v>
      </c>
      <c r="C998" t="s">
        <v>929</v>
      </c>
      <c r="D998">
        <v>3001121</v>
      </c>
      <c r="E998">
        <v>3100667</v>
      </c>
      <c r="F998" t="s">
        <v>922</v>
      </c>
      <c r="G998" t="s">
        <v>922</v>
      </c>
      <c r="H998" t="s">
        <v>111</v>
      </c>
      <c r="I998">
        <v>6946874</v>
      </c>
      <c r="J998" s="12">
        <v>46041</v>
      </c>
      <c r="K998" s="12">
        <v>46041</v>
      </c>
      <c r="L998" s="12">
        <v>46041</v>
      </c>
      <c r="M998">
        <v>91</v>
      </c>
      <c r="N998">
        <v>-303461</v>
      </c>
      <c r="O998">
        <v>-303461</v>
      </c>
      <c r="P998">
        <v>0</v>
      </c>
      <c r="Q998">
        <v>0</v>
      </c>
      <c r="R998">
        <v>0</v>
      </c>
      <c r="S998">
        <v>0</v>
      </c>
      <c r="T998">
        <v>-303461</v>
      </c>
      <c r="U998">
        <v>0</v>
      </c>
      <c r="V998">
        <v>0</v>
      </c>
      <c r="W998">
        <v>0</v>
      </c>
      <c r="X998">
        <v>0</v>
      </c>
      <c r="Y998" t="s">
        <v>929</v>
      </c>
      <c r="AA998" t="s">
        <v>55</v>
      </c>
      <c r="AB998" t="s">
        <v>51</v>
      </c>
      <c r="AC998" t="s">
        <v>51</v>
      </c>
      <c r="AD998" t="s">
        <v>51</v>
      </c>
      <c r="AE998" t="s">
        <v>51</v>
      </c>
      <c r="AF998" t="s">
        <v>955</v>
      </c>
    </row>
    <row r="999" spans="1:32" ht="14.5" customHeight="1" x14ac:dyDescent="0.35">
      <c r="A999" t="s">
        <v>84</v>
      </c>
      <c r="B999" t="s">
        <v>85</v>
      </c>
      <c r="C999" t="s">
        <v>929</v>
      </c>
      <c r="D999">
        <v>3001121</v>
      </c>
      <c r="E999">
        <v>3100667</v>
      </c>
      <c r="F999" t="s">
        <v>922</v>
      </c>
      <c r="G999" t="s">
        <v>922</v>
      </c>
      <c r="H999" t="s">
        <v>111</v>
      </c>
      <c r="I999">
        <v>6946875</v>
      </c>
      <c r="J999" s="12">
        <v>46041</v>
      </c>
      <c r="K999" s="12">
        <v>46041</v>
      </c>
      <c r="L999" s="12">
        <v>46041</v>
      </c>
      <c r="M999">
        <v>91</v>
      </c>
      <c r="N999">
        <v>-1575763</v>
      </c>
      <c r="O999">
        <v>-1575763</v>
      </c>
      <c r="P999">
        <v>0</v>
      </c>
      <c r="Q999">
        <v>0</v>
      </c>
      <c r="R999">
        <v>0</v>
      </c>
      <c r="S999">
        <v>0</v>
      </c>
      <c r="T999">
        <v>-1575763</v>
      </c>
      <c r="U999">
        <v>0</v>
      </c>
      <c r="V999">
        <v>0</v>
      </c>
      <c r="W999">
        <v>0</v>
      </c>
      <c r="X999">
        <v>0</v>
      </c>
      <c r="Y999" t="s">
        <v>929</v>
      </c>
      <c r="AA999" t="s">
        <v>55</v>
      </c>
      <c r="AB999" t="s">
        <v>51</v>
      </c>
      <c r="AC999" t="s">
        <v>51</v>
      </c>
      <c r="AD999" t="s">
        <v>51</v>
      </c>
      <c r="AE999" t="s">
        <v>51</v>
      </c>
      <c r="AF999" t="s">
        <v>956</v>
      </c>
    </row>
    <row r="1000" spans="1:32" ht="14.5" customHeight="1" x14ac:dyDescent="0.35">
      <c r="A1000" t="s">
        <v>84</v>
      </c>
      <c r="B1000" t="s">
        <v>85</v>
      </c>
      <c r="C1000" t="s">
        <v>929</v>
      </c>
      <c r="D1000">
        <v>3001121</v>
      </c>
      <c r="E1000">
        <v>3001121</v>
      </c>
      <c r="F1000" t="s">
        <v>922</v>
      </c>
      <c r="G1000" t="s">
        <v>922</v>
      </c>
      <c r="H1000" t="s">
        <v>111</v>
      </c>
      <c r="I1000">
        <v>6946876</v>
      </c>
      <c r="J1000" s="12">
        <v>46041</v>
      </c>
      <c r="K1000" s="12">
        <v>46041</v>
      </c>
      <c r="L1000" s="12">
        <v>46041</v>
      </c>
      <c r="M1000">
        <v>91</v>
      </c>
      <c r="N1000">
        <v>-4378968</v>
      </c>
      <c r="O1000">
        <v>-4378968</v>
      </c>
      <c r="P1000">
        <v>0</v>
      </c>
      <c r="Q1000">
        <v>0</v>
      </c>
      <c r="R1000">
        <v>0</v>
      </c>
      <c r="S1000">
        <v>0</v>
      </c>
      <c r="T1000">
        <v>-4378968</v>
      </c>
      <c r="U1000">
        <v>0</v>
      </c>
      <c r="V1000">
        <v>0</v>
      </c>
      <c r="W1000">
        <v>0</v>
      </c>
      <c r="X1000">
        <v>0</v>
      </c>
      <c r="Y1000" t="s">
        <v>548</v>
      </c>
      <c r="AA1000" t="s">
        <v>55</v>
      </c>
      <c r="AB1000" t="s">
        <v>51</v>
      </c>
      <c r="AC1000" t="s">
        <v>51</v>
      </c>
      <c r="AD1000" t="s">
        <v>51</v>
      </c>
      <c r="AE1000" t="s">
        <v>51</v>
      </c>
      <c r="AF1000" t="s">
        <v>957</v>
      </c>
    </row>
    <row r="1001" spans="1:32" ht="14.5" customHeight="1" x14ac:dyDescent="0.35">
      <c r="A1001" t="s">
        <v>84</v>
      </c>
      <c r="B1001" t="s">
        <v>85</v>
      </c>
      <c r="C1001" t="s">
        <v>929</v>
      </c>
      <c r="D1001">
        <v>3001121</v>
      </c>
      <c r="E1001">
        <v>3100667</v>
      </c>
      <c r="F1001" t="s">
        <v>922</v>
      </c>
      <c r="G1001" t="s">
        <v>922</v>
      </c>
      <c r="H1001" t="s">
        <v>111</v>
      </c>
      <c r="I1001">
        <v>6946877</v>
      </c>
      <c r="J1001" s="12">
        <v>46041</v>
      </c>
      <c r="K1001" s="12">
        <v>46041</v>
      </c>
      <c r="L1001" s="12">
        <v>46041</v>
      </c>
      <c r="M1001">
        <v>91</v>
      </c>
      <c r="N1001">
        <v>-4682047</v>
      </c>
      <c r="O1001">
        <v>-4682047</v>
      </c>
      <c r="P1001">
        <v>0</v>
      </c>
      <c r="Q1001">
        <v>0</v>
      </c>
      <c r="R1001">
        <v>0</v>
      </c>
      <c r="S1001">
        <v>0</v>
      </c>
      <c r="T1001">
        <v>-4682047</v>
      </c>
      <c r="U1001">
        <v>0</v>
      </c>
      <c r="V1001">
        <v>0</v>
      </c>
      <c r="W1001">
        <v>0</v>
      </c>
      <c r="X1001">
        <v>0</v>
      </c>
      <c r="Y1001" t="s">
        <v>929</v>
      </c>
      <c r="AA1001" t="s">
        <v>55</v>
      </c>
      <c r="AB1001" t="s">
        <v>51</v>
      </c>
      <c r="AC1001" t="s">
        <v>51</v>
      </c>
      <c r="AD1001" t="s">
        <v>51</v>
      </c>
      <c r="AE1001" t="s">
        <v>51</v>
      </c>
      <c r="AF1001" t="s">
        <v>958</v>
      </c>
    </row>
    <row r="1002" spans="1:32" ht="14.5" customHeight="1" x14ac:dyDescent="0.35">
      <c r="A1002" t="s">
        <v>84</v>
      </c>
      <c r="B1002" t="s">
        <v>85</v>
      </c>
      <c r="C1002" t="s">
        <v>929</v>
      </c>
      <c r="D1002">
        <v>3001121</v>
      </c>
      <c r="E1002">
        <v>3100667</v>
      </c>
      <c r="F1002" t="s">
        <v>922</v>
      </c>
      <c r="G1002" t="s">
        <v>922</v>
      </c>
      <c r="H1002" t="s">
        <v>111</v>
      </c>
      <c r="I1002">
        <v>6946878</v>
      </c>
      <c r="J1002" s="12">
        <v>46041</v>
      </c>
      <c r="K1002" s="12">
        <v>46041</v>
      </c>
      <c r="L1002" s="12">
        <v>46041</v>
      </c>
      <c r="M1002">
        <v>91</v>
      </c>
      <c r="N1002">
        <v>-3201614</v>
      </c>
      <c r="O1002">
        <v>-3201614</v>
      </c>
      <c r="P1002">
        <v>0</v>
      </c>
      <c r="Q1002">
        <v>0</v>
      </c>
      <c r="R1002">
        <v>0</v>
      </c>
      <c r="S1002">
        <v>0</v>
      </c>
      <c r="T1002">
        <v>-3201614</v>
      </c>
      <c r="U1002">
        <v>0</v>
      </c>
      <c r="V1002">
        <v>0</v>
      </c>
      <c r="W1002">
        <v>0</v>
      </c>
      <c r="X1002">
        <v>0</v>
      </c>
      <c r="Y1002" t="s">
        <v>929</v>
      </c>
      <c r="AA1002" t="s">
        <v>55</v>
      </c>
      <c r="AB1002" t="s">
        <v>51</v>
      </c>
      <c r="AC1002" t="s">
        <v>51</v>
      </c>
      <c r="AD1002" t="s">
        <v>51</v>
      </c>
      <c r="AE1002" t="s">
        <v>51</v>
      </c>
      <c r="AF1002" t="s">
        <v>959</v>
      </c>
    </row>
    <row r="1003" spans="1:32" ht="14.5" customHeight="1" x14ac:dyDescent="0.35">
      <c r="A1003" t="s">
        <v>84</v>
      </c>
      <c r="B1003" t="s">
        <v>85</v>
      </c>
      <c r="C1003" t="s">
        <v>929</v>
      </c>
      <c r="D1003">
        <v>3001121</v>
      </c>
      <c r="E1003">
        <v>3100667</v>
      </c>
      <c r="F1003" t="s">
        <v>922</v>
      </c>
      <c r="G1003" t="s">
        <v>922</v>
      </c>
      <c r="H1003" t="s">
        <v>111</v>
      </c>
      <c r="I1003">
        <v>6946879</v>
      </c>
      <c r="J1003" s="12">
        <v>46041</v>
      </c>
      <c r="K1003" s="12">
        <v>46041</v>
      </c>
      <c r="L1003" s="12">
        <v>46041</v>
      </c>
      <c r="M1003">
        <v>91</v>
      </c>
      <c r="N1003">
        <v>-3226314</v>
      </c>
      <c r="O1003">
        <v>-3226314</v>
      </c>
      <c r="P1003">
        <v>0</v>
      </c>
      <c r="Q1003">
        <v>0</v>
      </c>
      <c r="R1003">
        <v>0</v>
      </c>
      <c r="S1003">
        <v>0</v>
      </c>
      <c r="T1003">
        <v>-3226314</v>
      </c>
      <c r="U1003">
        <v>0</v>
      </c>
      <c r="V1003">
        <v>0</v>
      </c>
      <c r="W1003">
        <v>0</v>
      </c>
      <c r="X1003">
        <v>0</v>
      </c>
      <c r="Y1003" t="s">
        <v>929</v>
      </c>
      <c r="AA1003" t="s">
        <v>55</v>
      </c>
      <c r="AB1003" t="s">
        <v>51</v>
      </c>
      <c r="AC1003" t="s">
        <v>51</v>
      </c>
      <c r="AD1003" t="s">
        <v>51</v>
      </c>
      <c r="AE1003" t="s">
        <v>51</v>
      </c>
      <c r="AF1003" t="s">
        <v>960</v>
      </c>
    </row>
    <row r="1004" spans="1:32" ht="14.5" customHeight="1" x14ac:dyDescent="0.35">
      <c r="A1004" t="s">
        <v>84</v>
      </c>
      <c r="B1004" t="s">
        <v>85</v>
      </c>
      <c r="C1004" t="s">
        <v>929</v>
      </c>
      <c r="D1004">
        <v>3001121</v>
      </c>
      <c r="E1004">
        <v>3100667</v>
      </c>
      <c r="F1004" t="s">
        <v>922</v>
      </c>
      <c r="G1004" t="s">
        <v>922</v>
      </c>
      <c r="H1004" t="s">
        <v>111</v>
      </c>
      <c r="I1004">
        <v>6946880</v>
      </c>
      <c r="J1004" s="12">
        <v>46041</v>
      </c>
      <c r="K1004" s="12">
        <v>46041</v>
      </c>
      <c r="L1004" s="12">
        <v>46041</v>
      </c>
      <c r="M1004">
        <v>91</v>
      </c>
      <c r="N1004">
        <v>-162121</v>
      </c>
      <c r="O1004">
        <v>-162121</v>
      </c>
      <c r="P1004">
        <v>0</v>
      </c>
      <c r="Q1004">
        <v>0</v>
      </c>
      <c r="R1004">
        <v>0</v>
      </c>
      <c r="S1004">
        <v>0</v>
      </c>
      <c r="T1004">
        <v>-162121</v>
      </c>
      <c r="U1004">
        <v>0</v>
      </c>
      <c r="V1004">
        <v>0</v>
      </c>
      <c r="W1004">
        <v>0</v>
      </c>
      <c r="X1004">
        <v>0</v>
      </c>
      <c r="Y1004" t="s">
        <v>929</v>
      </c>
      <c r="AA1004" t="s">
        <v>55</v>
      </c>
      <c r="AB1004" t="s">
        <v>51</v>
      </c>
      <c r="AC1004" t="s">
        <v>51</v>
      </c>
      <c r="AD1004" t="s">
        <v>51</v>
      </c>
      <c r="AE1004" t="s">
        <v>51</v>
      </c>
      <c r="AF1004" t="s">
        <v>961</v>
      </c>
    </row>
    <row r="1005" spans="1:32" ht="14.5" customHeight="1" x14ac:dyDescent="0.35">
      <c r="A1005" t="s">
        <v>84</v>
      </c>
      <c r="B1005" t="s">
        <v>85</v>
      </c>
      <c r="C1005" t="s">
        <v>929</v>
      </c>
      <c r="D1005">
        <v>3001121</v>
      </c>
      <c r="E1005">
        <v>3100667</v>
      </c>
      <c r="F1005" t="s">
        <v>922</v>
      </c>
      <c r="G1005" t="s">
        <v>922</v>
      </c>
      <c r="H1005" t="s">
        <v>111</v>
      </c>
      <c r="I1005">
        <v>6946881</v>
      </c>
      <c r="J1005" s="12">
        <v>46041</v>
      </c>
      <c r="K1005" s="12">
        <v>46041</v>
      </c>
      <c r="L1005" s="12">
        <v>46041</v>
      </c>
      <c r="M1005">
        <v>91</v>
      </c>
      <c r="N1005">
        <v>-14829306</v>
      </c>
      <c r="O1005">
        <v>-14829306</v>
      </c>
      <c r="P1005">
        <v>0</v>
      </c>
      <c r="Q1005">
        <v>0</v>
      </c>
      <c r="R1005">
        <v>0</v>
      </c>
      <c r="S1005">
        <v>0</v>
      </c>
      <c r="T1005">
        <v>-14829306</v>
      </c>
      <c r="U1005">
        <v>0</v>
      </c>
      <c r="V1005">
        <v>0</v>
      </c>
      <c r="W1005">
        <v>0</v>
      </c>
      <c r="X1005">
        <v>0</v>
      </c>
      <c r="Y1005" t="s">
        <v>929</v>
      </c>
      <c r="AA1005" t="s">
        <v>55</v>
      </c>
      <c r="AB1005" t="s">
        <v>51</v>
      </c>
      <c r="AC1005" t="s">
        <v>51</v>
      </c>
      <c r="AD1005" t="s">
        <v>51</v>
      </c>
      <c r="AE1005" t="s">
        <v>51</v>
      </c>
      <c r="AF1005" t="s">
        <v>962</v>
      </c>
    </row>
    <row r="1006" spans="1:32" ht="14.5" customHeight="1" x14ac:dyDescent="0.35">
      <c r="A1006" t="s">
        <v>84</v>
      </c>
      <c r="B1006" t="s">
        <v>85</v>
      </c>
      <c r="C1006" t="s">
        <v>929</v>
      </c>
      <c r="D1006">
        <v>3001121</v>
      </c>
      <c r="E1006">
        <v>3100667</v>
      </c>
      <c r="F1006" t="s">
        <v>922</v>
      </c>
      <c r="G1006" t="s">
        <v>922</v>
      </c>
      <c r="H1006" t="s">
        <v>111</v>
      </c>
      <c r="I1006">
        <v>6946882</v>
      </c>
      <c r="J1006" s="12">
        <v>46041</v>
      </c>
      <c r="K1006" s="12">
        <v>46041</v>
      </c>
      <c r="L1006" s="12">
        <v>46041</v>
      </c>
      <c r="M1006">
        <v>91</v>
      </c>
      <c r="N1006">
        <v>-9728636</v>
      </c>
      <c r="O1006">
        <v>-9728636</v>
      </c>
      <c r="P1006">
        <v>0</v>
      </c>
      <c r="Q1006">
        <v>0</v>
      </c>
      <c r="R1006">
        <v>0</v>
      </c>
      <c r="S1006">
        <v>0</v>
      </c>
      <c r="T1006">
        <v>-9728636</v>
      </c>
      <c r="U1006">
        <v>0</v>
      </c>
      <c r="V1006">
        <v>0</v>
      </c>
      <c r="W1006">
        <v>0</v>
      </c>
      <c r="X1006">
        <v>0</v>
      </c>
      <c r="Y1006" t="s">
        <v>929</v>
      </c>
      <c r="AA1006" t="s">
        <v>55</v>
      </c>
      <c r="AB1006" t="s">
        <v>51</v>
      </c>
      <c r="AC1006" t="s">
        <v>51</v>
      </c>
      <c r="AD1006" t="s">
        <v>51</v>
      </c>
      <c r="AE1006" t="s">
        <v>51</v>
      </c>
      <c r="AF1006" t="s">
        <v>244</v>
      </c>
    </row>
    <row r="1007" spans="1:32" ht="14.5" customHeight="1" x14ac:dyDescent="0.35">
      <c r="A1007" t="s">
        <v>84</v>
      </c>
      <c r="B1007" t="s">
        <v>85</v>
      </c>
      <c r="C1007" t="s">
        <v>929</v>
      </c>
      <c r="D1007">
        <v>3001121</v>
      </c>
      <c r="E1007">
        <v>3100667</v>
      </c>
      <c r="F1007" t="s">
        <v>922</v>
      </c>
      <c r="G1007" t="s">
        <v>922</v>
      </c>
      <c r="H1007" t="s">
        <v>111</v>
      </c>
      <c r="I1007">
        <v>6946883</v>
      </c>
      <c r="J1007" s="12">
        <v>46041</v>
      </c>
      <c r="K1007" s="12">
        <v>46041</v>
      </c>
      <c r="L1007" s="12">
        <v>46041</v>
      </c>
      <c r="M1007">
        <v>91</v>
      </c>
      <c r="N1007">
        <v>-264242</v>
      </c>
      <c r="O1007">
        <v>-264242</v>
      </c>
      <c r="P1007">
        <v>0</v>
      </c>
      <c r="Q1007">
        <v>0</v>
      </c>
      <c r="R1007">
        <v>0</v>
      </c>
      <c r="S1007">
        <v>0</v>
      </c>
      <c r="T1007">
        <v>-264242</v>
      </c>
      <c r="U1007">
        <v>0</v>
      </c>
      <c r="V1007">
        <v>0</v>
      </c>
      <c r="W1007">
        <v>0</v>
      </c>
      <c r="X1007">
        <v>0</v>
      </c>
      <c r="Y1007" t="s">
        <v>929</v>
      </c>
      <c r="AA1007" t="s">
        <v>55</v>
      </c>
      <c r="AB1007" t="s">
        <v>51</v>
      </c>
      <c r="AC1007" t="s">
        <v>51</v>
      </c>
      <c r="AD1007" t="s">
        <v>51</v>
      </c>
      <c r="AE1007" t="s">
        <v>51</v>
      </c>
      <c r="AF1007" t="s">
        <v>487</v>
      </c>
    </row>
    <row r="1008" spans="1:32" ht="14.5" customHeight="1" x14ac:dyDescent="0.35">
      <c r="A1008" t="s">
        <v>84</v>
      </c>
      <c r="B1008" t="s">
        <v>85</v>
      </c>
      <c r="C1008" t="s">
        <v>47</v>
      </c>
      <c r="D1008">
        <v>3001121</v>
      </c>
      <c r="E1008">
        <v>3001121</v>
      </c>
      <c r="F1008" t="s">
        <v>922</v>
      </c>
      <c r="G1008" t="s">
        <v>922</v>
      </c>
      <c r="H1008" t="s">
        <v>54</v>
      </c>
      <c r="I1008">
        <v>6951217</v>
      </c>
      <c r="J1008" s="12">
        <v>46069</v>
      </c>
      <c r="K1008" s="12">
        <v>46069</v>
      </c>
      <c r="L1008" s="12">
        <v>46069</v>
      </c>
      <c r="M1008">
        <v>63</v>
      </c>
      <c r="N1008">
        <v>-3060000</v>
      </c>
      <c r="O1008">
        <v>-3060000</v>
      </c>
      <c r="P1008">
        <v>0</v>
      </c>
      <c r="Q1008">
        <v>0</v>
      </c>
      <c r="R1008">
        <v>0</v>
      </c>
      <c r="S1008">
        <v>-3060000</v>
      </c>
      <c r="T1008">
        <v>0</v>
      </c>
      <c r="U1008">
        <v>0</v>
      </c>
      <c r="V1008">
        <v>0</v>
      </c>
      <c r="W1008">
        <v>0</v>
      </c>
      <c r="X1008">
        <v>0</v>
      </c>
      <c r="Y1008" t="s">
        <v>548</v>
      </c>
      <c r="AA1008" t="s">
        <v>55</v>
      </c>
      <c r="AB1008" t="s">
        <v>51</v>
      </c>
      <c r="AC1008" t="s">
        <v>51</v>
      </c>
      <c r="AD1008" t="s">
        <v>51</v>
      </c>
      <c r="AE1008" t="s">
        <v>51</v>
      </c>
      <c r="AF1008" t="s">
        <v>963</v>
      </c>
    </row>
    <row r="1009" spans="1:32" ht="14.5" customHeight="1" x14ac:dyDescent="0.35">
      <c r="A1009" t="s">
        <v>84</v>
      </c>
      <c r="B1009" t="s">
        <v>85</v>
      </c>
      <c r="C1009" t="s">
        <v>47</v>
      </c>
      <c r="D1009">
        <v>3001121</v>
      </c>
      <c r="E1009">
        <v>3001121</v>
      </c>
      <c r="F1009" t="s">
        <v>922</v>
      </c>
      <c r="G1009" t="s">
        <v>922</v>
      </c>
      <c r="H1009" t="s">
        <v>54</v>
      </c>
      <c r="I1009">
        <v>6951308</v>
      </c>
      <c r="J1009" s="12">
        <v>46072</v>
      </c>
      <c r="K1009" s="12">
        <v>46072</v>
      </c>
      <c r="L1009" s="12">
        <v>46072</v>
      </c>
      <c r="M1009">
        <v>60</v>
      </c>
      <c r="N1009">
        <v>-18116923</v>
      </c>
      <c r="O1009">
        <v>-18116923</v>
      </c>
      <c r="P1009">
        <v>0</v>
      </c>
      <c r="Q1009">
        <v>0</v>
      </c>
      <c r="R1009">
        <v>-18116923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 t="s">
        <v>548</v>
      </c>
      <c r="AA1009" t="s">
        <v>55</v>
      </c>
      <c r="AB1009" t="s">
        <v>51</v>
      </c>
      <c r="AC1009" t="s">
        <v>51</v>
      </c>
      <c r="AD1009" t="s">
        <v>51</v>
      </c>
      <c r="AE1009" t="s">
        <v>51</v>
      </c>
      <c r="AF1009" t="s">
        <v>106</v>
      </c>
    </row>
    <row r="1010" spans="1:32" ht="14.5" customHeight="1" x14ac:dyDescent="0.35">
      <c r="A1010" t="s">
        <v>84</v>
      </c>
      <c r="B1010" t="s">
        <v>85</v>
      </c>
      <c r="C1010" t="s">
        <v>47</v>
      </c>
      <c r="D1010">
        <v>3001121</v>
      </c>
      <c r="E1010">
        <v>3001121</v>
      </c>
      <c r="F1010" t="s">
        <v>922</v>
      </c>
      <c r="G1010" t="s">
        <v>922</v>
      </c>
      <c r="H1010" t="s">
        <v>54</v>
      </c>
      <c r="I1010">
        <v>6956744</v>
      </c>
      <c r="J1010" s="12">
        <v>46106</v>
      </c>
      <c r="K1010" s="12">
        <v>46106</v>
      </c>
      <c r="L1010" s="12">
        <v>46106</v>
      </c>
      <c r="M1010">
        <v>26</v>
      </c>
      <c r="N1010">
        <v>-1001205</v>
      </c>
      <c r="O1010">
        <v>-1001205</v>
      </c>
      <c r="P1010">
        <v>0</v>
      </c>
      <c r="Q1010">
        <v>-1001205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 t="s">
        <v>548</v>
      </c>
      <c r="AA1010" t="s">
        <v>55</v>
      </c>
      <c r="AB1010" t="s">
        <v>51</v>
      </c>
      <c r="AC1010" t="s">
        <v>51</v>
      </c>
      <c r="AD1010" t="s">
        <v>51</v>
      </c>
      <c r="AE1010" t="s">
        <v>51</v>
      </c>
      <c r="AF1010" t="s">
        <v>964</v>
      </c>
    </row>
    <row r="1011" spans="1:32" ht="14.5" customHeight="1" x14ac:dyDescent="0.35">
      <c r="A1011" t="s">
        <v>84</v>
      </c>
      <c r="B1011" t="s">
        <v>85</v>
      </c>
      <c r="C1011" t="s">
        <v>47</v>
      </c>
      <c r="D1011">
        <v>3001121</v>
      </c>
      <c r="E1011">
        <v>3001121</v>
      </c>
      <c r="F1011" t="s">
        <v>922</v>
      </c>
      <c r="G1011" t="s">
        <v>922</v>
      </c>
      <c r="H1011" t="s">
        <v>54</v>
      </c>
      <c r="I1011">
        <v>6956745</v>
      </c>
      <c r="J1011" s="12">
        <v>46106</v>
      </c>
      <c r="K1011" s="12">
        <v>46106</v>
      </c>
      <c r="L1011" s="12">
        <v>46106</v>
      </c>
      <c r="M1011">
        <v>26</v>
      </c>
      <c r="N1011">
        <v>-832282</v>
      </c>
      <c r="O1011">
        <v>-832282</v>
      </c>
      <c r="P1011">
        <v>0</v>
      </c>
      <c r="Q1011">
        <v>-832282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 t="s">
        <v>548</v>
      </c>
      <c r="AA1011" t="s">
        <v>55</v>
      </c>
      <c r="AB1011" t="s">
        <v>51</v>
      </c>
      <c r="AC1011" t="s">
        <v>51</v>
      </c>
      <c r="AD1011" t="s">
        <v>51</v>
      </c>
      <c r="AE1011" t="s">
        <v>51</v>
      </c>
      <c r="AF1011" t="s">
        <v>964</v>
      </c>
    </row>
    <row r="1012" spans="1:32" ht="14.5" customHeight="1" x14ac:dyDescent="0.35">
      <c r="A1012" t="s">
        <v>84</v>
      </c>
      <c r="B1012" t="s">
        <v>85</v>
      </c>
      <c r="C1012" t="s">
        <v>47</v>
      </c>
      <c r="D1012">
        <v>3001121</v>
      </c>
      <c r="E1012">
        <v>3001121</v>
      </c>
      <c r="F1012" t="s">
        <v>922</v>
      </c>
      <c r="G1012" t="s">
        <v>922</v>
      </c>
      <c r="H1012" t="s">
        <v>54</v>
      </c>
      <c r="I1012">
        <v>6956754</v>
      </c>
      <c r="J1012" s="12">
        <v>46106</v>
      </c>
      <c r="K1012" s="12">
        <v>46106</v>
      </c>
      <c r="L1012" s="12">
        <v>46106</v>
      </c>
      <c r="M1012">
        <v>26</v>
      </c>
      <c r="N1012">
        <v>-285609</v>
      </c>
      <c r="O1012">
        <v>-285609</v>
      </c>
      <c r="P1012">
        <v>0</v>
      </c>
      <c r="Q1012">
        <v>-285609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 t="s">
        <v>548</v>
      </c>
      <c r="AA1012" t="s">
        <v>55</v>
      </c>
      <c r="AB1012" t="s">
        <v>51</v>
      </c>
      <c r="AC1012" t="s">
        <v>51</v>
      </c>
      <c r="AD1012" t="s">
        <v>51</v>
      </c>
      <c r="AE1012" t="s">
        <v>51</v>
      </c>
      <c r="AF1012" t="s">
        <v>964</v>
      </c>
    </row>
    <row r="1013" spans="1:32" ht="14.5" customHeight="1" x14ac:dyDescent="0.35">
      <c r="A1013" t="s">
        <v>84</v>
      </c>
      <c r="B1013" t="s">
        <v>85</v>
      </c>
      <c r="C1013" t="s">
        <v>47</v>
      </c>
      <c r="D1013">
        <v>3001121</v>
      </c>
      <c r="E1013">
        <v>3001121</v>
      </c>
      <c r="F1013" t="s">
        <v>922</v>
      </c>
      <c r="G1013" t="s">
        <v>922</v>
      </c>
      <c r="H1013" t="s">
        <v>54</v>
      </c>
      <c r="I1013">
        <v>6956755</v>
      </c>
      <c r="J1013" s="12">
        <v>46106</v>
      </c>
      <c r="K1013" s="12">
        <v>46106</v>
      </c>
      <c r="L1013" s="12">
        <v>46106</v>
      </c>
      <c r="M1013">
        <v>26</v>
      </c>
      <c r="N1013">
        <v>-282718</v>
      </c>
      <c r="O1013">
        <v>-282718</v>
      </c>
      <c r="P1013">
        <v>0</v>
      </c>
      <c r="Q1013">
        <v>-282718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 t="s">
        <v>548</v>
      </c>
      <c r="AA1013" t="s">
        <v>55</v>
      </c>
      <c r="AB1013" t="s">
        <v>51</v>
      </c>
      <c r="AC1013" t="s">
        <v>51</v>
      </c>
      <c r="AD1013" t="s">
        <v>51</v>
      </c>
      <c r="AE1013" t="s">
        <v>51</v>
      </c>
      <c r="AF1013" t="s">
        <v>964</v>
      </c>
    </row>
    <row r="1014" spans="1:32" ht="14.5" customHeight="1" x14ac:dyDescent="0.35">
      <c r="A1014" t="s">
        <v>84</v>
      </c>
      <c r="B1014" t="s">
        <v>85</v>
      </c>
      <c r="C1014" t="s">
        <v>47</v>
      </c>
      <c r="D1014">
        <v>3001121</v>
      </c>
      <c r="E1014">
        <v>3001121</v>
      </c>
      <c r="F1014" t="s">
        <v>922</v>
      </c>
      <c r="G1014" t="s">
        <v>922</v>
      </c>
      <c r="H1014" t="s">
        <v>54</v>
      </c>
      <c r="I1014">
        <v>6956756</v>
      </c>
      <c r="J1014" s="12">
        <v>46106</v>
      </c>
      <c r="K1014" s="12">
        <v>46106</v>
      </c>
      <c r="L1014" s="12">
        <v>46106</v>
      </c>
      <c r="M1014">
        <v>26</v>
      </c>
      <c r="N1014">
        <v>-149762</v>
      </c>
      <c r="O1014">
        <v>-149762</v>
      </c>
      <c r="P1014">
        <v>0</v>
      </c>
      <c r="Q1014">
        <v>-149762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 t="s">
        <v>548</v>
      </c>
      <c r="AA1014" t="s">
        <v>55</v>
      </c>
      <c r="AB1014" t="s">
        <v>51</v>
      </c>
      <c r="AC1014" t="s">
        <v>51</v>
      </c>
      <c r="AD1014" t="s">
        <v>51</v>
      </c>
      <c r="AE1014" t="s">
        <v>51</v>
      </c>
      <c r="AF1014" t="s">
        <v>964</v>
      </c>
    </row>
    <row r="1015" spans="1:32" ht="14.5" customHeight="1" x14ac:dyDescent="0.35">
      <c r="A1015" t="s">
        <v>84</v>
      </c>
      <c r="B1015" t="s">
        <v>85</v>
      </c>
      <c r="C1015" t="s">
        <v>47</v>
      </c>
      <c r="D1015">
        <v>3001121</v>
      </c>
      <c r="E1015">
        <v>3001121</v>
      </c>
      <c r="F1015" t="s">
        <v>922</v>
      </c>
      <c r="G1015" t="s">
        <v>922</v>
      </c>
      <c r="H1015" t="s">
        <v>54</v>
      </c>
      <c r="I1015">
        <v>6956757</v>
      </c>
      <c r="J1015" s="12">
        <v>46106</v>
      </c>
      <c r="K1015" s="12">
        <v>46106</v>
      </c>
      <c r="L1015" s="12">
        <v>46106</v>
      </c>
      <c r="M1015">
        <v>26</v>
      </c>
      <c r="N1015">
        <v>-230234</v>
      </c>
      <c r="O1015">
        <v>-230234</v>
      </c>
      <c r="P1015">
        <v>0</v>
      </c>
      <c r="Q1015">
        <v>-230234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 t="s">
        <v>548</v>
      </c>
      <c r="AA1015" t="s">
        <v>55</v>
      </c>
      <c r="AB1015" t="s">
        <v>51</v>
      </c>
      <c r="AC1015" t="s">
        <v>51</v>
      </c>
      <c r="AD1015" t="s">
        <v>51</v>
      </c>
      <c r="AE1015" t="s">
        <v>51</v>
      </c>
      <c r="AF1015" t="s">
        <v>964</v>
      </c>
    </row>
    <row r="1016" spans="1:32" ht="14.5" customHeight="1" x14ac:dyDescent="0.35">
      <c r="A1016" t="s">
        <v>84</v>
      </c>
      <c r="B1016" t="s">
        <v>85</v>
      </c>
      <c r="C1016" t="s">
        <v>47</v>
      </c>
      <c r="D1016">
        <v>3001121</v>
      </c>
      <c r="E1016">
        <v>3001121</v>
      </c>
      <c r="F1016" t="s">
        <v>922</v>
      </c>
      <c r="G1016" t="s">
        <v>922</v>
      </c>
      <c r="H1016" t="s">
        <v>54</v>
      </c>
      <c r="I1016">
        <v>6956784</v>
      </c>
      <c r="J1016" s="12">
        <v>46106</v>
      </c>
      <c r="K1016" s="12">
        <v>46106</v>
      </c>
      <c r="L1016" s="12">
        <v>46106</v>
      </c>
      <c r="M1016">
        <v>26</v>
      </c>
      <c r="N1016">
        <v>-369715</v>
      </c>
      <c r="O1016">
        <v>-369715</v>
      </c>
      <c r="P1016">
        <v>0</v>
      </c>
      <c r="Q1016">
        <v>-369715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 t="s">
        <v>548</v>
      </c>
      <c r="AA1016" t="s">
        <v>55</v>
      </c>
      <c r="AB1016" t="s">
        <v>51</v>
      </c>
      <c r="AC1016" t="s">
        <v>51</v>
      </c>
      <c r="AD1016" t="s">
        <v>51</v>
      </c>
      <c r="AE1016" t="s">
        <v>51</v>
      </c>
      <c r="AF1016" t="s">
        <v>964</v>
      </c>
    </row>
    <row r="1017" spans="1:32" ht="14.5" customHeight="1" x14ac:dyDescent="0.35">
      <c r="A1017" t="s">
        <v>84</v>
      </c>
      <c r="B1017" t="s">
        <v>85</v>
      </c>
      <c r="C1017" t="s">
        <v>47</v>
      </c>
      <c r="D1017">
        <v>3001121</v>
      </c>
      <c r="E1017">
        <v>3001121</v>
      </c>
      <c r="F1017" t="s">
        <v>922</v>
      </c>
      <c r="G1017" t="s">
        <v>922</v>
      </c>
      <c r="H1017" t="s">
        <v>54</v>
      </c>
      <c r="I1017">
        <v>6956785</v>
      </c>
      <c r="J1017" s="12">
        <v>46106</v>
      </c>
      <c r="K1017" s="12">
        <v>46106</v>
      </c>
      <c r="L1017" s="12">
        <v>46106</v>
      </c>
      <c r="M1017">
        <v>26</v>
      </c>
      <c r="N1017">
        <v>-445645</v>
      </c>
      <c r="O1017">
        <v>-445645</v>
      </c>
      <c r="P1017">
        <v>0</v>
      </c>
      <c r="Q1017">
        <v>-445645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 t="s">
        <v>548</v>
      </c>
      <c r="AA1017" t="s">
        <v>55</v>
      </c>
      <c r="AB1017" t="s">
        <v>51</v>
      </c>
      <c r="AC1017" t="s">
        <v>51</v>
      </c>
      <c r="AD1017" t="s">
        <v>51</v>
      </c>
      <c r="AE1017" t="s">
        <v>51</v>
      </c>
      <c r="AF1017" t="s">
        <v>964</v>
      </c>
    </row>
    <row r="1018" spans="1:32" ht="14.5" customHeight="1" x14ac:dyDescent="0.35">
      <c r="A1018" t="s">
        <v>84</v>
      </c>
      <c r="B1018" t="s">
        <v>85</v>
      </c>
      <c r="C1018" t="s">
        <v>47</v>
      </c>
      <c r="D1018">
        <v>3001121</v>
      </c>
      <c r="E1018">
        <v>3001121</v>
      </c>
      <c r="F1018" t="s">
        <v>922</v>
      </c>
      <c r="G1018" t="s">
        <v>922</v>
      </c>
      <c r="H1018" t="s">
        <v>54</v>
      </c>
      <c r="I1018">
        <v>6957321</v>
      </c>
      <c r="J1018" s="12">
        <v>46106</v>
      </c>
      <c r="K1018" s="12">
        <v>46106</v>
      </c>
      <c r="L1018" s="12">
        <v>46106</v>
      </c>
      <c r="M1018">
        <v>26</v>
      </c>
      <c r="N1018">
        <v>-4905000</v>
      </c>
      <c r="O1018">
        <v>-4905000</v>
      </c>
      <c r="P1018">
        <v>0</v>
      </c>
      <c r="Q1018">
        <v>-4905000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 t="s">
        <v>548</v>
      </c>
      <c r="AA1018" t="s">
        <v>55</v>
      </c>
      <c r="AB1018" t="s">
        <v>51</v>
      </c>
      <c r="AC1018" t="s">
        <v>51</v>
      </c>
      <c r="AD1018" t="s">
        <v>51</v>
      </c>
      <c r="AE1018" t="s">
        <v>51</v>
      </c>
      <c r="AF1018" t="s">
        <v>965</v>
      </c>
    </row>
    <row r="1019" spans="1:32" ht="14.5" customHeight="1" x14ac:dyDescent="0.35">
      <c r="A1019" t="s">
        <v>84</v>
      </c>
      <c r="B1019" t="s">
        <v>85</v>
      </c>
      <c r="C1019" t="s">
        <v>47</v>
      </c>
      <c r="D1019">
        <v>3001121</v>
      </c>
      <c r="E1019">
        <v>3001121</v>
      </c>
      <c r="F1019" t="s">
        <v>922</v>
      </c>
      <c r="G1019" t="s">
        <v>922</v>
      </c>
      <c r="H1019" t="s">
        <v>54</v>
      </c>
      <c r="I1019">
        <v>6957322</v>
      </c>
      <c r="J1019" s="12">
        <v>46106</v>
      </c>
      <c r="K1019" s="12">
        <v>46106</v>
      </c>
      <c r="L1019" s="12">
        <v>46106</v>
      </c>
      <c r="M1019">
        <v>26</v>
      </c>
      <c r="N1019">
        <v>-10900000</v>
      </c>
      <c r="O1019">
        <v>-10900000</v>
      </c>
      <c r="P1019">
        <v>0</v>
      </c>
      <c r="Q1019">
        <v>-10900000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 t="s">
        <v>548</v>
      </c>
      <c r="AA1019" t="s">
        <v>55</v>
      </c>
      <c r="AB1019" t="s">
        <v>51</v>
      </c>
      <c r="AC1019" t="s">
        <v>51</v>
      </c>
      <c r="AD1019" t="s">
        <v>51</v>
      </c>
      <c r="AE1019" t="s">
        <v>51</v>
      </c>
      <c r="AF1019" t="s">
        <v>966</v>
      </c>
    </row>
    <row r="1020" spans="1:32" ht="14.5" customHeight="1" x14ac:dyDescent="0.35">
      <c r="A1020" t="s">
        <v>84</v>
      </c>
      <c r="B1020" t="s">
        <v>85</v>
      </c>
      <c r="C1020" t="s">
        <v>47</v>
      </c>
      <c r="D1020">
        <v>3001121</v>
      </c>
      <c r="E1020">
        <v>3001121</v>
      </c>
      <c r="F1020" t="s">
        <v>922</v>
      </c>
      <c r="G1020" t="s">
        <v>922</v>
      </c>
      <c r="H1020" t="s">
        <v>54</v>
      </c>
      <c r="I1020">
        <v>6957323</v>
      </c>
      <c r="J1020" s="12">
        <v>46106</v>
      </c>
      <c r="K1020" s="12">
        <v>46106</v>
      </c>
      <c r="L1020" s="12">
        <v>46106</v>
      </c>
      <c r="M1020">
        <v>26</v>
      </c>
      <c r="N1020">
        <v>-12120000</v>
      </c>
      <c r="O1020">
        <v>-12120000</v>
      </c>
      <c r="P1020">
        <v>0</v>
      </c>
      <c r="Q1020">
        <v>-12120000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 t="s">
        <v>548</v>
      </c>
      <c r="AA1020" t="s">
        <v>55</v>
      </c>
      <c r="AB1020" t="s">
        <v>51</v>
      </c>
      <c r="AC1020" t="s">
        <v>51</v>
      </c>
      <c r="AD1020" t="s">
        <v>51</v>
      </c>
      <c r="AE1020" t="s">
        <v>51</v>
      </c>
      <c r="AF1020" t="s">
        <v>967</v>
      </c>
    </row>
    <row r="1021" spans="1:32" ht="14.5" customHeight="1" x14ac:dyDescent="0.35">
      <c r="A1021" t="s">
        <v>84</v>
      </c>
      <c r="B1021" t="s">
        <v>85</v>
      </c>
      <c r="C1021" t="s">
        <v>47</v>
      </c>
      <c r="D1021">
        <v>3001121</v>
      </c>
      <c r="E1021">
        <v>3001121</v>
      </c>
      <c r="F1021" t="s">
        <v>922</v>
      </c>
      <c r="G1021" t="s">
        <v>922</v>
      </c>
      <c r="H1021" t="s">
        <v>54</v>
      </c>
      <c r="I1021">
        <v>6958349</v>
      </c>
      <c r="J1021" s="12">
        <v>46120</v>
      </c>
      <c r="K1021" s="12">
        <v>46120</v>
      </c>
      <c r="L1021" s="12">
        <v>46120</v>
      </c>
      <c r="M1021">
        <v>12</v>
      </c>
      <c r="N1021">
        <v>-1286089</v>
      </c>
      <c r="O1021">
        <v>-1286089</v>
      </c>
      <c r="P1021">
        <v>0</v>
      </c>
      <c r="Q1021">
        <v>-1286089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 t="s">
        <v>548</v>
      </c>
      <c r="AA1021" t="s">
        <v>55</v>
      </c>
      <c r="AB1021" t="s">
        <v>51</v>
      </c>
      <c r="AC1021" t="s">
        <v>51</v>
      </c>
      <c r="AD1021" t="s">
        <v>51</v>
      </c>
      <c r="AE1021" t="s">
        <v>51</v>
      </c>
      <c r="AF1021" t="s">
        <v>964</v>
      </c>
    </row>
    <row r="1022" spans="1:32" ht="14.5" customHeight="1" x14ac:dyDescent="0.35">
      <c r="A1022" t="s">
        <v>84</v>
      </c>
      <c r="B1022" t="s">
        <v>85</v>
      </c>
      <c r="C1022" t="s">
        <v>47</v>
      </c>
      <c r="D1022">
        <v>3001121</v>
      </c>
      <c r="E1022">
        <v>3001121</v>
      </c>
      <c r="F1022" t="s">
        <v>922</v>
      </c>
      <c r="G1022" t="s">
        <v>922</v>
      </c>
      <c r="H1022" t="s">
        <v>54</v>
      </c>
      <c r="I1022">
        <v>6958350</v>
      </c>
      <c r="J1022" s="12">
        <v>46120</v>
      </c>
      <c r="K1022" s="12">
        <v>46120</v>
      </c>
      <c r="L1022" s="12">
        <v>46120</v>
      </c>
      <c r="M1022">
        <v>12</v>
      </c>
      <c r="N1022">
        <v>-265180</v>
      </c>
      <c r="O1022">
        <v>-265180</v>
      </c>
      <c r="P1022">
        <v>0</v>
      </c>
      <c r="Q1022">
        <v>-265180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 t="s">
        <v>548</v>
      </c>
      <c r="AA1022" t="s">
        <v>55</v>
      </c>
      <c r="AB1022" t="s">
        <v>51</v>
      </c>
      <c r="AC1022" t="s">
        <v>51</v>
      </c>
      <c r="AD1022" t="s">
        <v>51</v>
      </c>
      <c r="AE1022" t="s">
        <v>51</v>
      </c>
      <c r="AF1022" t="s">
        <v>964</v>
      </c>
    </row>
    <row r="1023" spans="1:32" ht="14.5" customHeight="1" x14ac:dyDescent="0.35">
      <c r="A1023" t="s">
        <v>84</v>
      </c>
      <c r="B1023" t="s">
        <v>85</v>
      </c>
      <c r="C1023" t="s">
        <v>47</v>
      </c>
      <c r="D1023">
        <v>3001121</v>
      </c>
      <c r="E1023">
        <v>3001121</v>
      </c>
      <c r="F1023" t="s">
        <v>922</v>
      </c>
      <c r="G1023" t="s">
        <v>922</v>
      </c>
      <c r="H1023" t="s">
        <v>54</v>
      </c>
      <c r="I1023">
        <v>6959446</v>
      </c>
      <c r="J1023" s="12">
        <v>46127</v>
      </c>
      <c r="K1023" s="12">
        <v>46127</v>
      </c>
      <c r="L1023" s="12">
        <v>46127</v>
      </c>
      <c r="M1023">
        <v>5</v>
      </c>
      <c r="N1023">
        <v>-9810000</v>
      </c>
      <c r="O1023">
        <v>-9810000</v>
      </c>
      <c r="P1023">
        <v>0</v>
      </c>
      <c r="Q1023">
        <v>-9810000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 t="s">
        <v>548</v>
      </c>
      <c r="AA1023" t="s">
        <v>55</v>
      </c>
      <c r="AB1023" t="s">
        <v>51</v>
      </c>
      <c r="AC1023" t="s">
        <v>51</v>
      </c>
      <c r="AD1023" t="s">
        <v>51</v>
      </c>
      <c r="AE1023" t="s">
        <v>51</v>
      </c>
      <c r="AF1023" t="s">
        <v>965</v>
      </c>
    </row>
    <row r="1024" spans="1:32" ht="14.5" customHeight="1" x14ac:dyDescent="0.35">
      <c r="A1024" t="s">
        <v>84</v>
      </c>
      <c r="B1024" t="s">
        <v>85</v>
      </c>
      <c r="C1024" t="s">
        <v>47</v>
      </c>
      <c r="D1024">
        <v>3001121</v>
      </c>
      <c r="E1024">
        <v>3001121</v>
      </c>
      <c r="F1024" t="s">
        <v>922</v>
      </c>
      <c r="G1024" t="s">
        <v>922</v>
      </c>
      <c r="H1024" t="s">
        <v>140</v>
      </c>
      <c r="I1024">
        <v>9905775</v>
      </c>
      <c r="J1024" s="12">
        <v>46072</v>
      </c>
      <c r="K1024" s="12">
        <v>46072</v>
      </c>
      <c r="L1024" s="12">
        <v>46117</v>
      </c>
      <c r="M1024">
        <v>15</v>
      </c>
      <c r="N1024">
        <v>270722</v>
      </c>
      <c r="O1024">
        <v>0</v>
      </c>
      <c r="P1024">
        <v>0</v>
      </c>
      <c r="Q1024">
        <v>270722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 t="s">
        <v>548</v>
      </c>
      <c r="AA1024" t="s">
        <v>55</v>
      </c>
      <c r="AB1024" t="s">
        <v>51</v>
      </c>
      <c r="AC1024" t="s">
        <v>51</v>
      </c>
      <c r="AD1024" t="s">
        <v>51</v>
      </c>
      <c r="AE1024" t="s">
        <v>51</v>
      </c>
      <c r="AF1024" t="s">
        <v>797</v>
      </c>
    </row>
    <row r="1025" spans="1:32" ht="14.5" customHeight="1" x14ac:dyDescent="0.35">
      <c r="A1025" t="s">
        <v>498</v>
      </c>
      <c r="B1025" t="s">
        <v>968</v>
      </c>
      <c r="C1025" t="s">
        <v>47</v>
      </c>
      <c r="D1025">
        <v>3001123</v>
      </c>
      <c r="E1025">
        <v>3001123</v>
      </c>
      <c r="F1025" t="s">
        <v>969</v>
      </c>
      <c r="G1025" t="s">
        <v>969</v>
      </c>
      <c r="H1025" t="s">
        <v>54</v>
      </c>
      <c r="I1025">
        <v>6957718</v>
      </c>
      <c r="J1025" s="12">
        <v>46112</v>
      </c>
      <c r="K1025" s="12">
        <v>46112</v>
      </c>
      <c r="L1025" s="12">
        <v>46112</v>
      </c>
      <c r="M1025">
        <v>20</v>
      </c>
      <c r="N1025">
        <v>-5475799</v>
      </c>
      <c r="O1025">
        <v>-5475799</v>
      </c>
      <c r="P1025">
        <v>0</v>
      </c>
      <c r="Q1025">
        <v>-5475799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 t="s">
        <v>548</v>
      </c>
      <c r="AA1025" t="s">
        <v>55</v>
      </c>
      <c r="AB1025" t="s">
        <v>51</v>
      </c>
      <c r="AC1025" t="s">
        <v>51</v>
      </c>
      <c r="AD1025" t="s">
        <v>51</v>
      </c>
      <c r="AE1025" t="s">
        <v>51</v>
      </c>
      <c r="AF1025" t="s">
        <v>970</v>
      </c>
    </row>
    <row r="1026" spans="1:32" ht="14.5" customHeight="1" x14ac:dyDescent="0.35">
      <c r="A1026" t="s">
        <v>498</v>
      </c>
      <c r="B1026" t="s">
        <v>968</v>
      </c>
      <c r="C1026" t="s">
        <v>47</v>
      </c>
      <c r="D1026">
        <v>3001123</v>
      </c>
      <c r="E1026">
        <v>3001123</v>
      </c>
      <c r="F1026" t="s">
        <v>969</v>
      </c>
      <c r="G1026" t="s">
        <v>969</v>
      </c>
      <c r="H1026" t="s">
        <v>54</v>
      </c>
      <c r="I1026">
        <v>6959316</v>
      </c>
      <c r="J1026" s="12">
        <v>46126</v>
      </c>
      <c r="K1026" s="12">
        <v>46126</v>
      </c>
      <c r="L1026" s="12">
        <v>46126</v>
      </c>
      <c r="M1026">
        <v>6</v>
      </c>
      <c r="N1026">
        <v>-344245</v>
      </c>
      <c r="O1026">
        <v>-344245</v>
      </c>
      <c r="P1026">
        <v>0</v>
      </c>
      <c r="Q1026">
        <v>-344245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 t="s">
        <v>548</v>
      </c>
      <c r="AA1026" t="s">
        <v>55</v>
      </c>
      <c r="AB1026" t="s">
        <v>51</v>
      </c>
      <c r="AC1026" t="s">
        <v>51</v>
      </c>
      <c r="AD1026" t="s">
        <v>51</v>
      </c>
      <c r="AE1026" t="s">
        <v>51</v>
      </c>
      <c r="AF1026" t="s">
        <v>971</v>
      </c>
    </row>
    <row r="1027" spans="1:32" ht="14.5" customHeight="1" x14ac:dyDescent="0.35">
      <c r="A1027" t="s">
        <v>498</v>
      </c>
      <c r="B1027" t="s">
        <v>968</v>
      </c>
      <c r="C1027" t="s">
        <v>846</v>
      </c>
      <c r="D1027">
        <v>3001123</v>
      </c>
      <c r="E1027">
        <v>3001123</v>
      </c>
      <c r="F1027" t="s">
        <v>969</v>
      </c>
      <c r="G1027" t="s">
        <v>969</v>
      </c>
      <c r="H1027" t="s">
        <v>54</v>
      </c>
      <c r="I1027">
        <v>9910707</v>
      </c>
      <c r="J1027" s="12">
        <v>46081</v>
      </c>
      <c r="K1027" s="12">
        <v>46081</v>
      </c>
      <c r="L1027" s="12">
        <v>46140</v>
      </c>
      <c r="M1027">
        <v>-8</v>
      </c>
      <c r="N1027">
        <v>391661751</v>
      </c>
      <c r="O1027">
        <v>0</v>
      </c>
      <c r="P1027">
        <v>391661751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 t="s">
        <v>548</v>
      </c>
      <c r="AA1027" t="s">
        <v>55</v>
      </c>
      <c r="AB1027" t="s">
        <v>51</v>
      </c>
      <c r="AC1027" t="s">
        <v>51</v>
      </c>
      <c r="AD1027" t="s">
        <v>972</v>
      </c>
      <c r="AE1027" t="s">
        <v>51</v>
      </c>
      <c r="AF1027" t="s">
        <v>195</v>
      </c>
    </row>
    <row r="1028" spans="1:32" ht="14.5" customHeight="1" x14ac:dyDescent="0.35">
      <c r="A1028" t="s">
        <v>498</v>
      </c>
      <c r="B1028" t="s">
        <v>968</v>
      </c>
      <c r="C1028" t="s">
        <v>846</v>
      </c>
      <c r="D1028">
        <v>3001123</v>
      </c>
      <c r="E1028">
        <v>3001123</v>
      </c>
      <c r="F1028" t="s">
        <v>969</v>
      </c>
      <c r="G1028" t="s">
        <v>969</v>
      </c>
      <c r="H1028" t="s">
        <v>54</v>
      </c>
      <c r="I1028">
        <v>9910708</v>
      </c>
      <c r="J1028" s="12">
        <v>46081</v>
      </c>
      <c r="K1028" s="12">
        <v>46081</v>
      </c>
      <c r="L1028" s="12">
        <v>46140</v>
      </c>
      <c r="M1028">
        <v>-8</v>
      </c>
      <c r="N1028">
        <v>412576977</v>
      </c>
      <c r="O1028">
        <v>0</v>
      </c>
      <c r="P1028">
        <v>412576977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 t="s">
        <v>548</v>
      </c>
      <c r="AA1028" t="s">
        <v>55</v>
      </c>
      <c r="AB1028" t="s">
        <v>51</v>
      </c>
      <c r="AC1028" t="s">
        <v>51</v>
      </c>
      <c r="AD1028" t="s">
        <v>973</v>
      </c>
      <c r="AE1028" t="s">
        <v>51</v>
      </c>
      <c r="AF1028" t="s">
        <v>206</v>
      </c>
    </row>
    <row r="1029" spans="1:32" ht="14.5" customHeight="1" x14ac:dyDescent="0.35">
      <c r="A1029" t="s">
        <v>498</v>
      </c>
      <c r="B1029" t="s">
        <v>968</v>
      </c>
      <c r="C1029" t="s">
        <v>846</v>
      </c>
      <c r="D1029">
        <v>3001123</v>
      </c>
      <c r="E1029">
        <v>3001123</v>
      </c>
      <c r="F1029" t="s">
        <v>969</v>
      </c>
      <c r="G1029" t="s">
        <v>969</v>
      </c>
      <c r="H1029" t="s">
        <v>54</v>
      </c>
      <c r="I1029">
        <v>9914858</v>
      </c>
      <c r="J1029" s="12">
        <v>46094</v>
      </c>
      <c r="K1029" s="12">
        <v>46094</v>
      </c>
      <c r="L1029" s="12">
        <v>46153</v>
      </c>
      <c r="M1029">
        <v>-21</v>
      </c>
      <c r="N1029">
        <v>528786950</v>
      </c>
      <c r="O1029">
        <v>0</v>
      </c>
      <c r="P1029">
        <v>528786950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 t="s">
        <v>548</v>
      </c>
      <c r="AA1029" t="s">
        <v>55</v>
      </c>
      <c r="AB1029" t="s">
        <v>51</v>
      </c>
      <c r="AC1029" t="s">
        <v>51</v>
      </c>
      <c r="AD1029" t="s">
        <v>51</v>
      </c>
      <c r="AE1029" t="s">
        <v>974</v>
      </c>
      <c r="AF1029" t="s">
        <v>975</v>
      </c>
    </row>
    <row r="1030" spans="1:32" ht="14.5" customHeight="1" x14ac:dyDescent="0.35">
      <c r="A1030" t="s">
        <v>498</v>
      </c>
      <c r="B1030" t="s">
        <v>968</v>
      </c>
      <c r="C1030" t="s">
        <v>846</v>
      </c>
      <c r="D1030">
        <v>3001123</v>
      </c>
      <c r="E1030">
        <v>3001123</v>
      </c>
      <c r="F1030" t="s">
        <v>969</v>
      </c>
      <c r="G1030" t="s">
        <v>969</v>
      </c>
      <c r="H1030" t="s">
        <v>54</v>
      </c>
      <c r="I1030">
        <v>9914859</v>
      </c>
      <c r="J1030" s="12">
        <v>46094</v>
      </c>
      <c r="K1030" s="12">
        <v>46094</v>
      </c>
      <c r="L1030" s="12">
        <v>46153</v>
      </c>
      <c r="M1030">
        <v>-21</v>
      </c>
      <c r="N1030">
        <v>450374</v>
      </c>
      <c r="O1030">
        <v>0</v>
      </c>
      <c r="P1030">
        <v>450374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 t="s">
        <v>548</v>
      </c>
      <c r="AA1030" t="s">
        <v>55</v>
      </c>
      <c r="AB1030" t="s">
        <v>51</v>
      </c>
      <c r="AC1030" t="s">
        <v>51</v>
      </c>
      <c r="AD1030" t="s">
        <v>51</v>
      </c>
      <c r="AE1030" t="s">
        <v>976</v>
      </c>
      <c r="AF1030" t="s">
        <v>64</v>
      </c>
    </row>
    <row r="1031" spans="1:32" ht="14.5" customHeight="1" x14ac:dyDescent="0.35">
      <c r="A1031" t="s">
        <v>498</v>
      </c>
      <c r="B1031" t="s">
        <v>968</v>
      </c>
      <c r="C1031" t="s">
        <v>846</v>
      </c>
      <c r="D1031">
        <v>3001123</v>
      </c>
      <c r="E1031">
        <v>3001123</v>
      </c>
      <c r="F1031" t="s">
        <v>969</v>
      </c>
      <c r="G1031" t="s">
        <v>969</v>
      </c>
      <c r="H1031" t="s">
        <v>54</v>
      </c>
      <c r="I1031">
        <v>9916590</v>
      </c>
      <c r="J1031" s="12">
        <v>46098</v>
      </c>
      <c r="K1031" s="12">
        <v>46098</v>
      </c>
      <c r="L1031" s="12">
        <v>46157</v>
      </c>
      <c r="M1031">
        <v>-25</v>
      </c>
      <c r="N1031">
        <v>521307373</v>
      </c>
      <c r="O1031">
        <v>0</v>
      </c>
      <c r="P1031">
        <v>521307373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 t="s">
        <v>548</v>
      </c>
      <c r="AA1031" t="s">
        <v>55</v>
      </c>
      <c r="AB1031" t="s">
        <v>51</v>
      </c>
      <c r="AC1031" t="s">
        <v>51</v>
      </c>
      <c r="AD1031" t="s">
        <v>51</v>
      </c>
      <c r="AE1031" t="s">
        <v>977</v>
      </c>
      <c r="AF1031" t="s">
        <v>62</v>
      </c>
    </row>
    <row r="1032" spans="1:32" ht="14.5" customHeight="1" x14ac:dyDescent="0.35">
      <c r="A1032" t="s">
        <v>175</v>
      </c>
      <c r="B1032" t="s">
        <v>176</v>
      </c>
      <c r="C1032" t="s">
        <v>47</v>
      </c>
      <c r="D1032">
        <v>3001127</v>
      </c>
      <c r="E1032">
        <v>3001127</v>
      </c>
      <c r="F1032" t="s">
        <v>978</v>
      </c>
      <c r="G1032" t="s">
        <v>978</v>
      </c>
      <c r="H1032" t="s">
        <v>54</v>
      </c>
      <c r="I1032">
        <v>6955579</v>
      </c>
      <c r="J1032" s="12">
        <v>46095</v>
      </c>
      <c r="K1032" s="12">
        <v>46095</v>
      </c>
      <c r="L1032" s="12">
        <v>46095</v>
      </c>
      <c r="M1032">
        <v>37</v>
      </c>
      <c r="N1032">
        <v>-90077692</v>
      </c>
      <c r="O1032">
        <v>-90077692</v>
      </c>
      <c r="P1032">
        <v>0</v>
      </c>
      <c r="Q1032">
        <v>0</v>
      </c>
      <c r="R1032">
        <v>-90077692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 t="s">
        <v>548</v>
      </c>
      <c r="AA1032" t="s">
        <v>55</v>
      </c>
      <c r="AB1032" t="s">
        <v>51</v>
      </c>
      <c r="AC1032" t="s">
        <v>51</v>
      </c>
      <c r="AD1032" t="s">
        <v>51</v>
      </c>
      <c r="AE1032" t="s">
        <v>51</v>
      </c>
      <c r="AF1032" t="s">
        <v>56</v>
      </c>
    </row>
    <row r="1033" spans="1:32" ht="14.5" customHeight="1" x14ac:dyDescent="0.35">
      <c r="A1033" t="s">
        <v>175</v>
      </c>
      <c r="B1033" t="s">
        <v>176</v>
      </c>
      <c r="C1033" t="s">
        <v>47</v>
      </c>
      <c r="D1033">
        <v>3001127</v>
      </c>
      <c r="E1033">
        <v>3001127</v>
      </c>
      <c r="F1033" t="s">
        <v>978</v>
      </c>
      <c r="G1033" t="s">
        <v>978</v>
      </c>
      <c r="H1033" t="s">
        <v>54</v>
      </c>
      <c r="I1033">
        <v>6955580</v>
      </c>
      <c r="J1033" s="12">
        <v>46095</v>
      </c>
      <c r="K1033" s="12">
        <v>46095</v>
      </c>
      <c r="L1033" s="12">
        <v>46095</v>
      </c>
      <c r="M1033">
        <v>37</v>
      </c>
      <c r="N1033">
        <v>-1800000</v>
      </c>
      <c r="O1033">
        <v>-1800000</v>
      </c>
      <c r="P1033">
        <v>0</v>
      </c>
      <c r="Q1033">
        <v>0</v>
      </c>
      <c r="R1033">
        <v>-1800000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 t="s">
        <v>548</v>
      </c>
      <c r="AA1033" t="s">
        <v>55</v>
      </c>
      <c r="AB1033" t="s">
        <v>51</v>
      </c>
      <c r="AC1033" t="s">
        <v>51</v>
      </c>
      <c r="AD1033" t="s">
        <v>51</v>
      </c>
      <c r="AE1033" t="s">
        <v>51</v>
      </c>
      <c r="AF1033" t="s">
        <v>979</v>
      </c>
    </row>
    <row r="1034" spans="1:32" ht="14.5" customHeight="1" x14ac:dyDescent="0.35">
      <c r="A1034" t="s">
        <v>175</v>
      </c>
      <c r="B1034" t="s">
        <v>176</v>
      </c>
      <c r="C1034" t="s">
        <v>47</v>
      </c>
      <c r="D1034">
        <v>3001127</v>
      </c>
      <c r="E1034">
        <v>3001127</v>
      </c>
      <c r="F1034" t="s">
        <v>978</v>
      </c>
      <c r="G1034" t="s">
        <v>978</v>
      </c>
      <c r="H1034" t="s">
        <v>54</v>
      </c>
      <c r="I1034">
        <v>6955709</v>
      </c>
      <c r="J1034" s="12">
        <v>46095</v>
      </c>
      <c r="K1034" s="12">
        <v>46095</v>
      </c>
      <c r="L1034" s="12">
        <v>46095</v>
      </c>
      <c r="M1034">
        <v>37</v>
      </c>
      <c r="N1034">
        <v>-3270000</v>
      </c>
      <c r="O1034">
        <v>-3270000</v>
      </c>
      <c r="P1034">
        <v>0</v>
      </c>
      <c r="Q1034">
        <v>0</v>
      </c>
      <c r="R1034">
        <v>-3270000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 t="s">
        <v>548</v>
      </c>
      <c r="AA1034" t="s">
        <v>55</v>
      </c>
      <c r="AB1034" t="s">
        <v>51</v>
      </c>
      <c r="AC1034" t="s">
        <v>51</v>
      </c>
      <c r="AD1034" t="s">
        <v>51</v>
      </c>
      <c r="AE1034" t="s">
        <v>51</v>
      </c>
      <c r="AF1034" t="s">
        <v>980</v>
      </c>
    </row>
    <row r="1035" spans="1:32" ht="14.5" customHeight="1" x14ac:dyDescent="0.35">
      <c r="A1035" t="s">
        <v>175</v>
      </c>
      <c r="B1035" t="s">
        <v>176</v>
      </c>
      <c r="C1035" t="s">
        <v>47</v>
      </c>
      <c r="D1035">
        <v>3001127</v>
      </c>
      <c r="E1035">
        <v>3001127</v>
      </c>
      <c r="F1035" t="s">
        <v>978</v>
      </c>
      <c r="G1035" t="s">
        <v>978</v>
      </c>
      <c r="H1035" t="s">
        <v>54</v>
      </c>
      <c r="I1035">
        <v>6956697</v>
      </c>
      <c r="J1035" s="12">
        <v>46106</v>
      </c>
      <c r="K1035" s="12">
        <v>46106</v>
      </c>
      <c r="L1035" s="12">
        <v>46106</v>
      </c>
      <c r="M1035">
        <v>26</v>
      </c>
      <c r="N1035">
        <v>-340717</v>
      </c>
      <c r="O1035">
        <v>-340717</v>
      </c>
      <c r="P1035">
        <v>0</v>
      </c>
      <c r="Q1035">
        <v>-340717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 t="s">
        <v>548</v>
      </c>
      <c r="AA1035" t="s">
        <v>55</v>
      </c>
      <c r="AB1035" t="s">
        <v>51</v>
      </c>
      <c r="AC1035" t="s">
        <v>51</v>
      </c>
      <c r="AD1035" t="s">
        <v>51</v>
      </c>
      <c r="AE1035" t="s">
        <v>51</v>
      </c>
      <c r="AF1035" t="s">
        <v>981</v>
      </c>
    </row>
    <row r="1036" spans="1:32" ht="14.5" customHeight="1" x14ac:dyDescent="0.35">
      <c r="A1036" t="s">
        <v>175</v>
      </c>
      <c r="B1036" t="s">
        <v>176</v>
      </c>
      <c r="C1036" t="s">
        <v>47</v>
      </c>
      <c r="D1036">
        <v>3001127</v>
      </c>
      <c r="E1036">
        <v>3001127</v>
      </c>
      <c r="F1036" t="s">
        <v>978</v>
      </c>
      <c r="G1036" t="s">
        <v>978</v>
      </c>
      <c r="H1036" t="s">
        <v>54</v>
      </c>
      <c r="I1036">
        <v>6956698</v>
      </c>
      <c r="J1036" s="12">
        <v>46106</v>
      </c>
      <c r="K1036" s="12">
        <v>46106</v>
      </c>
      <c r="L1036" s="12">
        <v>46106</v>
      </c>
      <c r="M1036">
        <v>26</v>
      </c>
      <c r="N1036">
        <v>-361938</v>
      </c>
      <c r="O1036">
        <v>-361938</v>
      </c>
      <c r="P1036">
        <v>0</v>
      </c>
      <c r="Q1036">
        <v>-361938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 t="s">
        <v>548</v>
      </c>
      <c r="AA1036" t="s">
        <v>55</v>
      </c>
      <c r="AB1036" t="s">
        <v>51</v>
      </c>
      <c r="AC1036" t="s">
        <v>51</v>
      </c>
      <c r="AD1036" t="s">
        <v>51</v>
      </c>
      <c r="AE1036" t="s">
        <v>51</v>
      </c>
      <c r="AF1036" t="s">
        <v>981</v>
      </c>
    </row>
    <row r="1037" spans="1:32" ht="14.5" customHeight="1" x14ac:dyDescent="0.35">
      <c r="A1037" t="s">
        <v>175</v>
      </c>
      <c r="B1037" t="s">
        <v>176</v>
      </c>
      <c r="C1037" t="s">
        <v>47</v>
      </c>
      <c r="D1037">
        <v>3001127</v>
      </c>
      <c r="E1037">
        <v>3001127</v>
      </c>
      <c r="F1037" t="s">
        <v>978</v>
      </c>
      <c r="G1037" t="s">
        <v>978</v>
      </c>
      <c r="H1037" t="s">
        <v>54</v>
      </c>
      <c r="I1037">
        <v>6956746</v>
      </c>
      <c r="J1037" s="12">
        <v>46106</v>
      </c>
      <c r="K1037" s="12">
        <v>46106</v>
      </c>
      <c r="L1037" s="12">
        <v>46106</v>
      </c>
      <c r="M1037">
        <v>26</v>
      </c>
      <c r="N1037">
        <v>-74786</v>
      </c>
      <c r="O1037">
        <v>-74786</v>
      </c>
      <c r="P1037">
        <v>0</v>
      </c>
      <c r="Q1037">
        <v>-74786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 t="s">
        <v>548</v>
      </c>
      <c r="AA1037" t="s">
        <v>55</v>
      </c>
      <c r="AB1037" t="s">
        <v>51</v>
      </c>
      <c r="AC1037" t="s">
        <v>51</v>
      </c>
      <c r="AD1037" t="s">
        <v>51</v>
      </c>
      <c r="AE1037" t="s">
        <v>51</v>
      </c>
      <c r="AF1037" t="s">
        <v>981</v>
      </c>
    </row>
    <row r="1038" spans="1:32" ht="14.5" customHeight="1" x14ac:dyDescent="0.35">
      <c r="A1038" t="s">
        <v>175</v>
      </c>
      <c r="B1038" t="s">
        <v>176</v>
      </c>
      <c r="C1038" t="s">
        <v>47</v>
      </c>
      <c r="D1038">
        <v>3001127</v>
      </c>
      <c r="E1038">
        <v>3001127</v>
      </c>
      <c r="F1038" t="s">
        <v>978</v>
      </c>
      <c r="G1038" t="s">
        <v>978</v>
      </c>
      <c r="H1038" t="s">
        <v>54</v>
      </c>
      <c r="I1038">
        <v>6959750</v>
      </c>
      <c r="J1038" s="12">
        <v>46128</v>
      </c>
      <c r="K1038" s="12">
        <v>46128</v>
      </c>
      <c r="L1038" s="12">
        <v>46128</v>
      </c>
      <c r="M1038">
        <v>4</v>
      </c>
      <c r="N1038">
        <v>-703936</v>
      </c>
      <c r="O1038">
        <v>-703936</v>
      </c>
      <c r="P1038">
        <v>0</v>
      </c>
      <c r="Q1038">
        <v>-703936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 t="s">
        <v>548</v>
      </c>
      <c r="AA1038" t="s">
        <v>55</v>
      </c>
      <c r="AB1038" t="s">
        <v>51</v>
      </c>
      <c r="AC1038" t="s">
        <v>51</v>
      </c>
      <c r="AD1038" t="s">
        <v>51</v>
      </c>
      <c r="AE1038" t="s">
        <v>51</v>
      </c>
      <c r="AF1038" t="s">
        <v>981</v>
      </c>
    </row>
    <row r="1039" spans="1:32" ht="14.5" customHeight="1" x14ac:dyDescent="0.35">
      <c r="A1039" t="s">
        <v>175</v>
      </c>
      <c r="B1039" t="s">
        <v>176</v>
      </c>
      <c r="C1039" t="s">
        <v>47</v>
      </c>
      <c r="D1039">
        <v>3001127</v>
      </c>
      <c r="E1039">
        <v>3001127</v>
      </c>
      <c r="F1039" t="s">
        <v>978</v>
      </c>
      <c r="G1039" t="s">
        <v>978</v>
      </c>
      <c r="H1039" t="s">
        <v>54</v>
      </c>
      <c r="I1039">
        <v>6959755</v>
      </c>
      <c r="J1039" s="12">
        <v>46128</v>
      </c>
      <c r="K1039" s="12">
        <v>46128</v>
      </c>
      <c r="L1039" s="12">
        <v>46128</v>
      </c>
      <c r="M1039">
        <v>4</v>
      </c>
      <c r="N1039">
        <v>-868309</v>
      </c>
      <c r="O1039">
        <v>-868309</v>
      </c>
      <c r="P1039">
        <v>0</v>
      </c>
      <c r="Q1039">
        <v>-868309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 t="s">
        <v>548</v>
      </c>
      <c r="AA1039" t="s">
        <v>55</v>
      </c>
      <c r="AB1039" t="s">
        <v>51</v>
      </c>
      <c r="AC1039" t="s">
        <v>51</v>
      </c>
      <c r="AD1039" t="s">
        <v>51</v>
      </c>
      <c r="AE1039" t="s">
        <v>51</v>
      </c>
      <c r="AF1039" t="s">
        <v>981</v>
      </c>
    </row>
    <row r="1040" spans="1:32" ht="14.5" customHeight="1" x14ac:dyDescent="0.35">
      <c r="A1040" t="s">
        <v>175</v>
      </c>
      <c r="B1040" t="s">
        <v>176</v>
      </c>
      <c r="C1040" t="s">
        <v>47</v>
      </c>
      <c r="D1040">
        <v>3001127</v>
      </c>
      <c r="E1040">
        <v>3001127</v>
      </c>
      <c r="F1040" t="s">
        <v>978</v>
      </c>
      <c r="G1040" t="s">
        <v>978</v>
      </c>
      <c r="H1040" t="s">
        <v>54</v>
      </c>
      <c r="I1040">
        <v>6959756</v>
      </c>
      <c r="J1040" s="12">
        <v>46128</v>
      </c>
      <c r="K1040" s="12">
        <v>46128</v>
      </c>
      <c r="L1040" s="12">
        <v>46128</v>
      </c>
      <c r="M1040">
        <v>4</v>
      </c>
      <c r="N1040">
        <v>-2920020</v>
      </c>
      <c r="O1040">
        <v>-2920020</v>
      </c>
      <c r="P1040">
        <v>0</v>
      </c>
      <c r="Q1040">
        <v>-2920020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 t="s">
        <v>548</v>
      </c>
      <c r="AA1040" t="s">
        <v>55</v>
      </c>
      <c r="AB1040" t="s">
        <v>51</v>
      </c>
      <c r="AC1040" t="s">
        <v>51</v>
      </c>
      <c r="AD1040" t="s">
        <v>51</v>
      </c>
      <c r="AE1040" t="s">
        <v>51</v>
      </c>
      <c r="AF1040" t="s">
        <v>981</v>
      </c>
    </row>
    <row r="1041" spans="1:32" ht="14.5" customHeight="1" x14ac:dyDescent="0.35">
      <c r="A1041" t="s">
        <v>175</v>
      </c>
      <c r="B1041" t="s">
        <v>176</v>
      </c>
      <c r="C1041" t="s">
        <v>47</v>
      </c>
      <c r="D1041">
        <v>3001127</v>
      </c>
      <c r="E1041">
        <v>3001127</v>
      </c>
      <c r="F1041" t="s">
        <v>978</v>
      </c>
      <c r="G1041" t="s">
        <v>978</v>
      </c>
      <c r="H1041" t="s">
        <v>54</v>
      </c>
      <c r="I1041">
        <v>6959763</v>
      </c>
      <c r="J1041" s="12">
        <v>46128</v>
      </c>
      <c r="K1041" s="12">
        <v>46128</v>
      </c>
      <c r="L1041" s="12">
        <v>46128</v>
      </c>
      <c r="M1041">
        <v>4</v>
      </c>
      <c r="N1041">
        <v>-3092356</v>
      </c>
      <c r="O1041">
        <v>-3092356</v>
      </c>
      <c r="P1041">
        <v>0</v>
      </c>
      <c r="Q1041">
        <v>-3092356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 t="s">
        <v>548</v>
      </c>
      <c r="AA1041" t="s">
        <v>55</v>
      </c>
      <c r="AB1041" t="s">
        <v>51</v>
      </c>
      <c r="AC1041" t="s">
        <v>51</v>
      </c>
      <c r="AD1041" t="s">
        <v>51</v>
      </c>
      <c r="AE1041" t="s">
        <v>51</v>
      </c>
      <c r="AF1041" t="s">
        <v>981</v>
      </c>
    </row>
    <row r="1042" spans="1:32" ht="14.5" customHeight="1" x14ac:dyDescent="0.35">
      <c r="A1042" t="s">
        <v>175</v>
      </c>
      <c r="B1042" t="s">
        <v>176</v>
      </c>
      <c r="C1042" t="s">
        <v>47</v>
      </c>
      <c r="D1042">
        <v>3001127</v>
      </c>
      <c r="E1042">
        <v>3001127</v>
      </c>
      <c r="F1042" t="s">
        <v>978</v>
      </c>
      <c r="G1042" t="s">
        <v>978</v>
      </c>
      <c r="H1042" t="s">
        <v>54</v>
      </c>
      <c r="I1042">
        <v>6959785</v>
      </c>
      <c r="J1042" s="12">
        <v>46128</v>
      </c>
      <c r="K1042" s="12">
        <v>46128</v>
      </c>
      <c r="L1042" s="12">
        <v>46128</v>
      </c>
      <c r="M1042">
        <v>4</v>
      </c>
      <c r="N1042">
        <v>-881913</v>
      </c>
      <c r="O1042">
        <v>-881913</v>
      </c>
      <c r="P1042">
        <v>0</v>
      </c>
      <c r="Q1042">
        <v>-881913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 t="s">
        <v>548</v>
      </c>
      <c r="AA1042" t="s">
        <v>55</v>
      </c>
      <c r="AB1042" t="s">
        <v>51</v>
      </c>
      <c r="AC1042" t="s">
        <v>51</v>
      </c>
      <c r="AD1042" t="s">
        <v>51</v>
      </c>
      <c r="AE1042" t="s">
        <v>51</v>
      </c>
      <c r="AF1042" t="s">
        <v>981</v>
      </c>
    </row>
    <row r="1043" spans="1:32" ht="14.5" customHeight="1" x14ac:dyDescent="0.35">
      <c r="A1043" t="s">
        <v>175</v>
      </c>
      <c r="B1043" t="s">
        <v>176</v>
      </c>
      <c r="C1043" t="s">
        <v>47</v>
      </c>
      <c r="D1043">
        <v>3001127</v>
      </c>
      <c r="E1043">
        <v>3001127</v>
      </c>
      <c r="F1043" t="s">
        <v>978</v>
      </c>
      <c r="G1043" t="s">
        <v>978</v>
      </c>
      <c r="H1043" t="s">
        <v>54</v>
      </c>
      <c r="I1043">
        <v>6959895</v>
      </c>
      <c r="J1043" s="12">
        <v>46129</v>
      </c>
      <c r="K1043" s="12">
        <v>46129</v>
      </c>
      <c r="L1043" s="12">
        <v>46129</v>
      </c>
      <c r="M1043">
        <v>3</v>
      </c>
      <c r="N1043">
        <v>-3047252</v>
      </c>
      <c r="O1043">
        <v>-3047252</v>
      </c>
      <c r="P1043">
        <v>0</v>
      </c>
      <c r="Q1043">
        <v>-3047252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 t="s">
        <v>548</v>
      </c>
      <c r="AA1043" t="s">
        <v>55</v>
      </c>
      <c r="AB1043" t="s">
        <v>51</v>
      </c>
      <c r="AC1043" t="s">
        <v>51</v>
      </c>
      <c r="AD1043" t="s">
        <v>51</v>
      </c>
      <c r="AE1043" t="s">
        <v>51</v>
      </c>
      <c r="AF1043" t="s">
        <v>982</v>
      </c>
    </row>
    <row r="1044" spans="1:32" ht="14.5" customHeight="1" x14ac:dyDescent="0.35">
      <c r="A1044" t="s">
        <v>175</v>
      </c>
      <c r="B1044" t="s">
        <v>176</v>
      </c>
      <c r="C1044" t="s">
        <v>47</v>
      </c>
      <c r="D1044">
        <v>3001127</v>
      </c>
      <c r="E1044">
        <v>3100362</v>
      </c>
      <c r="F1044" t="s">
        <v>978</v>
      </c>
      <c r="G1044" t="s">
        <v>978</v>
      </c>
      <c r="H1044" t="s">
        <v>54</v>
      </c>
      <c r="I1044">
        <v>9914114</v>
      </c>
      <c r="J1044" s="12">
        <v>46093</v>
      </c>
      <c r="K1044" s="12">
        <v>46093</v>
      </c>
      <c r="L1044" s="12">
        <v>46146</v>
      </c>
      <c r="M1044">
        <v>-14</v>
      </c>
      <c r="N1044">
        <v>373568420</v>
      </c>
      <c r="O1044">
        <v>0</v>
      </c>
      <c r="P1044">
        <v>373568420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 t="s">
        <v>47</v>
      </c>
      <c r="AA1044" t="s">
        <v>55</v>
      </c>
      <c r="AB1044" t="s">
        <v>51</v>
      </c>
      <c r="AC1044" t="s">
        <v>51</v>
      </c>
      <c r="AD1044" t="s">
        <v>983</v>
      </c>
      <c r="AE1044" t="s">
        <v>51</v>
      </c>
      <c r="AF1044" t="s">
        <v>271</v>
      </c>
    </row>
    <row r="1045" spans="1:32" ht="14.5" customHeight="1" x14ac:dyDescent="0.35">
      <c r="A1045" t="s">
        <v>175</v>
      </c>
      <c r="B1045" t="s">
        <v>176</v>
      </c>
      <c r="C1045" t="s">
        <v>47</v>
      </c>
      <c r="D1045">
        <v>3001127</v>
      </c>
      <c r="E1045">
        <v>3100362</v>
      </c>
      <c r="F1045" t="s">
        <v>978</v>
      </c>
      <c r="G1045" t="s">
        <v>978</v>
      </c>
      <c r="H1045" t="s">
        <v>54</v>
      </c>
      <c r="I1045">
        <v>9914115</v>
      </c>
      <c r="J1045" s="12">
        <v>46093</v>
      </c>
      <c r="K1045" s="12">
        <v>46093</v>
      </c>
      <c r="L1045" s="12">
        <v>46146</v>
      </c>
      <c r="M1045">
        <v>-14</v>
      </c>
      <c r="N1045">
        <v>731148</v>
      </c>
      <c r="O1045">
        <v>0</v>
      </c>
      <c r="P1045">
        <v>731148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 t="s">
        <v>47</v>
      </c>
      <c r="AA1045" t="s">
        <v>55</v>
      </c>
      <c r="AB1045" t="s">
        <v>51</v>
      </c>
      <c r="AC1045" t="s">
        <v>51</v>
      </c>
      <c r="AD1045" t="s">
        <v>984</v>
      </c>
      <c r="AE1045" t="s">
        <v>51</v>
      </c>
      <c r="AF1045" t="s">
        <v>332</v>
      </c>
    </row>
    <row r="1046" spans="1:32" ht="14.5" customHeight="1" x14ac:dyDescent="0.35">
      <c r="A1046" t="s">
        <v>175</v>
      </c>
      <c r="B1046" t="s">
        <v>176</v>
      </c>
      <c r="C1046" t="s">
        <v>187</v>
      </c>
      <c r="D1046">
        <v>3001127</v>
      </c>
      <c r="E1046">
        <v>3100513</v>
      </c>
      <c r="F1046" t="s">
        <v>978</v>
      </c>
      <c r="G1046" t="s">
        <v>978</v>
      </c>
      <c r="H1046" t="s">
        <v>54</v>
      </c>
      <c r="I1046">
        <v>9914651</v>
      </c>
      <c r="J1046" s="12">
        <v>46094</v>
      </c>
      <c r="K1046" s="12">
        <v>46094</v>
      </c>
      <c r="L1046" s="12">
        <v>46140</v>
      </c>
      <c r="M1046">
        <v>-8</v>
      </c>
      <c r="N1046">
        <v>73548838</v>
      </c>
      <c r="O1046">
        <v>0</v>
      </c>
      <c r="P1046">
        <v>73548838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 t="s">
        <v>187</v>
      </c>
      <c r="AA1046" t="s">
        <v>55</v>
      </c>
      <c r="AB1046" t="s">
        <v>51</v>
      </c>
      <c r="AC1046" t="s">
        <v>51</v>
      </c>
      <c r="AD1046" t="s">
        <v>985</v>
      </c>
      <c r="AE1046" t="s">
        <v>51</v>
      </c>
      <c r="AF1046" t="s">
        <v>521</v>
      </c>
    </row>
    <row r="1047" spans="1:32" ht="14.5" customHeight="1" x14ac:dyDescent="0.35">
      <c r="A1047" t="s">
        <v>175</v>
      </c>
      <c r="B1047" t="s">
        <v>176</v>
      </c>
      <c r="C1047" t="s">
        <v>187</v>
      </c>
      <c r="D1047">
        <v>3001127</v>
      </c>
      <c r="E1047">
        <v>3100513</v>
      </c>
      <c r="F1047" t="s">
        <v>978</v>
      </c>
      <c r="G1047" t="s">
        <v>978</v>
      </c>
      <c r="H1047" t="s">
        <v>54</v>
      </c>
      <c r="I1047">
        <v>9918663</v>
      </c>
      <c r="J1047" s="12">
        <v>46108</v>
      </c>
      <c r="K1047" s="12">
        <v>46108</v>
      </c>
      <c r="L1047" s="12">
        <v>46154</v>
      </c>
      <c r="M1047">
        <v>-22</v>
      </c>
      <c r="N1047">
        <v>64937239</v>
      </c>
      <c r="O1047">
        <v>0</v>
      </c>
      <c r="P1047">
        <v>64937239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 t="s">
        <v>187</v>
      </c>
      <c r="AA1047" t="s">
        <v>55</v>
      </c>
      <c r="AB1047" t="s">
        <v>51</v>
      </c>
      <c r="AC1047" t="s">
        <v>51</v>
      </c>
      <c r="AD1047" t="s">
        <v>51</v>
      </c>
      <c r="AE1047" t="s">
        <v>986</v>
      </c>
      <c r="AF1047" t="s">
        <v>820</v>
      </c>
    </row>
    <row r="1048" spans="1:32" ht="14.5" customHeight="1" x14ac:dyDescent="0.35">
      <c r="A1048" t="s">
        <v>175</v>
      </c>
      <c r="B1048" t="s">
        <v>176</v>
      </c>
      <c r="C1048" t="s">
        <v>47</v>
      </c>
      <c r="D1048">
        <v>3001127</v>
      </c>
      <c r="E1048">
        <v>3100362</v>
      </c>
      <c r="F1048" t="s">
        <v>978</v>
      </c>
      <c r="G1048" t="s">
        <v>978</v>
      </c>
      <c r="H1048" t="s">
        <v>54</v>
      </c>
      <c r="I1048">
        <v>9920042</v>
      </c>
      <c r="J1048" s="12">
        <v>46111</v>
      </c>
      <c r="K1048" s="12">
        <v>46111</v>
      </c>
      <c r="L1048" s="12">
        <v>46164</v>
      </c>
      <c r="M1048">
        <v>-32</v>
      </c>
      <c r="N1048">
        <v>3560649</v>
      </c>
      <c r="O1048">
        <v>0</v>
      </c>
      <c r="P1048">
        <v>3560649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 t="s">
        <v>47</v>
      </c>
      <c r="AA1048" t="s">
        <v>55</v>
      </c>
      <c r="AB1048" t="s">
        <v>51</v>
      </c>
      <c r="AC1048" t="s">
        <v>51</v>
      </c>
      <c r="AD1048" t="s">
        <v>51</v>
      </c>
      <c r="AE1048" t="s">
        <v>987</v>
      </c>
      <c r="AF1048" t="s">
        <v>172</v>
      </c>
    </row>
    <row r="1049" spans="1:32" ht="14.5" customHeight="1" x14ac:dyDescent="0.35">
      <c r="A1049" t="s">
        <v>175</v>
      </c>
      <c r="B1049" t="s">
        <v>176</v>
      </c>
      <c r="C1049" t="s">
        <v>47</v>
      </c>
      <c r="D1049">
        <v>3001127</v>
      </c>
      <c r="E1049">
        <v>3100362</v>
      </c>
      <c r="F1049" t="s">
        <v>978</v>
      </c>
      <c r="G1049" t="s">
        <v>978</v>
      </c>
      <c r="H1049" t="s">
        <v>54</v>
      </c>
      <c r="I1049">
        <v>9920191</v>
      </c>
      <c r="J1049" s="12">
        <v>46111</v>
      </c>
      <c r="K1049" s="12">
        <v>46111</v>
      </c>
      <c r="L1049" s="12">
        <v>46164</v>
      </c>
      <c r="M1049">
        <v>-32</v>
      </c>
      <c r="N1049">
        <v>381120048</v>
      </c>
      <c r="O1049">
        <v>0</v>
      </c>
      <c r="P1049">
        <v>381120048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 t="s">
        <v>47</v>
      </c>
      <c r="AA1049" t="s">
        <v>55</v>
      </c>
      <c r="AB1049" t="s">
        <v>51</v>
      </c>
      <c r="AC1049" t="s">
        <v>51</v>
      </c>
      <c r="AD1049" t="s">
        <v>51</v>
      </c>
      <c r="AE1049" t="s">
        <v>988</v>
      </c>
      <c r="AF1049" t="s">
        <v>62</v>
      </c>
    </row>
    <row r="1050" spans="1:32" ht="14.5" customHeight="1" x14ac:dyDescent="0.35">
      <c r="A1050" t="s">
        <v>175</v>
      </c>
      <c r="B1050" t="s">
        <v>176</v>
      </c>
      <c r="C1050" t="s">
        <v>187</v>
      </c>
      <c r="D1050">
        <v>3001127</v>
      </c>
      <c r="E1050">
        <v>3100513</v>
      </c>
      <c r="F1050" t="s">
        <v>978</v>
      </c>
      <c r="G1050" t="s">
        <v>978</v>
      </c>
      <c r="H1050" t="s">
        <v>54</v>
      </c>
      <c r="I1050">
        <v>9925544</v>
      </c>
      <c r="J1050" s="12">
        <v>46126</v>
      </c>
      <c r="K1050" s="12">
        <v>46126</v>
      </c>
      <c r="L1050" s="12">
        <v>46172</v>
      </c>
      <c r="M1050">
        <v>-40</v>
      </c>
      <c r="N1050">
        <v>132674772</v>
      </c>
      <c r="O1050">
        <v>0</v>
      </c>
      <c r="P1050">
        <v>132674772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 t="s">
        <v>187</v>
      </c>
      <c r="AA1050" t="s">
        <v>55</v>
      </c>
      <c r="AB1050" t="s">
        <v>51</v>
      </c>
      <c r="AC1050" t="s">
        <v>51</v>
      </c>
      <c r="AD1050" t="s">
        <v>51</v>
      </c>
      <c r="AE1050" t="s">
        <v>989</v>
      </c>
      <c r="AF1050" t="s">
        <v>320</v>
      </c>
    </row>
    <row r="1051" spans="1:32" ht="14.5" customHeight="1" x14ac:dyDescent="0.35">
      <c r="A1051" t="s">
        <v>175</v>
      </c>
      <c r="B1051" t="s">
        <v>176</v>
      </c>
      <c r="C1051" t="s">
        <v>47</v>
      </c>
      <c r="D1051">
        <v>3001127</v>
      </c>
      <c r="E1051">
        <v>3100362</v>
      </c>
      <c r="F1051" t="s">
        <v>978</v>
      </c>
      <c r="G1051" t="s">
        <v>978</v>
      </c>
      <c r="H1051" t="s">
        <v>54</v>
      </c>
      <c r="I1051">
        <v>9926498</v>
      </c>
      <c r="J1051" s="12">
        <v>46128</v>
      </c>
      <c r="K1051" s="12">
        <v>46128</v>
      </c>
      <c r="L1051" s="12">
        <v>46181</v>
      </c>
      <c r="M1051">
        <v>-49</v>
      </c>
      <c r="N1051">
        <v>373751407</v>
      </c>
      <c r="O1051">
        <v>0</v>
      </c>
      <c r="P1051">
        <v>373751407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 t="s">
        <v>47</v>
      </c>
      <c r="AA1051" t="s">
        <v>55</v>
      </c>
      <c r="AB1051" t="s">
        <v>51</v>
      </c>
      <c r="AC1051" t="s">
        <v>51</v>
      </c>
      <c r="AD1051" t="s">
        <v>51</v>
      </c>
      <c r="AE1051" t="s">
        <v>990</v>
      </c>
      <c r="AF1051" t="s">
        <v>169</v>
      </c>
    </row>
    <row r="1052" spans="1:32" ht="14.5" customHeight="1" x14ac:dyDescent="0.35">
      <c r="A1052" t="s">
        <v>84</v>
      </c>
      <c r="B1052" t="s">
        <v>85</v>
      </c>
      <c r="C1052" t="s">
        <v>47</v>
      </c>
      <c r="D1052">
        <v>3001135</v>
      </c>
      <c r="E1052">
        <v>3001135</v>
      </c>
      <c r="F1052" t="s">
        <v>991</v>
      </c>
      <c r="G1052" t="s">
        <v>991</v>
      </c>
      <c r="H1052" t="s">
        <v>54</v>
      </c>
      <c r="I1052">
        <v>6957668</v>
      </c>
      <c r="J1052" s="12">
        <v>46111</v>
      </c>
      <c r="K1052" s="12">
        <v>46111</v>
      </c>
      <c r="L1052" s="12">
        <v>46111</v>
      </c>
      <c r="M1052">
        <v>21</v>
      </c>
      <c r="N1052">
        <v>-10387746</v>
      </c>
      <c r="O1052">
        <v>-10387746</v>
      </c>
      <c r="P1052">
        <v>0</v>
      </c>
      <c r="Q1052">
        <v>-10387746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 t="s">
        <v>548</v>
      </c>
      <c r="AA1052" t="s">
        <v>76</v>
      </c>
      <c r="AB1052" t="s">
        <v>51</v>
      </c>
      <c r="AC1052" t="s">
        <v>51</v>
      </c>
      <c r="AD1052" t="s">
        <v>51</v>
      </c>
      <c r="AE1052" t="s">
        <v>51</v>
      </c>
      <c r="AF1052" t="s">
        <v>992</v>
      </c>
    </row>
    <row r="1053" spans="1:32" ht="14.5" customHeight="1" x14ac:dyDescent="0.35">
      <c r="A1053" t="s">
        <v>84</v>
      </c>
      <c r="B1053" t="s">
        <v>85</v>
      </c>
      <c r="C1053" t="s">
        <v>47</v>
      </c>
      <c r="D1053">
        <v>3001135</v>
      </c>
      <c r="E1053">
        <v>3001135</v>
      </c>
      <c r="F1053" t="s">
        <v>991</v>
      </c>
      <c r="G1053" t="s">
        <v>991</v>
      </c>
      <c r="H1053" t="s">
        <v>54</v>
      </c>
      <c r="I1053">
        <v>6957719</v>
      </c>
      <c r="J1053" s="12">
        <v>46112</v>
      </c>
      <c r="K1053" s="12">
        <v>46112</v>
      </c>
      <c r="L1053" s="12">
        <v>46112</v>
      </c>
      <c r="M1053">
        <v>20</v>
      </c>
      <c r="N1053">
        <v>-40582194</v>
      </c>
      <c r="O1053">
        <v>-40582194</v>
      </c>
      <c r="P1053">
        <v>0</v>
      </c>
      <c r="Q1053">
        <v>-40582194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 t="s">
        <v>548</v>
      </c>
      <c r="AA1053" t="s">
        <v>76</v>
      </c>
      <c r="AB1053" t="s">
        <v>51</v>
      </c>
      <c r="AC1053" t="s">
        <v>51</v>
      </c>
      <c r="AD1053" t="s">
        <v>51</v>
      </c>
      <c r="AE1053" t="s">
        <v>51</v>
      </c>
      <c r="AF1053" t="s">
        <v>993</v>
      </c>
    </row>
    <row r="1054" spans="1:32" ht="14.5" customHeight="1" x14ac:dyDescent="0.35">
      <c r="A1054" t="s">
        <v>84</v>
      </c>
      <c r="B1054" t="s">
        <v>85</v>
      </c>
      <c r="C1054" t="s">
        <v>47</v>
      </c>
      <c r="D1054">
        <v>3001135</v>
      </c>
      <c r="E1054">
        <v>3001135</v>
      </c>
      <c r="F1054" t="s">
        <v>991</v>
      </c>
      <c r="G1054" t="s">
        <v>991</v>
      </c>
      <c r="H1054" t="s">
        <v>54</v>
      </c>
      <c r="I1054">
        <v>6958082</v>
      </c>
      <c r="J1054" s="12">
        <v>46118</v>
      </c>
      <c r="K1054" s="12">
        <v>46118</v>
      </c>
      <c r="L1054" s="12">
        <v>46118</v>
      </c>
      <c r="M1054">
        <v>14</v>
      </c>
      <c r="N1054">
        <v>-234379</v>
      </c>
      <c r="O1054">
        <v>-234379</v>
      </c>
      <c r="P1054">
        <v>0</v>
      </c>
      <c r="Q1054">
        <v>-234379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 t="s">
        <v>548</v>
      </c>
      <c r="AA1054" t="s">
        <v>76</v>
      </c>
      <c r="AB1054" t="s">
        <v>51</v>
      </c>
      <c r="AC1054" t="s">
        <v>51</v>
      </c>
      <c r="AD1054" t="s">
        <v>51</v>
      </c>
      <c r="AE1054" t="s">
        <v>51</v>
      </c>
      <c r="AF1054" t="s">
        <v>64</v>
      </c>
    </row>
    <row r="1055" spans="1:32" ht="14.5" customHeight="1" x14ac:dyDescent="0.35">
      <c r="A1055" t="s">
        <v>84</v>
      </c>
      <c r="B1055" t="s">
        <v>85</v>
      </c>
      <c r="C1055" t="s">
        <v>47</v>
      </c>
      <c r="D1055">
        <v>3001135</v>
      </c>
      <c r="E1055">
        <v>3001135</v>
      </c>
      <c r="F1055" t="s">
        <v>991</v>
      </c>
      <c r="G1055" t="s">
        <v>991</v>
      </c>
      <c r="H1055" t="s">
        <v>54</v>
      </c>
      <c r="I1055">
        <v>6958412</v>
      </c>
      <c r="J1055" s="12">
        <v>46121</v>
      </c>
      <c r="K1055" s="12">
        <v>46121</v>
      </c>
      <c r="L1055" s="12">
        <v>46121</v>
      </c>
      <c r="M1055">
        <v>11</v>
      </c>
      <c r="N1055">
        <v>-5412777</v>
      </c>
      <c r="O1055">
        <v>-5412777</v>
      </c>
      <c r="P1055">
        <v>0</v>
      </c>
      <c r="Q1055">
        <v>-5412777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 t="s">
        <v>548</v>
      </c>
      <c r="AA1055" t="s">
        <v>76</v>
      </c>
      <c r="AB1055" t="s">
        <v>51</v>
      </c>
      <c r="AC1055" t="s">
        <v>51</v>
      </c>
      <c r="AD1055" t="s">
        <v>51</v>
      </c>
      <c r="AE1055" t="s">
        <v>51</v>
      </c>
      <c r="AF1055" t="s">
        <v>994</v>
      </c>
    </row>
    <row r="1056" spans="1:32" ht="14.5" customHeight="1" x14ac:dyDescent="0.35">
      <c r="A1056" t="s">
        <v>84</v>
      </c>
      <c r="B1056" t="s">
        <v>85</v>
      </c>
      <c r="C1056" t="s">
        <v>47</v>
      </c>
      <c r="D1056">
        <v>3001135</v>
      </c>
      <c r="E1056">
        <v>3001135</v>
      </c>
      <c r="F1056" t="s">
        <v>991</v>
      </c>
      <c r="G1056" t="s">
        <v>991</v>
      </c>
      <c r="H1056" t="s">
        <v>54</v>
      </c>
      <c r="I1056">
        <v>6958413</v>
      </c>
      <c r="J1056" s="12">
        <v>46121</v>
      </c>
      <c r="K1056" s="12">
        <v>46121</v>
      </c>
      <c r="L1056" s="12">
        <v>46121</v>
      </c>
      <c r="M1056">
        <v>11</v>
      </c>
      <c r="N1056">
        <v>-8099133</v>
      </c>
      <c r="O1056">
        <v>-8099133</v>
      </c>
      <c r="P1056">
        <v>0</v>
      </c>
      <c r="Q1056">
        <v>-8099133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 t="s">
        <v>548</v>
      </c>
      <c r="AA1056" t="s">
        <v>76</v>
      </c>
      <c r="AB1056" t="s">
        <v>51</v>
      </c>
      <c r="AC1056" t="s">
        <v>51</v>
      </c>
      <c r="AD1056" t="s">
        <v>51</v>
      </c>
      <c r="AE1056" t="s">
        <v>51</v>
      </c>
      <c r="AF1056" t="s">
        <v>994</v>
      </c>
    </row>
    <row r="1057" spans="1:32" ht="14.5" customHeight="1" x14ac:dyDescent="0.35">
      <c r="A1057" t="s">
        <v>84</v>
      </c>
      <c r="B1057" t="s">
        <v>85</v>
      </c>
      <c r="C1057" t="s">
        <v>47</v>
      </c>
      <c r="D1057">
        <v>3001135</v>
      </c>
      <c r="E1057">
        <v>3001135</v>
      </c>
      <c r="F1057" t="s">
        <v>991</v>
      </c>
      <c r="G1057" t="s">
        <v>991</v>
      </c>
      <c r="H1057" t="s">
        <v>54</v>
      </c>
      <c r="I1057">
        <v>6958414</v>
      </c>
      <c r="J1057" s="12">
        <v>46121</v>
      </c>
      <c r="K1057" s="12">
        <v>46121</v>
      </c>
      <c r="L1057" s="12">
        <v>46121</v>
      </c>
      <c r="M1057">
        <v>11</v>
      </c>
      <c r="N1057">
        <v>-116624550</v>
      </c>
      <c r="O1057">
        <v>-116624550</v>
      </c>
      <c r="P1057">
        <v>0</v>
      </c>
      <c r="Q1057">
        <v>-116624550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 t="s">
        <v>548</v>
      </c>
      <c r="AA1057" t="s">
        <v>76</v>
      </c>
      <c r="AB1057" t="s">
        <v>51</v>
      </c>
      <c r="AC1057" t="s">
        <v>51</v>
      </c>
      <c r="AD1057" t="s">
        <v>51</v>
      </c>
      <c r="AE1057" t="s">
        <v>51</v>
      </c>
      <c r="AF1057" t="s">
        <v>995</v>
      </c>
    </row>
    <row r="1058" spans="1:32" ht="14.5" customHeight="1" x14ac:dyDescent="0.35">
      <c r="A1058" t="s">
        <v>84</v>
      </c>
      <c r="B1058" t="s">
        <v>85</v>
      </c>
      <c r="C1058" t="s">
        <v>47</v>
      </c>
      <c r="D1058">
        <v>3001135</v>
      </c>
      <c r="E1058">
        <v>3001135</v>
      </c>
      <c r="F1058" t="s">
        <v>991</v>
      </c>
      <c r="G1058" t="s">
        <v>991</v>
      </c>
      <c r="H1058" t="s">
        <v>54</v>
      </c>
      <c r="I1058">
        <v>6958781</v>
      </c>
      <c r="J1058" s="12">
        <v>46122</v>
      </c>
      <c r="K1058" s="12">
        <v>46122</v>
      </c>
      <c r="L1058" s="12">
        <v>46122</v>
      </c>
      <c r="M1058">
        <v>10</v>
      </c>
      <c r="N1058">
        <v>-41415645</v>
      </c>
      <c r="O1058">
        <v>-41415645</v>
      </c>
      <c r="P1058">
        <v>0</v>
      </c>
      <c r="Q1058">
        <v>-41415645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 t="s">
        <v>548</v>
      </c>
      <c r="AA1058" t="s">
        <v>76</v>
      </c>
      <c r="AB1058" t="s">
        <v>51</v>
      </c>
      <c r="AC1058" t="s">
        <v>51</v>
      </c>
      <c r="AD1058" t="s">
        <v>51</v>
      </c>
      <c r="AE1058" t="s">
        <v>51</v>
      </c>
      <c r="AF1058" t="s">
        <v>996</v>
      </c>
    </row>
    <row r="1059" spans="1:32" ht="14.5" customHeight="1" x14ac:dyDescent="0.35">
      <c r="A1059" t="s">
        <v>84</v>
      </c>
      <c r="B1059" t="s">
        <v>85</v>
      </c>
      <c r="C1059" t="s">
        <v>846</v>
      </c>
      <c r="D1059">
        <v>3001135</v>
      </c>
      <c r="E1059">
        <v>3001135</v>
      </c>
      <c r="F1059" t="s">
        <v>991</v>
      </c>
      <c r="G1059" t="s">
        <v>991</v>
      </c>
      <c r="H1059" t="s">
        <v>111</v>
      </c>
      <c r="I1059">
        <v>6959469</v>
      </c>
      <c r="J1059" s="12">
        <v>46127</v>
      </c>
      <c r="K1059" s="12">
        <v>46127</v>
      </c>
      <c r="L1059" s="12">
        <v>46127</v>
      </c>
      <c r="M1059">
        <v>5</v>
      </c>
      <c r="N1059">
        <v>-2165579</v>
      </c>
      <c r="O1059">
        <v>-2165579</v>
      </c>
      <c r="P1059">
        <v>0</v>
      </c>
      <c r="Q1059">
        <v>-2165579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 t="s">
        <v>548</v>
      </c>
      <c r="AA1059" t="s">
        <v>76</v>
      </c>
      <c r="AB1059" t="s">
        <v>51</v>
      </c>
      <c r="AC1059" t="s">
        <v>51</v>
      </c>
      <c r="AD1059" t="s">
        <v>51</v>
      </c>
      <c r="AE1059" t="s">
        <v>51</v>
      </c>
      <c r="AF1059" t="s">
        <v>189</v>
      </c>
    </row>
    <row r="1060" spans="1:32" ht="14.5" customHeight="1" x14ac:dyDescent="0.35">
      <c r="A1060" t="s">
        <v>84</v>
      </c>
      <c r="B1060" t="s">
        <v>85</v>
      </c>
      <c r="C1060" t="s">
        <v>846</v>
      </c>
      <c r="D1060">
        <v>3001135</v>
      </c>
      <c r="E1060">
        <v>3001135</v>
      </c>
      <c r="F1060" t="s">
        <v>991</v>
      </c>
      <c r="G1060" t="s">
        <v>991</v>
      </c>
      <c r="H1060" t="s">
        <v>111</v>
      </c>
      <c r="I1060">
        <v>6959470</v>
      </c>
      <c r="J1060" s="12">
        <v>46127</v>
      </c>
      <c r="K1060" s="12">
        <v>46127</v>
      </c>
      <c r="L1060" s="12">
        <v>46127</v>
      </c>
      <c r="M1060">
        <v>5</v>
      </c>
      <c r="N1060">
        <v>-751235</v>
      </c>
      <c r="O1060">
        <v>-751235</v>
      </c>
      <c r="P1060">
        <v>0</v>
      </c>
      <c r="Q1060">
        <v>-751235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 t="s">
        <v>548</v>
      </c>
      <c r="AA1060" t="s">
        <v>76</v>
      </c>
      <c r="AB1060" t="s">
        <v>51</v>
      </c>
      <c r="AC1060" t="s">
        <v>51</v>
      </c>
      <c r="AD1060" t="s">
        <v>51</v>
      </c>
      <c r="AE1060" t="s">
        <v>51</v>
      </c>
      <c r="AF1060" t="s">
        <v>660</v>
      </c>
    </row>
    <row r="1061" spans="1:32" ht="14.5" customHeight="1" x14ac:dyDescent="0.35">
      <c r="A1061" t="s">
        <v>84</v>
      </c>
      <c r="B1061" t="s">
        <v>85</v>
      </c>
      <c r="C1061" t="s">
        <v>47</v>
      </c>
      <c r="D1061">
        <v>3001135</v>
      </c>
      <c r="E1061">
        <v>3001135</v>
      </c>
      <c r="F1061" t="s">
        <v>991</v>
      </c>
      <c r="G1061" t="s">
        <v>991</v>
      </c>
      <c r="H1061" t="s">
        <v>54</v>
      </c>
      <c r="I1061">
        <v>6959526</v>
      </c>
      <c r="J1061" s="12">
        <v>46127</v>
      </c>
      <c r="K1061" s="12">
        <v>46127</v>
      </c>
      <c r="L1061" s="12">
        <v>46127</v>
      </c>
      <c r="M1061">
        <v>5</v>
      </c>
      <c r="N1061">
        <v>-65400000</v>
      </c>
      <c r="O1061">
        <v>-65400000</v>
      </c>
      <c r="P1061">
        <v>0</v>
      </c>
      <c r="Q1061">
        <v>-65400000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 t="s">
        <v>548</v>
      </c>
      <c r="AA1061" t="s">
        <v>76</v>
      </c>
      <c r="AB1061" t="s">
        <v>51</v>
      </c>
      <c r="AC1061" t="s">
        <v>51</v>
      </c>
      <c r="AD1061" t="s">
        <v>51</v>
      </c>
      <c r="AE1061" t="s">
        <v>51</v>
      </c>
      <c r="AF1061" t="s">
        <v>995</v>
      </c>
    </row>
    <row r="1062" spans="1:32" ht="14.5" customHeight="1" x14ac:dyDescent="0.35">
      <c r="A1062" t="s">
        <v>84</v>
      </c>
      <c r="B1062" t="s">
        <v>85</v>
      </c>
      <c r="C1062" t="s">
        <v>47</v>
      </c>
      <c r="D1062">
        <v>3001135</v>
      </c>
      <c r="E1062">
        <v>3001135</v>
      </c>
      <c r="F1062" t="s">
        <v>991</v>
      </c>
      <c r="G1062" t="s">
        <v>991</v>
      </c>
      <c r="H1062" t="s">
        <v>54</v>
      </c>
      <c r="I1062">
        <v>6959862</v>
      </c>
      <c r="J1062" s="12">
        <v>46129</v>
      </c>
      <c r="K1062" s="12">
        <v>46129</v>
      </c>
      <c r="L1062" s="12">
        <v>46129</v>
      </c>
      <c r="M1062">
        <v>3</v>
      </c>
      <c r="N1062">
        <v>-238271226</v>
      </c>
      <c r="O1062">
        <v>-238271226</v>
      </c>
      <c r="P1062">
        <v>0</v>
      </c>
      <c r="Q1062">
        <v>-238271226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 t="s">
        <v>548</v>
      </c>
      <c r="AA1062" t="s">
        <v>76</v>
      </c>
      <c r="AB1062" t="s">
        <v>51</v>
      </c>
      <c r="AC1062" t="s">
        <v>51</v>
      </c>
      <c r="AD1062" t="s">
        <v>51</v>
      </c>
      <c r="AE1062" t="s">
        <v>51</v>
      </c>
      <c r="AF1062" t="s">
        <v>325</v>
      </c>
    </row>
    <row r="1063" spans="1:32" ht="14.5" customHeight="1" x14ac:dyDescent="0.35">
      <c r="A1063" t="s">
        <v>84</v>
      </c>
      <c r="B1063" t="s">
        <v>85</v>
      </c>
      <c r="C1063" t="s">
        <v>47</v>
      </c>
      <c r="D1063">
        <v>3001135</v>
      </c>
      <c r="E1063">
        <v>3001135</v>
      </c>
      <c r="F1063" t="s">
        <v>991</v>
      </c>
      <c r="G1063" t="s">
        <v>991</v>
      </c>
      <c r="H1063" t="s">
        <v>54</v>
      </c>
      <c r="I1063">
        <v>6959863</v>
      </c>
      <c r="J1063" s="12">
        <v>46129</v>
      </c>
      <c r="K1063" s="12">
        <v>46129</v>
      </c>
      <c r="L1063" s="12">
        <v>46129</v>
      </c>
      <c r="M1063">
        <v>3</v>
      </c>
      <c r="N1063">
        <v>-262484035</v>
      </c>
      <c r="O1063">
        <v>-262484035</v>
      </c>
      <c r="P1063">
        <v>0</v>
      </c>
      <c r="Q1063">
        <v>-262484035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 t="s">
        <v>548</v>
      </c>
      <c r="AA1063" t="s">
        <v>76</v>
      </c>
      <c r="AB1063" t="s">
        <v>51</v>
      </c>
      <c r="AC1063" t="s">
        <v>51</v>
      </c>
      <c r="AD1063" t="s">
        <v>51</v>
      </c>
      <c r="AE1063" t="s">
        <v>51</v>
      </c>
      <c r="AF1063" t="s">
        <v>642</v>
      </c>
    </row>
    <row r="1064" spans="1:32" ht="14.5" customHeight="1" x14ac:dyDescent="0.35">
      <c r="A1064" t="s">
        <v>84</v>
      </c>
      <c r="B1064" t="s">
        <v>85</v>
      </c>
      <c r="C1064" t="s">
        <v>846</v>
      </c>
      <c r="D1064">
        <v>3001135</v>
      </c>
      <c r="E1064">
        <v>3001135</v>
      </c>
      <c r="F1064" t="s">
        <v>991</v>
      </c>
      <c r="G1064" t="s">
        <v>991</v>
      </c>
      <c r="H1064" t="s">
        <v>54</v>
      </c>
      <c r="I1064">
        <v>9914904</v>
      </c>
      <c r="J1064" s="12">
        <v>46095</v>
      </c>
      <c r="K1064" s="12">
        <v>46095</v>
      </c>
      <c r="L1064" s="12">
        <v>46131</v>
      </c>
      <c r="M1064">
        <v>1</v>
      </c>
      <c r="N1064">
        <v>424810931</v>
      </c>
      <c r="O1064">
        <v>0</v>
      </c>
      <c r="P1064">
        <v>0</v>
      </c>
      <c r="Q1064">
        <v>424810931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 t="s">
        <v>548</v>
      </c>
      <c r="AA1064" t="s">
        <v>76</v>
      </c>
      <c r="AB1064" t="s">
        <v>51</v>
      </c>
      <c r="AC1064" t="s">
        <v>51</v>
      </c>
      <c r="AD1064" t="s">
        <v>51</v>
      </c>
      <c r="AE1064" t="s">
        <v>51</v>
      </c>
      <c r="AF1064" t="s">
        <v>69</v>
      </c>
    </row>
    <row r="1065" spans="1:32" ht="14.5" customHeight="1" x14ac:dyDescent="0.35">
      <c r="A1065" t="s">
        <v>84</v>
      </c>
      <c r="B1065" t="s">
        <v>85</v>
      </c>
      <c r="C1065" t="s">
        <v>846</v>
      </c>
      <c r="D1065">
        <v>3001135</v>
      </c>
      <c r="E1065">
        <v>3001135</v>
      </c>
      <c r="F1065" t="s">
        <v>991</v>
      </c>
      <c r="G1065" t="s">
        <v>991</v>
      </c>
      <c r="H1065" t="s">
        <v>54</v>
      </c>
      <c r="I1065">
        <v>9915519</v>
      </c>
      <c r="J1065" s="12">
        <v>46095</v>
      </c>
      <c r="K1065" s="12">
        <v>46095</v>
      </c>
      <c r="L1065" s="12">
        <v>46131</v>
      </c>
      <c r="M1065">
        <v>1</v>
      </c>
      <c r="N1065">
        <v>485632475</v>
      </c>
      <c r="O1065">
        <v>0</v>
      </c>
      <c r="P1065">
        <v>0</v>
      </c>
      <c r="Q1065">
        <v>485632475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 t="s">
        <v>548</v>
      </c>
      <c r="AA1065" t="s">
        <v>76</v>
      </c>
      <c r="AB1065" t="s">
        <v>51</v>
      </c>
      <c r="AC1065" t="s">
        <v>51</v>
      </c>
      <c r="AD1065" t="s">
        <v>51</v>
      </c>
      <c r="AE1065" t="s">
        <v>51</v>
      </c>
      <c r="AF1065" t="s">
        <v>292</v>
      </c>
    </row>
    <row r="1066" spans="1:32" ht="14.5" customHeight="1" x14ac:dyDescent="0.35">
      <c r="A1066" t="s">
        <v>84</v>
      </c>
      <c r="B1066" t="s">
        <v>85</v>
      </c>
      <c r="C1066" t="s">
        <v>846</v>
      </c>
      <c r="D1066">
        <v>3001135</v>
      </c>
      <c r="E1066">
        <v>3001135</v>
      </c>
      <c r="F1066" t="s">
        <v>991</v>
      </c>
      <c r="G1066" t="s">
        <v>991</v>
      </c>
      <c r="H1066" t="s">
        <v>54</v>
      </c>
      <c r="I1066">
        <v>9916195</v>
      </c>
      <c r="J1066" s="12">
        <v>46097</v>
      </c>
      <c r="K1066" s="12">
        <v>46097</v>
      </c>
      <c r="L1066" s="12">
        <v>46133</v>
      </c>
      <c r="M1066">
        <v>-1</v>
      </c>
      <c r="N1066">
        <v>279721086</v>
      </c>
      <c r="O1066">
        <v>0</v>
      </c>
      <c r="P1066">
        <v>279721086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 t="s">
        <v>548</v>
      </c>
      <c r="AA1066" t="s">
        <v>76</v>
      </c>
      <c r="AB1066" t="s">
        <v>51</v>
      </c>
      <c r="AC1066" t="s">
        <v>997</v>
      </c>
      <c r="AD1066" t="s">
        <v>51</v>
      </c>
      <c r="AE1066" t="s">
        <v>51</v>
      </c>
      <c r="AF1066" t="s">
        <v>358</v>
      </c>
    </row>
    <row r="1067" spans="1:32" ht="14.5" customHeight="1" x14ac:dyDescent="0.35">
      <c r="A1067" t="s">
        <v>84</v>
      </c>
      <c r="B1067" t="s">
        <v>85</v>
      </c>
      <c r="C1067" t="s">
        <v>846</v>
      </c>
      <c r="D1067">
        <v>3001135</v>
      </c>
      <c r="E1067">
        <v>3001135</v>
      </c>
      <c r="F1067" t="s">
        <v>991</v>
      </c>
      <c r="G1067" t="s">
        <v>991</v>
      </c>
      <c r="H1067" t="s">
        <v>54</v>
      </c>
      <c r="I1067">
        <v>9916313</v>
      </c>
      <c r="J1067" s="12">
        <v>46098</v>
      </c>
      <c r="K1067" s="12">
        <v>46098</v>
      </c>
      <c r="L1067" s="12">
        <v>46134</v>
      </c>
      <c r="M1067">
        <v>-2</v>
      </c>
      <c r="N1067">
        <v>208525139</v>
      </c>
      <c r="O1067">
        <v>0</v>
      </c>
      <c r="P1067">
        <v>208525139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 t="s">
        <v>548</v>
      </c>
      <c r="AA1067" t="s">
        <v>76</v>
      </c>
      <c r="AB1067" t="s">
        <v>51</v>
      </c>
      <c r="AC1067" t="s">
        <v>998</v>
      </c>
      <c r="AD1067" t="s">
        <v>51</v>
      </c>
      <c r="AE1067" t="s">
        <v>51</v>
      </c>
      <c r="AF1067" t="s">
        <v>62</v>
      </c>
    </row>
    <row r="1068" spans="1:32" ht="14.5" customHeight="1" x14ac:dyDescent="0.35">
      <c r="A1068" t="s">
        <v>84</v>
      </c>
      <c r="B1068" t="s">
        <v>85</v>
      </c>
      <c r="C1068" t="s">
        <v>846</v>
      </c>
      <c r="D1068">
        <v>3001135</v>
      </c>
      <c r="E1068">
        <v>3001135</v>
      </c>
      <c r="F1068" t="s">
        <v>991</v>
      </c>
      <c r="G1068" t="s">
        <v>991</v>
      </c>
      <c r="H1068" t="s">
        <v>54</v>
      </c>
      <c r="I1068">
        <v>9917489</v>
      </c>
      <c r="J1068" s="12">
        <v>46106</v>
      </c>
      <c r="K1068" s="12">
        <v>46106</v>
      </c>
      <c r="L1068" s="12">
        <v>46142</v>
      </c>
      <c r="M1068">
        <v>-10</v>
      </c>
      <c r="N1068">
        <v>379055658</v>
      </c>
      <c r="O1068">
        <v>0</v>
      </c>
      <c r="P1068">
        <v>379055658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 t="s">
        <v>548</v>
      </c>
      <c r="AA1068" t="s">
        <v>76</v>
      </c>
      <c r="AB1068" t="s">
        <v>51</v>
      </c>
      <c r="AC1068" t="s">
        <v>51</v>
      </c>
      <c r="AD1068" t="s">
        <v>999</v>
      </c>
      <c r="AE1068" t="s">
        <v>51</v>
      </c>
      <c r="AF1068" t="s">
        <v>975</v>
      </c>
    </row>
    <row r="1069" spans="1:32" ht="14.5" customHeight="1" x14ac:dyDescent="0.35">
      <c r="A1069" t="s">
        <v>84</v>
      </c>
      <c r="B1069" t="s">
        <v>85</v>
      </c>
      <c r="C1069" t="s">
        <v>846</v>
      </c>
      <c r="D1069">
        <v>3001135</v>
      </c>
      <c r="E1069">
        <v>3001135</v>
      </c>
      <c r="F1069" t="s">
        <v>991</v>
      </c>
      <c r="G1069" t="s">
        <v>991</v>
      </c>
      <c r="H1069" t="s">
        <v>54</v>
      </c>
      <c r="I1069">
        <v>9918298</v>
      </c>
      <c r="J1069" s="12">
        <v>46107</v>
      </c>
      <c r="K1069" s="12">
        <v>46107</v>
      </c>
      <c r="L1069" s="12">
        <v>46143</v>
      </c>
      <c r="M1069">
        <v>-11</v>
      </c>
      <c r="N1069">
        <v>364187788</v>
      </c>
      <c r="O1069">
        <v>0</v>
      </c>
      <c r="P1069">
        <v>364187788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 t="s">
        <v>548</v>
      </c>
      <c r="AA1069" t="s">
        <v>76</v>
      </c>
      <c r="AB1069" t="s">
        <v>51</v>
      </c>
      <c r="AC1069" t="s">
        <v>51</v>
      </c>
      <c r="AD1069" t="s">
        <v>1000</v>
      </c>
      <c r="AE1069" t="s">
        <v>51</v>
      </c>
      <c r="AF1069" t="s">
        <v>271</v>
      </c>
    </row>
    <row r="1070" spans="1:32" ht="14.5" customHeight="1" x14ac:dyDescent="0.35">
      <c r="A1070" t="s">
        <v>84</v>
      </c>
      <c r="B1070" t="s">
        <v>85</v>
      </c>
      <c r="C1070" t="s">
        <v>846</v>
      </c>
      <c r="D1070">
        <v>3001135</v>
      </c>
      <c r="E1070">
        <v>3001135</v>
      </c>
      <c r="F1070" t="s">
        <v>991</v>
      </c>
      <c r="G1070" t="s">
        <v>991</v>
      </c>
      <c r="H1070" t="s">
        <v>54</v>
      </c>
      <c r="I1070">
        <v>9921037</v>
      </c>
      <c r="J1070" s="12">
        <v>46112</v>
      </c>
      <c r="K1070" s="12">
        <v>46112</v>
      </c>
      <c r="L1070" s="12">
        <v>46148</v>
      </c>
      <c r="M1070">
        <v>-16</v>
      </c>
      <c r="N1070">
        <v>570534529</v>
      </c>
      <c r="O1070">
        <v>0</v>
      </c>
      <c r="P1070">
        <v>570534529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 t="s">
        <v>548</v>
      </c>
      <c r="AA1070" t="s">
        <v>76</v>
      </c>
      <c r="AB1070" t="s">
        <v>51</v>
      </c>
      <c r="AC1070" t="s">
        <v>51</v>
      </c>
      <c r="AD1070" t="s">
        <v>51</v>
      </c>
      <c r="AE1070" t="s">
        <v>1001</v>
      </c>
      <c r="AF1070" t="s">
        <v>62</v>
      </c>
    </row>
    <row r="1071" spans="1:32" ht="14.5" customHeight="1" x14ac:dyDescent="0.35">
      <c r="A1071" t="s">
        <v>84</v>
      </c>
      <c r="B1071" t="s">
        <v>85</v>
      </c>
      <c r="C1071" t="s">
        <v>846</v>
      </c>
      <c r="D1071">
        <v>3001135</v>
      </c>
      <c r="E1071">
        <v>3001135</v>
      </c>
      <c r="F1071" t="s">
        <v>991</v>
      </c>
      <c r="G1071" t="s">
        <v>991</v>
      </c>
      <c r="H1071" t="s">
        <v>54</v>
      </c>
      <c r="I1071">
        <v>9921547</v>
      </c>
      <c r="J1071" s="12">
        <v>46113</v>
      </c>
      <c r="K1071" s="12">
        <v>46113</v>
      </c>
      <c r="L1071" s="12">
        <v>46149</v>
      </c>
      <c r="M1071">
        <v>-17</v>
      </c>
      <c r="N1071">
        <v>445366927</v>
      </c>
      <c r="O1071">
        <v>0</v>
      </c>
      <c r="P1071">
        <v>445366927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 t="s">
        <v>548</v>
      </c>
      <c r="AA1071" t="s">
        <v>76</v>
      </c>
      <c r="AB1071" t="s">
        <v>51</v>
      </c>
      <c r="AC1071" t="s">
        <v>51</v>
      </c>
      <c r="AD1071" t="s">
        <v>51</v>
      </c>
      <c r="AE1071" t="s">
        <v>1002</v>
      </c>
      <c r="AF1071" t="s">
        <v>62</v>
      </c>
    </row>
    <row r="1072" spans="1:32" ht="14.5" customHeight="1" x14ac:dyDescent="0.35">
      <c r="A1072" t="s">
        <v>84</v>
      </c>
      <c r="B1072" t="s">
        <v>85</v>
      </c>
      <c r="C1072" t="s">
        <v>846</v>
      </c>
      <c r="D1072">
        <v>3001135</v>
      </c>
      <c r="E1072">
        <v>3001135</v>
      </c>
      <c r="F1072" t="s">
        <v>991</v>
      </c>
      <c r="G1072" t="s">
        <v>991</v>
      </c>
      <c r="H1072" t="s">
        <v>54</v>
      </c>
      <c r="I1072">
        <v>9924544</v>
      </c>
      <c r="J1072" s="12">
        <v>46123</v>
      </c>
      <c r="K1072" s="12">
        <v>46123</v>
      </c>
      <c r="L1072" s="12">
        <v>46159</v>
      </c>
      <c r="M1072">
        <v>-27</v>
      </c>
      <c r="N1072">
        <v>457172736</v>
      </c>
      <c r="O1072">
        <v>0</v>
      </c>
      <c r="P1072">
        <v>457172736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 t="s">
        <v>548</v>
      </c>
      <c r="AA1072" t="s">
        <v>76</v>
      </c>
      <c r="AB1072" t="s">
        <v>51</v>
      </c>
      <c r="AC1072" t="s">
        <v>51</v>
      </c>
      <c r="AD1072" t="s">
        <v>51</v>
      </c>
      <c r="AE1072" t="s">
        <v>1003</v>
      </c>
      <c r="AF1072" t="s">
        <v>1004</v>
      </c>
    </row>
    <row r="1073" spans="1:32" ht="14.5" customHeight="1" x14ac:dyDescent="0.35">
      <c r="A1073" t="s">
        <v>84</v>
      </c>
      <c r="B1073" t="s">
        <v>85</v>
      </c>
      <c r="C1073" t="s">
        <v>846</v>
      </c>
      <c r="D1073">
        <v>3001135</v>
      </c>
      <c r="E1073">
        <v>3001135</v>
      </c>
      <c r="F1073" t="s">
        <v>991</v>
      </c>
      <c r="G1073" t="s">
        <v>991</v>
      </c>
      <c r="H1073" t="s">
        <v>54</v>
      </c>
      <c r="I1073">
        <v>9924632</v>
      </c>
      <c r="J1073" s="12">
        <v>46125</v>
      </c>
      <c r="K1073" s="12">
        <v>46125</v>
      </c>
      <c r="L1073" s="12">
        <v>46161</v>
      </c>
      <c r="M1073">
        <v>-29</v>
      </c>
      <c r="N1073">
        <v>3291194</v>
      </c>
      <c r="O1073">
        <v>0</v>
      </c>
      <c r="P1073">
        <v>3291194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 t="s">
        <v>548</v>
      </c>
      <c r="AA1073" t="s">
        <v>76</v>
      </c>
      <c r="AB1073" t="s">
        <v>51</v>
      </c>
      <c r="AC1073" t="s">
        <v>51</v>
      </c>
      <c r="AD1073" t="s">
        <v>51</v>
      </c>
      <c r="AE1073" t="s">
        <v>1005</v>
      </c>
      <c r="AF1073" t="s">
        <v>163</v>
      </c>
    </row>
    <row r="1074" spans="1:32" ht="14.5" customHeight="1" x14ac:dyDescent="0.35">
      <c r="A1074" t="s">
        <v>84</v>
      </c>
      <c r="B1074" t="s">
        <v>85</v>
      </c>
      <c r="C1074" t="s">
        <v>846</v>
      </c>
      <c r="D1074">
        <v>3001135</v>
      </c>
      <c r="E1074">
        <v>3001135</v>
      </c>
      <c r="F1074" t="s">
        <v>991</v>
      </c>
      <c r="G1074" t="s">
        <v>991</v>
      </c>
      <c r="H1074" t="s">
        <v>54</v>
      </c>
      <c r="I1074">
        <v>9925518</v>
      </c>
      <c r="J1074" s="12">
        <v>46126</v>
      </c>
      <c r="K1074" s="12">
        <v>46126</v>
      </c>
      <c r="L1074" s="12">
        <v>46162</v>
      </c>
      <c r="M1074">
        <v>-30</v>
      </c>
      <c r="N1074">
        <v>493399095</v>
      </c>
      <c r="O1074">
        <v>0</v>
      </c>
      <c r="P1074">
        <v>493399095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 t="s">
        <v>548</v>
      </c>
      <c r="AA1074" t="s">
        <v>76</v>
      </c>
      <c r="AB1074" t="s">
        <v>51</v>
      </c>
      <c r="AC1074" t="s">
        <v>51</v>
      </c>
      <c r="AD1074" t="s">
        <v>51</v>
      </c>
      <c r="AE1074" t="s">
        <v>1006</v>
      </c>
      <c r="AF1074" t="s">
        <v>151</v>
      </c>
    </row>
    <row r="1075" spans="1:32" ht="14.5" customHeight="1" x14ac:dyDescent="0.35">
      <c r="A1075" t="s">
        <v>84</v>
      </c>
      <c r="B1075" t="s">
        <v>85</v>
      </c>
      <c r="C1075" t="s">
        <v>47</v>
      </c>
      <c r="D1075">
        <v>3001135</v>
      </c>
      <c r="E1075">
        <v>3001135</v>
      </c>
      <c r="F1075" t="s">
        <v>991</v>
      </c>
      <c r="G1075" t="s">
        <v>991</v>
      </c>
      <c r="H1075" t="s">
        <v>140</v>
      </c>
      <c r="I1075">
        <v>9926620</v>
      </c>
      <c r="J1075" s="12">
        <v>46129</v>
      </c>
      <c r="K1075" s="12">
        <v>46129</v>
      </c>
      <c r="L1075" s="12">
        <v>46164</v>
      </c>
      <c r="M1075">
        <v>-32</v>
      </c>
      <c r="N1075">
        <v>108746</v>
      </c>
      <c r="O1075">
        <v>0</v>
      </c>
      <c r="P1075">
        <v>108746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 t="s">
        <v>548</v>
      </c>
      <c r="AA1075" t="s">
        <v>76</v>
      </c>
      <c r="AB1075" t="s">
        <v>51</v>
      </c>
      <c r="AC1075" t="s">
        <v>51</v>
      </c>
      <c r="AD1075" t="s">
        <v>51</v>
      </c>
      <c r="AE1075" t="s">
        <v>1007</v>
      </c>
      <c r="AF1075" t="s">
        <v>183</v>
      </c>
    </row>
    <row r="1076" spans="1:32" ht="14.5" customHeight="1" x14ac:dyDescent="0.35">
      <c r="A1076" t="s">
        <v>84</v>
      </c>
      <c r="B1076" t="s">
        <v>85</v>
      </c>
      <c r="C1076" t="s">
        <v>846</v>
      </c>
      <c r="D1076">
        <v>3001135</v>
      </c>
      <c r="E1076">
        <v>3001135</v>
      </c>
      <c r="F1076" t="s">
        <v>991</v>
      </c>
      <c r="G1076" t="s">
        <v>991</v>
      </c>
      <c r="H1076" t="s">
        <v>54</v>
      </c>
      <c r="I1076">
        <v>9926744</v>
      </c>
      <c r="J1076" s="12">
        <v>46129</v>
      </c>
      <c r="K1076" s="12">
        <v>46129</v>
      </c>
      <c r="L1076" s="12">
        <v>46165</v>
      </c>
      <c r="M1076">
        <v>-33</v>
      </c>
      <c r="N1076">
        <v>383438564</v>
      </c>
      <c r="O1076">
        <v>0</v>
      </c>
      <c r="P1076">
        <v>383438564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 t="s">
        <v>548</v>
      </c>
      <c r="AA1076" t="s">
        <v>76</v>
      </c>
      <c r="AB1076" t="s">
        <v>51</v>
      </c>
      <c r="AC1076" t="s">
        <v>51</v>
      </c>
      <c r="AD1076" t="s">
        <v>51</v>
      </c>
      <c r="AE1076" t="s">
        <v>1008</v>
      </c>
      <c r="AF1076" t="s">
        <v>744</v>
      </c>
    </row>
    <row r="1077" spans="1:32" ht="14.5" customHeight="1" x14ac:dyDescent="0.35">
      <c r="A1077" t="s">
        <v>84</v>
      </c>
      <c r="B1077" t="s">
        <v>85</v>
      </c>
      <c r="C1077" t="s">
        <v>47</v>
      </c>
      <c r="D1077">
        <v>3001136</v>
      </c>
      <c r="E1077">
        <v>3001136</v>
      </c>
      <c r="F1077" t="s">
        <v>1009</v>
      </c>
      <c r="G1077" t="s">
        <v>1009</v>
      </c>
      <c r="H1077" t="s">
        <v>54</v>
      </c>
      <c r="I1077">
        <v>6959527</v>
      </c>
      <c r="J1077" s="12">
        <v>46127</v>
      </c>
      <c r="K1077" s="12">
        <v>46127</v>
      </c>
      <c r="L1077" s="12">
        <v>46127</v>
      </c>
      <c r="M1077">
        <v>5</v>
      </c>
      <c r="N1077">
        <v>-8322602</v>
      </c>
      <c r="O1077">
        <v>-8322602</v>
      </c>
      <c r="P1077">
        <v>0</v>
      </c>
      <c r="Q1077">
        <v>-8322602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 t="s">
        <v>548</v>
      </c>
      <c r="AA1077" t="s">
        <v>76</v>
      </c>
      <c r="AB1077" t="s">
        <v>51</v>
      </c>
      <c r="AC1077" t="s">
        <v>51</v>
      </c>
      <c r="AD1077" t="s">
        <v>51</v>
      </c>
      <c r="AE1077" t="s">
        <v>51</v>
      </c>
      <c r="AF1077" t="s">
        <v>1010</v>
      </c>
    </row>
    <row r="1078" spans="1:32" ht="14.5" customHeight="1" x14ac:dyDescent="0.35">
      <c r="A1078" t="s">
        <v>84</v>
      </c>
      <c r="B1078" t="s">
        <v>85</v>
      </c>
      <c r="C1078" t="s">
        <v>47</v>
      </c>
      <c r="D1078">
        <v>3001136</v>
      </c>
      <c r="E1078">
        <v>3001136</v>
      </c>
      <c r="F1078" t="s">
        <v>1009</v>
      </c>
      <c r="G1078" t="s">
        <v>1009</v>
      </c>
      <c r="H1078" t="s">
        <v>54</v>
      </c>
      <c r="I1078">
        <v>6959528</v>
      </c>
      <c r="J1078" s="12">
        <v>46127</v>
      </c>
      <c r="K1078" s="12">
        <v>46127</v>
      </c>
      <c r="L1078" s="12">
        <v>46127</v>
      </c>
      <c r="M1078">
        <v>5</v>
      </c>
      <c r="N1078">
        <v>-5037365</v>
      </c>
      <c r="O1078">
        <v>-5037365</v>
      </c>
      <c r="P1078">
        <v>0</v>
      </c>
      <c r="Q1078">
        <v>-5037365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 t="s">
        <v>548</v>
      </c>
      <c r="AA1078" t="s">
        <v>76</v>
      </c>
      <c r="AB1078" t="s">
        <v>51</v>
      </c>
      <c r="AC1078" t="s">
        <v>51</v>
      </c>
      <c r="AD1078" t="s">
        <v>51</v>
      </c>
      <c r="AE1078" t="s">
        <v>51</v>
      </c>
      <c r="AF1078" t="s">
        <v>1011</v>
      </c>
    </row>
    <row r="1079" spans="1:32" ht="14.5" customHeight="1" x14ac:dyDescent="0.35">
      <c r="A1079" t="s">
        <v>84</v>
      </c>
      <c r="B1079" t="s">
        <v>85</v>
      </c>
      <c r="C1079" t="s">
        <v>47</v>
      </c>
      <c r="D1079">
        <v>3001136</v>
      </c>
      <c r="E1079">
        <v>3100941</v>
      </c>
      <c r="F1079" t="s">
        <v>1009</v>
      </c>
      <c r="G1079" t="s">
        <v>1012</v>
      </c>
      <c r="H1079" t="s">
        <v>54</v>
      </c>
      <c r="I1079">
        <v>6959761</v>
      </c>
      <c r="J1079" s="12">
        <v>46128</v>
      </c>
      <c r="K1079" s="12">
        <v>46128</v>
      </c>
      <c r="L1079" s="12">
        <v>46128</v>
      </c>
      <c r="M1079">
        <v>4</v>
      </c>
      <c r="N1079">
        <v>-7367110</v>
      </c>
      <c r="O1079">
        <v>-7367110</v>
      </c>
      <c r="P1079">
        <v>0</v>
      </c>
      <c r="Q1079">
        <v>-7367110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 t="s">
        <v>47</v>
      </c>
      <c r="AA1079" t="s">
        <v>76</v>
      </c>
      <c r="AB1079" t="s">
        <v>51</v>
      </c>
      <c r="AC1079" t="s">
        <v>51</v>
      </c>
      <c r="AD1079" t="s">
        <v>51</v>
      </c>
      <c r="AE1079" t="s">
        <v>51</v>
      </c>
      <c r="AF1079" t="s">
        <v>1013</v>
      </c>
    </row>
    <row r="1080" spans="1:32" ht="14.5" customHeight="1" x14ac:dyDescent="0.35">
      <c r="A1080" t="s">
        <v>84</v>
      </c>
      <c r="B1080" t="s">
        <v>85</v>
      </c>
      <c r="C1080" t="s">
        <v>47</v>
      </c>
      <c r="D1080">
        <v>3001136</v>
      </c>
      <c r="E1080">
        <v>3001136</v>
      </c>
      <c r="F1080" t="s">
        <v>1009</v>
      </c>
      <c r="G1080" t="s">
        <v>1009</v>
      </c>
      <c r="H1080" t="s">
        <v>54</v>
      </c>
      <c r="I1080">
        <v>6960005</v>
      </c>
      <c r="J1080" s="12">
        <v>46130</v>
      </c>
      <c r="K1080" s="12">
        <v>46130</v>
      </c>
      <c r="L1080" s="12">
        <v>46130</v>
      </c>
      <c r="M1080">
        <v>2</v>
      </c>
      <c r="N1080">
        <v>-11075610</v>
      </c>
      <c r="O1080">
        <v>-11075610</v>
      </c>
      <c r="P1080">
        <v>0</v>
      </c>
      <c r="Q1080">
        <v>-11075610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 t="s">
        <v>548</v>
      </c>
      <c r="AA1080" t="s">
        <v>76</v>
      </c>
      <c r="AB1080" t="s">
        <v>51</v>
      </c>
      <c r="AC1080" t="s">
        <v>51</v>
      </c>
      <c r="AD1080" t="s">
        <v>51</v>
      </c>
      <c r="AE1080" t="s">
        <v>51</v>
      </c>
      <c r="AF1080" t="s">
        <v>1014</v>
      </c>
    </row>
    <row r="1081" spans="1:32" ht="14.5" customHeight="1" x14ac:dyDescent="0.35">
      <c r="A1081" t="s">
        <v>84</v>
      </c>
      <c r="B1081" t="s">
        <v>85</v>
      </c>
      <c r="C1081" t="s">
        <v>47</v>
      </c>
      <c r="D1081">
        <v>3001136</v>
      </c>
      <c r="E1081">
        <v>3001136</v>
      </c>
      <c r="F1081" t="s">
        <v>1009</v>
      </c>
      <c r="G1081" t="s">
        <v>1009</v>
      </c>
      <c r="H1081" t="s">
        <v>140</v>
      </c>
      <c r="I1081">
        <v>9923771</v>
      </c>
      <c r="J1081" s="12">
        <v>46122</v>
      </c>
      <c r="K1081" s="12">
        <v>46122</v>
      </c>
      <c r="L1081" s="12">
        <v>46157</v>
      </c>
      <c r="M1081">
        <v>-25</v>
      </c>
      <c r="N1081">
        <v>24990000</v>
      </c>
      <c r="O1081">
        <v>0</v>
      </c>
      <c r="P1081">
        <v>24990000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 t="s">
        <v>548</v>
      </c>
      <c r="AA1081" t="s">
        <v>76</v>
      </c>
      <c r="AB1081" t="s">
        <v>51</v>
      </c>
      <c r="AC1081" t="s">
        <v>51</v>
      </c>
      <c r="AD1081" t="s">
        <v>51</v>
      </c>
      <c r="AE1081" t="s">
        <v>1015</v>
      </c>
      <c r="AF1081" t="s">
        <v>1016</v>
      </c>
    </row>
    <row r="1082" spans="1:32" ht="14.5" customHeight="1" x14ac:dyDescent="0.35">
      <c r="A1082" t="s">
        <v>84</v>
      </c>
      <c r="B1082" t="s">
        <v>85</v>
      </c>
      <c r="C1082" t="s">
        <v>846</v>
      </c>
      <c r="D1082">
        <v>3001136</v>
      </c>
      <c r="E1082">
        <v>3001136</v>
      </c>
      <c r="F1082" t="s">
        <v>1009</v>
      </c>
      <c r="G1082" t="s">
        <v>1009</v>
      </c>
      <c r="H1082" t="s">
        <v>54</v>
      </c>
      <c r="I1082">
        <v>9924016</v>
      </c>
      <c r="J1082" s="12">
        <v>46122</v>
      </c>
      <c r="K1082" s="12">
        <v>46122</v>
      </c>
      <c r="L1082" s="12">
        <v>46158</v>
      </c>
      <c r="M1082">
        <v>-26</v>
      </c>
      <c r="N1082">
        <v>129744738</v>
      </c>
      <c r="O1082">
        <v>0</v>
      </c>
      <c r="P1082">
        <v>129744738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 t="s">
        <v>548</v>
      </c>
      <c r="AA1082" t="s">
        <v>76</v>
      </c>
      <c r="AB1082" t="s">
        <v>51</v>
      </c>
      <c r="AC1082" t="s">
        <v>51</v>
      </c>
      <c r="AD1082" t="s">
        <v>51</v>
      </c>
      <c r="AE1082" t="s">
        <v>1017</v>
      </c>
      <c r="AF1082" t="s">
        <v>67</v>
      </c>
    </row>
    <row r="1083" spans="1:32" ht="14.5" customHeight="1" x14ac:dyDescent="0.35">
      <c r="A1083" t="s">
        <v>84</v>
      </c>
      <c r="B1083" t="s">
        <v>85</v>
      </c>
      <c r="C1083" t="s">
        <v>846</v>
      </c>
      <c r="D1083">
        <v>3001136</v>
      </c>
      <c r="E1083">
        <v>3001136</v>
      </c>
      <c r="F1083" t="s">
        <v>1009</v>
      </c>
      <c r="G1083" t="s">
        <v>1009</v>
      </c>
      <c r="H1083" t="s">
        <v>54</v>
      </c>
      <c r="I1083">
        <v>9924154</v>
      </c>
      <c r="J1083" s="12">
        <v>46123</v>
      </c>
      <c r="K1083" s="12">
        <v>46123</v>
      </c>
      <c r="L1083" s="12">
        <v>46159</v>
      </c>
      <c r="M1083">
        <v>-27</v>
      </c>
      <c r="N1083">
        <v>172613301</v>
      </c>
      <c r="O1083">
        <v>0</v>
      </c>
      <c r="P1083">
        <v>172613301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 t="s">
        <v>548</v>
      </c>
      <c r="AA1083" t="s">
        <v>76</v>
      </c>
      <c r="AB1083" t="s">
        <v>51</v>
      </c>
      <c r="AC1083" t="s">
        <v>51</v>
      </c>
      <c r="AD1083" t="s">
        <v>51</v>
      </c>
      <c r="AE1083" t="s">
        <v>1018</v>
      </c>
      <c r="AF1083" t="s">
        <v>195</v>
      </c>
    </row>
    <row r="1084" spans="1:32" ht="14.5" customHeight="1" x14ac:dyDescent="0.35">
      <c r="A1084" t="s">
        <v>498</v>
      </c>
      <c r="B1084" t="s">
        <v>499</v>
      </c>
      <c r="C1084" t="s">
        <v>47</v>
      </c>
      <c r="D1084">
        <v>3001141</v>
      </c>
      <c r="E1084">
        <v>3001141</v>
      </c>
      <c r="F1084" t="s">
        <v>1019</v>
      </c>
      <c r="G1084" t="s">
        <v>1019</v>
      </c>
      <c r="H1084" t="s">
        <v>49</v>
      </c>
      <c r="I1084">
        <v>9102028924</v>
      </c>
      <c r="J1084" s="12">
        <v>45887</v>
      </c>
      <c r="K1084" s="12">
        <v>45887</v>
      </c>
      <c r="L1084" s="12">
        <v>45887</v>
      </c>
      <c r="M1084">
        <v>245</v>
      </c>
      <c r="N1084">
        <v>-753494</v>
      </c>
      <c r="O1084">
        <v>-753494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-753494</v>
      </c>
      <c r="X1084">
        <v>0</v>
      </c>
      <c r="Y1084" t="s">
        <v>548</v>
      </c>
      <c r="AA1084"/>
      <c r="AB1084" t="s">
        <v>51</v>
      </c>
      <c r="AC1084" t="s">
        <v>51</v>
      </c>
      <c r="AD1084" t="s">
        <v>51</v>
      </c>
      <c r="AE1084" t="s">
        <v>51</v>
      </c>
      <c r="AF1084" t="s">
        <v>1020</v>
      </c>
    </row>
    <row r="1085" spans="1:32" ht="14.5" customHeight="1" x14ac:dyDescent="0.35">
      <c r="A1085" t="s">
        <v>175</v>
      </c>
      <c r="B1085" t="s">
        <v>203</v>
      </c>
      <c r="C1085" t="s">
        <v>47</v>
      </c>
      <c r="D1085">
        <v>3001143</v>
      </c>
      <c r="E1085">
        <v>3001143</v>
      </c>
      <c r="F1085" t="s">
        <v>1021</v>
      </c>
      <c r="G1085" t="s">
        <v>1021</v>
      </c>
      <c r="H1085" t="s">
        <v>54</v>
      </c>
      <c r="I1085">
        <v>6955609</v>
      </c>
      <c r="J1085" s="12">
        <v>46095</v>
      </c>
      <c r="K1085" s="12">
        <v>46095</v>
      </c>
      <c r="L1085" s="12">
        <v>46095</v>
      </c>
      <c r="M1085">
        <v>37</v>
      </c>
      <c r="N1085">
        <v>-4380687</v>
      </c>
      <c r="O1085">
        <v>-4380687</v>
      </c>
      <c r="P1085">
        <v>0</v>
      </c>
      <c r="Q1085">
        <v>0</v>
      </c>
      <c r="R1085">
        <v>-4380687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 t="s">
        <v>548</v>
      </c>
      <c r="AA1085" t="s">
        <v>55</v>
      </c>
      <c r="AB1085" t="s">
        <v>51</v>
      </c>
      <c r="AC1085" t="s">
        <v>51</v>
      </c>
      <c r="AD1085" t="s">
        <v>51</v>
      </c>
      <c r="AE1085" t="s">
        <v>51</v>
      </c>
      <c r="AF1085" t="s">
        <v>1022</v>
      </c>
    </row>
    <row r="1086" spans="1:32" ht="14.5" customHeight="1" x14ac:dyDescent="0.35">
      <c r="A1086" t="s">
        <v>175</v>
      </c>
      <c r="B1086" t="s">
        <v>203</v>
      </c>
      <c r="C1086" t="s">
        <v>47</v>
      </c>
      <c r="D1086">
        <v>3001143</v>
      </c>
      <c r="E1086">
        <v>3001145</v>
      </c>
      <c r="F1086" t="s">
        <v>1021</v>
      </c>
      <c r="G1086" t="s">
        <v>1023</v>
      </c>
      <c r="H1086" t="s">
        <v>54</v>
      </c>
      <c r="I1086">
        <v>6955610</v>
      </c>
      <c r="J1086" s="12">
        <v>46095</v>
      </c>
      <c r="K1086" s="12">
        <v>46095</v>
      </c>
      <c r="L1086" s="12">
        <v>46095</v>
      </c>
      <c r="M1086">
        <v>37</v>
      </c>
      <c r="N1086">
        <v>-1600125</v>
      </c>
      <c r="O1086">
        <v>-1600125</v>
      </c>
      <c r="P1086">
        <v>0</v>
      </c>
      <c r="Q1086">
        <v>0</v>
      </c>
      <c r="R1086">
        <v>-1600125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 t="s">
        <v>548</v>
      </c>
      <c r="AA1086" t="s">
        <v>55</v>
      </c>
      <c r="AB1086" t="s">
        <v>51</v>
      </c>
      <c r="AC1086" t="s">
        <v>51</v>
      </c>
      <c r="AD1086" t="s">
        <v>51</v>
      </c>
      <c r="AE1086" t="s">
        <v>51</v>
      </c>
      <c r="AF1086" t="s">
        <v>1024</v>
      </c>
    </row>
    <row r="1087" spans="1:32" ht="14.5" customHeight="1" x14ac:dyDescent="0.35">
      <c r="A1087" t="s">
        <v>175</v>
      </c>
      <c r="B1087" t="s">
        <v>203</v>
      </c>
      <c r="C1087" t="s">
        <v>47</v>
      </c>
      <c r="D1087">
        <v>3001143</v>
      </c>
      <c r="E1087">
        <v>3100795</v>
      </c>
      <c r="F1087" t="s">
        <v>1021</v>
      </c>
      <c r="G1087" t="s">
        <v>1021</v>
      </c>
      <c r="H1087" t="s">
        <v>54</v>
      </c>
      <c r="I1087">
        <v>6955611</v>
      </c>
      <c r="J1087" s="12">
        <v>46095</v>
      </c>
      <c r="K1087" s="12">
        <v>46095</v>
      </c>
      <c r="L1087" s="12">
        <v>46140</v>
      </c>
      <c r="M1087">
        <v>-8</v>
      </c>
      <c r="N1087">
        <v>-495125</v>
      </c>
      <c r="O1087">
        <v>-495125</v>
      </c>
      <c r="P1087">
        <v>0</v>
      </c>
      <c r="Q1087">
        <v>0</v>
      </c>
      <c r="R1087">
        <v>-495125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 t="s">
        <v>47</v>
      </c>
      <c r="AA1087" t="s">
        <v>55</v>
      </c>
      <c r="AB1087" t="s">
        <v>51</v>
      </c>
      <c r="AC1087" t="s">
        <v>51</v>
      </c>
      <c r="AD1087" t="s">
        <v>51</v>
      </c>
      <c r="AE1087" t="s">
        <v>51</v>
      </c>
      <c r="AF1087" t="s">
        <v>1022</v>
      </c>
    </row>
    <row r="1088" spans="1:32" ht="14.5" customHeight="1" x14ac:dyDescent="0.35">
      <c r="A1088" t="s">
        <v>175</v>
      </c>
      <c r="B1088" t="s">
        <v>203</v>
      </c>
      <c r="C1088" t="s">
        <v>47</v>
      </c>
      <c r="D1088">
        <v>3001143</v>
      </c>
      <c r="E1088">
        <v>3001143</v>
      </c>
      <c r="F1088" t="s">
        <v>1021</v>
      </c>
      <c r="G1088" t="s">
        <v>1021</v>
      </c>
      <c r="H1088" t="s">
        <v>54</v>
      </c>
      <c r="I1088">
        <v>6956664</v>
      </c>
      <c r="J1088" s="12">
        <v>46105</v>
      </c>
      <c r="K1088" s="12">
        <v>46105</v>
      </c>
      <c r="L1088" s="12">
        <v>46105</v>
      </c>
      <c r="M1088">
        <v>27</v>
      </c>
      <c r="N1088">
        <v>-82753647</v>
      </c>
      <c r="O1088">
        <v>-82753647</v>
      </c>
      <c r="P1088">
        <v>0</v>
      </c>
      <c r="Q1088">
        <v>-82753647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 t="s">
        <v>548</v>
      </c>
      <c r="AA1088" t="s">
        <v>55</v>
      </c>
      <c r="AB1088" t="s">
        <v>51</v>
      </c>
      <c r="AC1088" t="s">
        <v>51</v>
      </c>
      <c r="AD1088" t="s">
        <v>51</v>
      </c>
      <c r="AE1088" t="s">
        <v>51</v>
      </c>
      <c r="AF1088" t="s">
        <v>56</v>
      </c>
    </row>
    <row r="1089" spans="1:32" ht="14.5" customHeight="1" x14ac:dyDescent="0.35">
      <c r="A1089" t="s">
        <v>175</v>
      </c>
      <c r="B1089" t="s">
        <v>203</v>
      </c>
      <c r="C1089" t="s">
        <v>47</v>
      </c>
      <c r="D1089">
        <v>3001143</v>
      </c>
      <c r="E1089">
        <v>3001144</v>
      </c>
      <c r="F1089" t="s">
        <v>1021</v>
      </c>
      <c r="G1089" t="s">
        <v>1025</v>
      </c>
      <c r="H1089" t="s">
        <v>54</v>
      </c>
      <c r="I1089">
        <v>6956665</v>
      </c>
      <c r="J1089" s="12">
        <v>46105</v>
      </c>
      <c r="K1089" s="12">
        <v>46105</v>
      </c>
      <c r="L1089" s="12">
        <v>46105</v>
      </c>
      <c r="M1089">
        <v>27</v>
      </c>
      <c r="N1089">
        <v>-30661492</v>
      </c>
      <c r="O1089">
        <v>-30661492</v>
      </c>
      <c r="P1089">
        <v>0</v>
      </c>
      <c r="Q1089">
        <v>-30661492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 t="s">
        <v>548</v>
      </c>
      <c r="AA1089" t="s">
        <v>55</v>
      </c>
      <c r="AB1089" t="s">
        <v>51</v>
      </c>
      <c r="AC1089" t="s">
        <v>51</v>
      </c>
      <c r="AD1089" t="s">
        <v>51</v>
      </c>
      <c r="AE1089" t="s">
        <v>51</v>
      </c>
      <c r="AF1089" t="s">
        <v>1026</v>
      </c>
    </row>
    <row r="1090" spans="1:32" ht="14.5" customHeight="1" x14ac:dyDescent="0.35">
      <c r="A1090" t="s">
        <v>175</v>
      </c>
      <c r="B1090" t="s">
        <v>203</v>
      </c>
      <c r="C1090" t="s">
        <v>47</v>
      </c>
      <c r="D1090">
        <v>3001143</v>
      </c>
      <c r="E1090">
        <v>3100795</v>
      </c>
      <c r="F1090" t="s">
        <v>1021</v>
      </c>
      <c r="G1090" t="s">
        <v>1021</v>
      </c>
      <c r="H1090" t="s">
        <v>54</v>
      </c>
      <c r="I1090">
        <v>6956666</v>
      </c>
      <c r="J1090" s="12">
        <v>46105</v>
      </c>
      <c r="K1090" s="12">
        <v>46105</v>
      </c>
      <c r="L1090" s="12">
        <v>46150</v>
      </c>
      <c r="M1090">
        <v>-18</v>
      </c>
      <c r="N1090">
        <v>-16237104</v>
      </c>
      <c r="O1090">
        <v>-16237104</v>
      </c>
      <c r="P1090">
        <v>0</v>
      </c>
      <c r="Q1090">
        <v>-16237104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 t="s">
        <v>47</v>
      </c>
      <c r="AA1090" t="s">
        <v>55</v>
      </c>
      <c r="AB1090" t="s">
        <v>51</v>
      </c>
      <c r="AC1090" t="s">
        <v>51</v>
      </c>
      <c r="AD1090" t="s">
        <v>51</v>
      </c>
      <c r="AE1090" t="s">
        <v>51</v>
      </c>
      <c r="AF1090" t="s">
        <v>312</v>
      </c>
    </row>
    <row r="1091" spans="1:32" ht="14.5" customHeight="1" x14ac:dyDescent="0.35">
      <c r="A1091" t="s">
        <v>175</v>
      </c>
      <c r="B1091" t="s">
        <v>203</v>
      </c>
      <c r="C1091" t="s">
        <v>47</v>
      </c>
      <c r="D1091">
        <v>3001143</v>
      </c>
      <c r="E1091">
        <v>3100795</v>
      </c>
      <c r="F1091" t="s">
        <v>1021</v>
      </c>
      <c r="G1091" t="s">
        <v>1021</v>
      </c>
      <c r="H1091" t="s">
        <v>54</v>
      </c>
      <c r="I1091">
        <v>6957710</v>
      </c>
      <c r="J1091" s="12">
        <v>46112</v>
      </c>
      <c r="K1091" s="12">
        <v>46112</v>
      </c>
      <c r="L1091" s="12">
        <v>46157</v>
      </c>
      <c r="M1091">
        <v>-25</v>
      </c>
      <c r="N1091">
        <v>-2559403</v>
      </c>
      <c r="O1091">
        <v>0</v>
      </c>
      <c r="P1091">
        <v>0</v>
      </c>
      <c r="Q1091">
        <v>-2559403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 t="s">
        <v>47</v>
      </c>
      <c r="AA1091" t="s">
        <v>55</v>
      </c>
      <c r="AB1091" t="s">
        <v>51</v>
      </c>
      <c r="AC1091" t="s">
        <v>51</v>
      </c>
      <c r="AD1091" t="s">
        <v>51</v>
      </c>
      <c r="AE1091" t="s">
        <v>51</v>
      </c>
      <c r="AF1091" t="s">
        <v>1027</v>
      </c>
    </row>
    <row r="1092" spans="1:32" ht="14.5" customHeight="1" x14ac:dyDescent="0.35">
      <c r="A1092" t="s">
        <v>175</v>
      </c>
      <c r="B1092" t="s">
        <v>203</v>
      </c>
      <c r="C1092" t="s">
        <v>47</v>
      </c>
      <c r="D1092">
        <v>3001143</v>
      </c>
      <c r="E1092">
        <v>3001143</v>
      </c>
      <c r="F1092" t="s">
        <v>1021</v>
      </c>
      <c r="G1092" t="s">
        <v>1021</v>
      </c>
      <c r="H1092" t="s">
        <v>54</v>
      </c>
      <c r="I1092">
        <v>6957738</v>
      </c>
      <c r="J1092" s="12">
        <v>46112</v>
      </c>
      <c r="K1092" s="12">
        <v>46112</v>
      </c>
      <c r="L1092" s="12">
        <v>46112</v>
      </c>
      <c r="M1092">
        <v>20</v>
      </c>
      <c r="N1092">
        <v>-5786810</v>
      </c>
      <c r="O1092">
        <v>-5786810</v>
      </c>
      <c r="P1092">
        <v>0</v>
      </c>
      <c r="Q1092">
        <v>-5786810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 t="s">
        <v>548</v>
      </c>
      <c r="AA1092" t="s">
        <v>55</v>
      </c>
      <c r="AB1092" t="s">
        <v>51</v>
      </c>
      <c r="AC1092" t="s">
        <v>51</v>
      </c>
      <c r="AD1092" t="s">
        <v>51</v>
      </c>
      <c r="AE1092" t="s">
        <v>51</v>
      </c>
      <c r="AF1092" t="s">
        <v>1027</v>
      </c>
    </row>
    <row r="1093" spans="1:32" ht="14.5" customHeight="1" x14ac:dyDescent="0.35">
      <c r="A1093" t="s">
        <v>175</v>
      </c>
      <c r="B1093" t="s">
        <v>203</v>
      </c>
      <c r="C1093" t="s">
        <v>47</v>
      </c>
      <c r="D1093">
        <v>3001143</v>
      </c>
      <c r="E1093">
        <v>3001144</v>
      </c>
      <c r="F1093" t="s">
        <v>1021</v>
      </c>
      <c r="G1093" t="s">
        <v>1025</v>
      </c>
      <c r="H1093" t="s">
        <v>54</v>
      </c>
      <c r="I1093">
        <v>6957739</v>
      </c>
      <c r="J1093" s="12">
        <v>46112</v>
      </c>
      <c r="K1093" s="12">
        <v>46112</v>
      </c>
      <c r="L1093" s="12">
        <v>46112</v>
      </c>
      <c r="M1093">
        <v>20</v>
      </c>
      <c r="N1093">
        <v>-2281587</v>
      </c>
      <c r="O1093">
        <v>-2281587</v>
      </c>
      <c r="P1093">
        <v>0</v>
      </c>
      <c r="Q1093">
        <v>-2281587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 t="s">
        <v>548</v>
      </c>
      <c r="AA1093" t="s">
        <v>55</v>
      </c>
      <c r="AB1093" t="s">
        <v>51</v>
      </c>
      <c r="AC1093" t="s">
        <v>51</v>
      </c>
      <c r="AD1093" t="s">
        <v>51</v>
      </c>
      <c r="AE1093" t="s">
        <v>51</v>
      </c>
      <c r="AF1093" t="s">
        <v>1027</v>
      </c>
    </row>
    <row r="1094" spans="1:32" ht="14.5" customHeight="1" x14ac:dyDescent="0.35">
      <c r="A1094" t="s">
        <v>175</v>
      </c>
      <c r="B1094" t="s">
        <v>203</v>
      </c>
      <c r="C1094" t="s">
        <v>47</v>
      </c>
      <c r="D1094">
        <v>3001143</v>
      </c>
      <c r="E1094">
        <v>3001145</v>
      </c>
      <c r="F1094" t="s">
        <v>1021</v>
      </c>
      <c r="G1094" t="s">
        <v>1023</v>
      </c>
      <c r="H1094" t="s">
        <v>54</v>
      </c>
      <c r="I1094">
        <v>6957740</v>
      </c>
      <c r="J1094" s="12">
        <v>46112</v>
      </c>
      <c r="K1094" s="12">
        <v>46112</v>
      </c>
      <c r="L1094" s="12">
        <v>46112</v>
      </c>
      <c r="M1094">
        <v>20</v>
      </c>
      <c r="N1094">
        <v>-2708251</v>
      </c>
      <c r="O1094">
        <v>-2708251</v>
      </c>
      <c r="P1094">
        <v>0</v>
      </c>
      <c r="Q1094">
        <v>-2708251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 t="s">
        <v>548</v>
      </c>
      <c r="AA1094" t="s">
        <v>55</v>
      </c>
      <c r="AB1094" t="s">
        <v>51</v>
      </c>
      <c r="AC1094" t="s">
        <v>51</v>
      </c>
      <c r="AD1094" t="s">
        <v>51</v>
      </c>
      <c r="AE1094" t="s">
        <v>51</v>
      </c>
      <c r="AF1094" t="s">
        <v>1027</v>
      </c>
    </row>
    <row r="1095" spans="1:32" ht="14.5" customHeight="1" x14ac:dyDescent="0.35">
      <c r="A1095" t="s">
        <v>175</v>
      </c>
      <c r="B1095" t="s">
        <v>203</v>
      </c>
      <c r="C1095" t="s">
        <v>846</v>
      </c>
      <c r="D1095">
        <v>3001143</v>
      </c>
      <c r="E1095">
        <v>3001144</v>
      </c>
      <c r="F1095" t="s">
        <v>1021</v>
      </c>
      <c r="G1095" t="s">
        <v>1025</v>
      </c>
      <c r="H1095" t="s">
        <v>54</v>
      </c>
      <c r="I1095">
        <v>9910620</v>
      </c>
      <c r="J1095" s="12">
        <v>46081</v>
      </c>
      <c r="K1095" s="12">
        <v>46081</v>
      </c>
      <c r="L1095" s="12">
        <v>46140</v>
      </c>
      <c r="M1095">
        <v>-8</v>
      </c>
      <c r="N1095">
        <v>199811562</v>
      </c>
      <c r="O1095">
        <v>0</v>
      </c>
      <c r="P1095">
        <v>199811562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 t="s">
        <v>548</v>
      </c>
      <c r="AA1095" t="s">
        <v>55</v>
      </c>
      <c r="AB1095" t="s">
        <v>51</v>
      </c>
      <c r="AC1095" t="s">
        <v>51</v>
      </c>
      <c r="AD1095" t="s">
        <v>1028</v>
      </c>
      <c r="AE1095" t="s">
        <v>51</v>
      </c>
      <c r="AF1095" t="s">
        <v>752</v>
      </c>
    </row>
    <row r="1096" spans="1:32" ht="14.5" customHeight="1" x14ac:dyDescent="0.35">
      <c r="A1096" t="s">
        <v>175</v>
      </c>
      <c r="B1096" t="s">
        <v>203</v>
      </c>
      <c r="C1096" t="s">
        <v>846</v>
      </c>
      <c r="D1096">
        <v>3001143</v>
      </c>
      <c r="E1096">
        <v>3001144</v>
      </c>
      <c r="F1096" t="s">
        <v>1021</v>
      </c>
      <c r="G1096" t="s">
        <v>1025</v>
      </c>
      <c r="H1096" t="s">
        <v>54</v>
      </c>
      <c r="I1096">
        <v>9910622</v>
      </c>
      <c r="J1096" s="12">
        <v>46081</v>
      </c>
      <c r="K1096" s="12">
        <v>46081</v>
      </c>
      <c r="L1096" s="12">
        <v>46140</v>
      </c>
      <c r="M1096">
        <v>-8</v>
      </c>
      <c r="N1096">
        <v>169782293</v>
      </c>
      <c r="O1096">
        <v>0</v>
      </c>
      <c r="P1096">
        <v>169782293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 t="s">
        <v>548</v>
      </c>
      <c r="AA1096" t="s">
        <v>55</v>
      </c>
      <c r="AB1096" t="s">
        <v>51</v>
      </c>
      <c r="AC1096" t="s">
        <v>51</v>
      </c>
      <c r="AD1096" t="s">
        <v>1029</v>
      </c>
      <c r="AE1096" t="s">
        <v>51</v>
      </c>
      <c r="AF1096" t="s">
        <v>1030</v>
      </c>
    </row>
    <row r="1097" spans="1:32" ht="14.5" customHeight="1" x14ac:dyDescent="0.35">
      <c r="A1097" t="s">
        <v>175</v>
      </c>
      <c r="B1097" t="s">
        <v>203</v>
      </c>
      <c r="C1097" t="s">
        <v>846</v>
      </c>
      <c r="D1097">
        <v>3001143</v>
      </c>
      <c r="E1097">
        <v>3001143</v>
      </c>
      <c r="F1097" t="s">
        <v>1021</v>
      </c>
      <c r="G1097" t="s">
        <v>1021</v>
      </c>
      <c r="H1097" t="s">
        <v>54</v>
      </c>
      <c r="I1097">
        <v>9910637</v>
      </c>
      <c r="J1097" s="12">
        <v>46081</v>
      </c>
      <c r="K1097" s="12">
        <v>46081</v>
      </c>
      <c r="L1097" s="12">
        <v>46140</v>
      </c>
      <c r="M1097">
        <v>-8</v>
      </c>
      <c r="N1097">
        <v>345597421</v>
      </c>
      <c r="O1097">
        <v>0</v>
      </c>
      <c r="P1097">
        <v>345597421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 t="s">
        <v>548</v>
      </c>
      <c r="AA1097" t="s">
        <v>55</v>
      </c>
      <c r="AB1097" t="s">
        <v>51</v>
      </c>
      <c r="AC1097" t="s">
        <v>51</v>
      </c>
      <c r="AD1097" t="s">
        <v>1031</v>
      </c>
      <c r="AE1097" t="s">
        <v>51</v>
      </c>
      <c r="AF1097" t="s">
        <v>320</v>
      </c>
    </row>
    <row r="1098" spans="1:32" ht="14.5" customHeight="1" x14ac:dyDescent="0.35">
      <c r="A1098" t="s">
        <v>175</v>
      </c>
      <c r="B1098" t="s">
        <v>203</v>
      </c>
      <c r="C1098" t="s">
        <v>846</v>
      </c>
      <c r="D1098">
        <v>3001143</v>
      </c>
      <c r="E1098">
        <v>3001143</v>
      </c>
      <c r="F1098" t="s">
        <v>1021</v>
      </c>
      <c r="G1098" t="s">
        <v>1021</v>
      </c>
      <c r="H1098" t="s">
        <v>54</v>
      </c>
      <c r="I1098">
        <v>9910672</v>
      </c>
      <c r="J1098" s="12">
        <v>46081</v>
      </c>
      <c r="K1098" s="12">
        <v>46081</v>
      </c>
      <c r="L1098" s="12">
        <v>46140</v>
      </c>
      <c r="M1098">
        <v>-8</v>
      </c>
      <c r="N1098">
        <v>403783061</v>
      </c>
      <c r="O1098">
        <v>0</v>
      </c>
      <c r="P1098">
        <v>403783061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 t="s">
        <v>548</v>
      </c>
      <c r="AA1098" t="s">
        <v>55</v>
      </c>
      <c r="AB1098" t="s">
        <v>51</v>
      </c>
      <c r="AC1098" t="s">
        <v>51</v>
      </c>
      <c r="AD1098" t="s">
        <v>1032</v>
      </c>
      <c r="AE1098" t="s">
        <v>51</v>
      </c>
      <c r="AF1098" t="s">
        <v>62</v>
      </c>
    </row>
    <row r="1099" spans="1:32" ht="14.5" customHeight="1" x14ac:dyDescent="0.35">
      <c r="A1099" t="s">
        <v>175</v>
      </c>
      <c r="B1099" t="s">
        <v>203</v>
      </c>
      <c r="C1099" t="s">
        <v>846</v>
      </c>
      <c r="D1099">
        <v>3001143</v>
      </c>
      <c r="E1099">
        <v>3001143</v>
      </c>
      <c r="F1099" t="s">
        <v>1021</v>
      </c>
      <c r="G1099" t="s">
        <v>1021</v>
      </c>
      <c r="H1099" t="s">
        <v>49</v>
      </c>
      <c r="I1099">
        <v>9102073745</v>
      </c>
      <c r="J1099" s="12">
        <v>46112</v>
      </c>
      <c r="K1099" s="12">
        <v>46112</v>
      </c>
      <c r="L1099" s="12">
        <v>46112</v>
      </c>
      <c r="M1099">
        <v>20</v>
      </c>
      <c r="N1099">
        <v>157626947</v>
      </c>
      <c r="O1099">
        <v>0</v>
      </c>
      <c r="P1099">
        <v>0</v>
      </c>
      <c r="Q1099">
        <v>157626947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 t="s">
        <v>548</v>
      </c>
      <c r="AA1099" t="s">
        <v>50</v>
      </c>
      <c r="AB1099" t="s">
        <v>51</v>
      </c>
      <c r="AC1099" t="s">
        <v>51</v>
      </c>
      <c r="AD1099" t="s">
        <v>51</v>
      </c>
      <c r="AE1099" t="s">
        <v>51</v>
      </c>
      <c r="AF1099" t="s">
        <v>1033</v>
      </c>
    </row>
    <row r="1100" spans="1:32" ht="14.5" customHeight="1" x14ac:dyDescent="0.35">
      <c r="A1100" t="s">
        <v>498</v>
      </c>
      <c r="B1100" t="s">
        <v>968</v>
      </c>
      <c r="C1100" t="s">
        <v>47</v>
      </c>
      <c r="D1100">
        <v>3001149</v>
      </c>
      <c r="E1100">
        <v>3001149</v>
      </c>
      <c r="F1100" t="s">
        <v>1034</v>
      </c>
      <c r="G1100" t="s">
        <v>1034</v>
      </c>
      <c r="H1100" t="s">
        <v>54</v>
      </c>
      <c r="I1100">
        <v>6956420</v>
      </c>
      <c r="J1100" s="12">
        <v>46099</v>
      </c>
      <c r="K1100" s="12">
        <v>46099</v>
      </c>
      <c r="L1100" s="12">
        <v>46099</v>
      </c>
      <c r="M1100">
        <v>33</v>
      </c>
      <c r="N1100">
        <v>-15606063</v>
      </c>
      <c r="O1100">
        <v>-15606063</v>
      </c>
      <c r="P1100">
        <v>0</v>
      </c>
      <c r="Q1100">
        <v>0</v>
      </c>
      <c r="R1100">
        <v>-15606063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 t="s">
        <v>548</v>
      </c>
      <c r="AA1100" t="s">
        <v>76</v>
      </c>
      <c r="AB1100" t="s">
        <v>51</v>
      </c>
      <c r="AC1100" t="s">
        <v>51</v>
      </c>
      <c r="AD1100" t="s">
        <v>51</v>
      </c>
      <c r="AE1100" t="s">
        <v>51</v>
      </c>
      <c r="AF1100" t="s">
        <v>106</v>
      </c>
    </row>
    <row r="1101" spans="1:32" ht="14.5" customHeight="1" x14ac:dyDescent="0.35">
      <c r="A1101" t="s">
        <v>498</v>
      </c>
      <c r="B1101" t="s">
        <v>968</v>
      </c>
      <c r="C1101" t="s">
        <v>47</v>
      </c>
      <c r="D1101">
        <v>3001149</v>
      </c>
      <c r="E1101">
        <v>3001149</v>
      </c>
      <c r="F1101" t="s">
        <v>1034</v>
      </c>
      <c r="G1101" t="s">
        <v>1034</v>
      </c>
      <c r="H1101" t="s">
        <v>54</v>
      </c>
      <c r="I1101">
        <v>6956547</v>
      </c>
      <c r="J1101" s="12">
        <v>46105</v>
      </c>
      <c r="K1101" s="12">
        <v>46105</v>
      </c>
      <c r="L1101" s="12">
        <v>46105</v>
      </c>
      <c r="M1101">
        <v>27</v>
      </c>
      <c r="N1101">
        <v>-515356</v>
      </c>
      <c r="O1101">
        <v>-515356</v>
      </c>
      <c r="P1101">
        <v>0</v>
      </c>
      <c r="Q1101">
        <v>-515356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 t="s">
        <v>548</v>
      </c>
      <c r="AA1101" t="s">
        <v>76</v>
      </c>
      <c r="AB1101" t="s">
        <v>51</v>
      </c>
      <c r="AC1101" t="s">
        <v>51</v>
      </c>
      <c r="AD1101" t="s">
        <v>51</v>
      </c>
      <c r="AE1101" t="s">
        <v>51</v>
      </c>
      <c r="AF1101" t="s">
        <v>1035</v>
      </c>
    </row>
    <row r="1102" spans="1:32" ht="14.5" customHeight="1" x14ac:dyDescent="0.35">
      <c r="A1102" t="s">
        <v>498</v>
      </c>
      <c r="B1102" t="s">
        <v>968</v>
      </c>
      <c r="C1102" t="s">
        <v>47</v>
      </c>
      <c r="D1102">
        <v>3001149</v>
      </c>
      <c r="E1102">
        <v>3001149</v>
      </c>
      <c r="F1102" t="s">
        <v>1034</v>
      </c>
      <c r="G1102" t="s">
        <v>1034</v>
      </c>
      <c r="H1102" t="s">
        <v>54</v>
      </c>
      <c r="I1102">
        <v>6956548</v>
      </c>
      <c r="J1102" s="12">
        <v>46105</v>
      </c>
      <c r="K1102" s="12">
        <v>46105</v>
      </c>
      <c r="L1102" s="12">
        <v>46105</v>
      </c>
      <c r="M1102">
        <v>27</v>
      </c>
      <c r="N1102">
        <v>-101487</v>
      </c>
      <c r="O1102">
        <v>-101487</v>
      </c>
      <c r="P1102">
        <v>0</v>
      </c>
      <c r="Q1102">
        <v>-101487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 t="s">
        <v>548</v>
      </c>
      <c r="AA1102" t="s">
        <v>76</v>
      </c>
      <c r="AB1102" t="s">
        <v>51</v>
      </c>
      <c r="AC1102" t="s">
        <v>51</v>
      </c>
      <c r="AD1102" t="s">
        <v>51</v>
      </c>
      <c r="AE1102" t="s">
        <v>51</v>
      </c>
      <c r="AF1102" t="s">
        <v>1035</v>
      </c>
    </row>
    <row r="1103" spans="1:32" ht="14.5" customHeight="1" x14ac:dyDescent="0.35">
      <c r="A1103" t="s">
        <v>498</v>
      </c>
      <c r="B1103" t="s">
        <v>968</v>
      </c>
      <c r="C1103" t="s">
        <v>47</v>
      </c>
      <c r="D1103">
        <v>3001149</v>
      </c>
      <c r="E1103">
        <v>3001149</v>
      </c>
      <c r="F1103" t="s">
        <v>1034</v>
      </c>
      <c r="G1103" t="s">
        <v>1034</v>
      </c>
      <c r="H1103" t="s">
        <v>54</v>
      </c>
      <c r="I1103">
        <v>6956576</v>
      </c>
      <c r="J1103" s="12">
        <v>46105</v>
      </c>
      <c r="K1103" s="12">
        <v>46105</v>
      </c>
      <c r="L1103" s="12">
        <v>46105</v>
      </c>
      <c r="M1103">
        <v>27</v>
      </c>
      <c r="N1103">
        <v>-504441</v>
      </c>
      <c r="O1103">
        <v>-504441</v>
      </c>
      <c r="P1103">
        <v>0</v>
      </c>
      <c r="Q1103">
        <v>-504441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 t="s">
        <v>548</v>
      </c>
      <c r="AA1103" t="s">
        <v>76</v>
      </c>
      <c r="AB1103" t="s">
        <v>51</v>
      </c>
      <c r="AC1103" t="s">
        <v>51</v>
      </c>
      <c r="AD1103" t="s">
        <v>51</v>
      </c>
      <c r="AE1103" t="s">
        <v>51</v>
      </c>
      <c r="AF1103" t="s">
        <v>1035</v>
      </c>
    </row>
    <row r="1104" spans="1:32" ht="14.5" customHeight="1" x14ac:dyDescent="0.35">
      <c r="A1104" t="s">
        <v>498</v>
      </c>
      <c r="B1104" t="s">
        <v>968</v>
      </c>
      <c r="C1104" t="s">
        <v>47</v>
      </c>
      <c r="D1104">
        <v>3001149</v>
      </c>
      <c r="E1104">
        <v>3001149</v>
      </c>
      <c r="F1104" t="s">
        <v>1034</v>
      </c>
      <c r="G1104" t="s">
        <v>1034</v>
      </c>
      <c r="H1104" t="s">
        <v>54</v>
      </c>
      <c r="I1104">
        <v>6957495</v>
      </c>
      <c r="J1104" s="12">
        <v>46107</v>
      </c>
      <c r="K1104" s="12">
        <v>46107</v>
      </c>
      <c r="L1104" s="12">
        <v>46107</v>
      </c>
      <c r="M1104">
        <v>25</v>
      </c>
      <c r="N1104">
        <v>-626369</v>
      </c>
      <c r="O1104">
        <v>-626369</v>
      </c>
      <c r="P1104">
        <v>0</v>
      </c>
      <c r="Q1104">
        <v>-626369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 t="s">
        <v>548</v>
      </c>
      <c r="AA1104" t="s">
        <v>76</v>
      </c>
      <c r="AB1104" t="s">
        <v>51</v>
      </c>
      <c r="AC1104" t="s">
        <v>51</v>
      </c>
      <c r="AD1104" t="s">
        <v>51</v>
      </c>
      <c r="AE1104" t="s">
        <v>51</v>
      </c>
      <c r="AF1104" t="s">
        <v>1036</v>
      </c>
    </row>
    <row r="1105" spans="1:32" ht="14.5" customHeight="1" x14ac:dyDescent="0.35">
      <c r="A1105" t="s">
        <v>498</v>
      </c>
      <c r="B1105" t="s">
        <v>968</v>
      </c>
      <c r="C1105" t="s">
        <v>47</v>
      </c>
      <c r="D1105">
        <v>3001149</v>
      </c>
      <c r="E1105">
        <v>3001149</v>
      </c>
      <c r="F1105" t="s">
        <v>1034</v>
      </c>
      <c r="G1105" t="s">
        <v>1034</v>
      </c>
      <c r="H1105" t="s">
        <v>54</v>
      </c>
      <c r="I1105">
        <v>6957703</v>
      </c>
      <c r="J1105" s="12">
        <v>46112</v>
      </c>
      <c r="K1105" s="12">
        <v>46112</v>
      </c>
      <c r="L1105" s="12">
        <v>46112</v>
      </c>
      <c r="M1105">
        <v>20</v>
      </c>
      <c r="N1105">
        <v>-2082824</v>
      </c>
      <c r="O1105">
        <v>-2082824</v>
      </c>
      <c r="P1105">
        <v>0</v>
      </c>
      <c r="Q1105">
        <v>-2082824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 t="s">
        <v>548</v>
      </c>
      <c r="AA1105" t="s">
        <v>76</v>
      </c>
      <c r="AB1105" t="s">
        <v>51</v>
      </c>
      <c r="AC1105" t="s">
        <v>51</v>
      </c>
      <c r="AD1105" t="s">
        <v>51</v>
      </c>
      <c r="AE1105" t="s">
        <v>51</v>
      </c>
      <c r="AF1105" t="s">
        <v>1037</v>
      </c>
    </row>
    <row r="1106" spans="1:32" ht="14.5" customHeight="1" x14ac:dyDescent="0.35">
      <c r="A1106" t="s">
        <v>498</v>
      </c>
      <c r="B1106" t="s">
        <v>968</v>
      </c>
      <c r="C1106" t="s">
        <v>47</v>
      </c>
      <c r="D1106">
        <v>3001149</v>
      </c>
      <c r="E1106">
        <v>3001149</v>
      </c>
      <c r="F1106" t="s">
        <v>1034</v>
      </c>
      <c r="G1106" t="s">
        <v>1034</v>
      </c>
      <c r="H1106" t="s">
        <v>54</v>
      </c>
      <c r="I1106">
        <v>6958416</v>
      </c>
      <c r="J1106" s="12">
        <v>46121</v>
      </c>
      <c r="K1106" s="12">
        <v>46121</v>
      </c>
      <c r="L1106" s="12">
        <v>46121</v>
      </c>
      <c r="M1106">
        <v>11</v>
      </c>
      <c r="N1106">
        <v>-64892</v>
      </c>
      <c r="O1106">
        <v>-64892</v>
      </c>
      <c r="P1106">
        <v>0</v>
      </c>
      <c r="Q1106">
        <v>-64892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 t="s">
        <v>548</v>
      </c>
      <c r="AA1106" t="s">
        <v>76</v>
      </c>
      <c r="AB1106" t="s">
        <v>51</v>
      </c>
      <c r="AC1106" t="s">
        <v>51</v>
      </c>
      <c r="AD1106" t="s">
        <v>51</v>
      </c>
      <c r="AE1106" t="s">
        <v>51</v>
      </c>
      <c r="AF1106" t="s">
        <v>1035</v>
      </c>
    </row>
    <row r="1107" spans="1:32" ht="14.5" customHeight="1" x14ac:dyDescent="0.35">
      <c r="A1107" t="s">
        <v>498</v>
      </c>
      <c r="B1107" t="s">
        <v>968</v>
      </c>
      <c r="C1107" t="s">
        <v>47</v>
      </c>
      <c r="D1107">
        <v>3001149</v>
      </c>
      <c r="E1107">
        <v>3001149</v>
      </c>
      <c r="F1107" t="s">
        <v>1034</v>
      </c>
      <c r="G1107" t="s">
        <v>1034</v>
      </c>
      <c r="H1107" t="s">
        <v>54</v>
      </c>
      <c r="I1107">
        <v>6959597</v>
      </c>
      <c r="J1107" s="12">
        <v>46127</v>
      </c>
      <c r="K1107" s="12">
        <v>46127</v>
      </c>
      <c r="L1107" s="12">
        <v>46127</v>
      </c>
      <c r="M1107">
        <v>5</v>
      </c>
      <c r="N1107">
        <v>-2516000</v>
      </c>
      <c r="O1107">
        <v>-2516000</v>
      </c>
      <c r="P1107">
        <v>0</v>
      </c>
      <c r="Q1107">
        <v>-2516000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 t="s">
        <v>548</v>
      </c>
      <c r="AA1107" t="s">
        <v>76</v>
      </c>
      <c r="AB1107" t="s">
        <v>51</v>
      </c>
      <c r="AC1107" t="s">
        <v>51</v>
      </c>
      <c r="AD1107" t="s">
        <v>51</v>
      </c>
      <c r="AE1107" t="s">
        <v>51</v>
      </c>
      <c r="AF1107" t="s">
        <v>1038</v>
      </c>
    </row>
    <row r="1108" spans="1:32" ht="14.5" customHeight="1" x14ac:dyDescent="0.35">
      <c r="A1108" t="s">
        <v>498</v>
      </c>
      <c r="B1108" t="s">
        <v>968</v>
      </c>
      <c r="C1108" t="s">
        <v>47</v>
      </c>
      <c r="D1108">
        <v>3001149</v>
      </c>
      <c r="E1108">
        <v>3001149</v>
      </c>
      <c r="F1108" t="s">
        <v>1034</v>
      </c>
      <c r="G1108" t="s">
        <v>1034</v>
      </c>
      <c r="H1108" t="s">
        <v>54</v>
      </c>
      <c r="I1108">
        <v>6959867</v>
      </c>
      <c r="J1108" s="12">
        <v>46129</v>
      </c>
      <c r="K1108" s="12">
        <v>46129</v>
      </c>
      <c r="L1108" s="12">
        <v>46129</v>
      </c>
      <c r="M1108">
        <v>3</v>
      </c>
      <c r="N1108">
        <v>-16560558</v>
      </c>
      <c r="O1108">
        <v>-16560558</v>
      </c>
      <c r="P1108">
        <v>0</v>
      </c>
      <c r="Q1108">
        <v>-16560558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 t="s">
        <v>548</v>
      </c>
      <c r="AA1108" t="s">
        <v>76</v>
      </c>
      <c r="AB1108" t="s">
        <v>51</v>
      </c>
      <c r="AC1108" t="s">
        <v>51</v>
      </c>
      <c r="AD1108" t="s">
        <v>51</v>
      </c>
      <c r="AE1108" t="s">
        <v>51</v>
      </c>
      <c r="AF1108" t="s">
        <v>660</v>
      </c>
    </row>
    <row r="1109" spans="1:32" ht="14.5" customHeight="1" x14ac:dyDescent="0.35">
      <c r="A1109" t="s">
        <v>498</v>
      </c>
      <c r="B1109" t="s">
        <v>968</v>
      </c>
      <c r="C1109" t="s">
        <v>846</v>
      </c>
      <c r="D1109">
        <v>3001149</v>
      </c>
      <c r="E1109">
        <v>3001149</v>
      </c>
      <c r="F1109" t="s">
        <v>1034</v>
      </c>
      <c r="G1109" t="s">
        <v>1034</v>
      </c>
      <c r="H1109" t="s">
        <v>54</v>
      </c>
      <c r="I1109">
        <v>9917491</v>
      </c>
      <c r="J1109" s="12">
        <v>46106</v>
      </c>
      <c r="K1109" s="12">
        <v>46106</v>
      </c>
      <c r="L1109" s="12">
        <v>46154</v>
      </c>
      <c r="M1109">
        <v>-22</v>
      </c>
      <c r="N1109">
        <v>176107935</v>
      </c>
      <c r="O1109">
        <v>0</v>
      </c>
      <c r="P1109">
        <v>176107935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 t="s">
        <v>548</v>
      </c>
      <c r="AA1109" t="s">
        <v>76</v>
      </c>
      <c r="AB1109" t="s">
        <v>51</v>
      </c>
      <c r="AC1109" t="s">
        <v>51</v>
      </c>
      <c r="AD1109" t="s">
        <v>51</v>
      </c>
      <c r="AE1109" t="s">
        <v>1039</v>
      </c>
      <c r="AF1109" t="s">
        <v>1040</v>
      </c>
    </row>
    <row r="1110" spans="1:32" ht="14.5" customHeight="1" x14ac:dyDescent="0.35">
      <c r="A1110" t="s">
        <v>498</v>
      </c>
      <c r="B1110" t="s">
        <v>968</v>
      </c>
      <c r="C1110" t="s">
        <v>846</v>
      </c>
      <c r="D1110">
        <v>3001149</v>
      </c>
      <c r="E1110">
        <v>3001149</v>
      </c>
      <c r="F1110" t="s">
        <v>1034</v>
      </c>
      <c r="G1110" t="s">
        <v>1034</v>
      </c>
      <c r="H1110" t="s">
        <v>54</v>
      </c>
      <c r="I1110">
        <v>9917492</v>
      </c>
      <c r="J1110" s="12">
        <v>46106</v>
      </c>
      <c r="K1110" s="12">
        <v>46106</v>
      </c>
      <c r="L1110" s="12">
        <v>46154</v>
      </c>
      <c r="M1110">
        <v>-22</v>
      </c>
      <c r="N1110">
        <v>4573620</v>
      </c>
      <c r="O1110">
        <v>0</v>
      </c>
      <c r="P1110">
        <v>4573620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 t="s">
        <v>548</v>
      </c>
      <c r="AA1110" t="s">
        <v>76</v>
      </c>
      <c r="AB1110" t="s">
        <v>51</v>
      </c>
      <c r="AC1110" t="s">
        <v>51</v>
      </c>
      <c r="AD1110" t="s">
        <v>51</v>
      </c>
      <c r="AE1110" t="s">
        <v>1041</v>
      </c>
      <c r="AF1110" t="s">
        <v>320</v>
      </c>
    </row>
    <row r="1111" spans="1:32" ht="14.5" customHeight="1" x14ac:dyDescent="0.35">
      <c r="A1111" t="s">
        <v>498</v>
      </c>
      <c r="B1111" t="s">
        <v>968</v>
      </c>
      <c r="C1111" t="s">
        <v>47</v>
      </c>
      <c r="D1111">
        <v>3001186</v>
      </c>
      <c r="E1111">
        <v>3001113</v>
      </c>
      <c r="F1111" t="s">
        <v>1042</v>
      </c>
      <c r="G1111" t="s">
        <v>1042</v>
      </c>
      <c r="H1111" t="s">
        <v>54</v>
      </c>
      <c r="I1111">
        <v>6957724</v>
      </c>
      <c r="J1111" s="12">
        <v>46112</v>
      </c>
      <c r="K1111" s="12">
        <v>46112</v>
      </c>
      <c r="L1111" s="12">
        <v>46112</v>
      </c>
      <c r="M1111">
        <v>20</v>
      </c>
      <c r="N1111">
        <v>-9486374</v>
      </c>
      <c r="O1111">
        <v>-9486374</v>
      </c>
      <c r="P1111">
        <v>0</v>
      </c>
      <c r="Q1111">
        <v>-9486374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 t="s">
        <v>548</v>
      </c>
      <c r="AA1111" t="s">
        <v>55</v>
      </c>
      <c r="AB1111" t="s">
        <v>51</v>
      </c>
      <c r="AC1111" t="s">
        <v>51</v>
      </c>
      <c r="AD1111" t="s">
        <v>51</v>
      </c>
      <c r="AE1111" t="s">
        <v>51</v>
      </c>
      <c r="AF1111" t="s">
        <v>1043</v>
      </c>
    </row>
    <row r="1112" spans="1:32" ht="14.5" customHeight="1" x14ac:dyDescent="0.35">
      <c r="A1112" t="s">
        <v>498</v>
      </c>
      <c r="B1112" t="s">
        <v>968</v>
      </c>
      <c r="C1112" t="s">
        <v>47</v>
      </c>
      <c r="D1112">
        <v>3001186</v>
      </c>
      <c r="E1112">
        <v>3100622</v>
      </c>
      <c r="F1112" t="s">
        <v>1042</v>
      </c>
      <c r="G1112" t="s">
        <v>1042</v>
      </c>
      <c r="H1112" t="s">
        <v>54</v>
      </c>
      <c r="I1112">
        <v>6957728</v>
      </c>
      <c r="J1112" s="12">
        <v>46112</v>
      </c>
      <c r="K1112" s="12">
        <v>46112</v>
      </c>
      <c r="L1112" s="12">
        <v>46112</v>
      </c>
      <c r="M1112">
        <v>20</v>
      </c>
      <c r="N1112">
        <v>-1596492</v>
      </c>
      <c r="O1112">
        <v>-1596492</v>
      </c>
      <c r="P1112">
        <v>0</v>
      </c>
      <c r="Q1112">
        <v>-1596492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 t="s">
        <v>47</v>
      </c>
      <c r="AA1112" t="s">
        <v>55</v>
      </c>
      <c r="AB1112" t="s">
        <v>51</v>
      </c>
      <c r="AC1112" t="s">
        <v>51</v>
      </c>
      <c r="AD1112" t="s">
        <v>51</v>
      </c>
      <c r="AE1112" t="s">
        <v>51</v>
      </c>
      <c r="AF1112" t="s">
        <v>1043</v>
      </c>
    </row>
    <row r="1113" spans="1:32" ht="14.5" customHeight="1" x14ac:dyDescent="0.35">
      <c r="A1113" t="s">
        <v>498</v>
      </c>
      <c r="B1113" t="s">
        <v>968</v>
      </c>
      <c r="C1113" t="s">
        <v>47</v>
      </c>
      <c r="D1113">
        <v>3001186</v>
      </c>
      <c r="E1113">
        <v>3100797</v>
      </c>
      <c r="F1113" t="s">
        <v>1042</v>
      </c>
      <c r="G1113" t="s">
        <v>1044</v>
      </c>
      <c r="H1113" t="s">
        <v>54</v>
      </c>
      <c r="I1113">
        <v>6957731</v>
      </c>
      <c r="J1113" s="12">
        <v>46112</v>
      </c>
      <c r="K1113" s="12">
        <v>46112</v>
      </c>
      <c r="L1113" s="12">
        <v>46112</v>
      </c>
      <c r="M1113">
        <v>20</v>
      </c>
      <c r="N1113">
        <v>-1274283</v>
      </c>
      <c r="O1113">
        <v>-1274283</v>
      </c>
      <c r="P1113">
        <v>0</v>
      </c>
      <c r="Q1113">
        <v>-1274283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 t="s">
        <v>47</v>
      </c>
      <c r="AA1113" t="s">
        <v>55</v>
      </c>
      <c r="AB1113" t="s">
        <v>51</v>
      </c>
      <c r="AC1113" t="s">
        <v>51</v>
      </c>
      <c r="AD1113" t="s">
        <v>51</v>
      </c>
      <c r="AE1113" t="s">
        <v>51</v>
      </c>
      <c r="AF1113" t="s">
        <v>1043</v>
      </c>
    </row>
    <row r="1114" spans="1:32" ht="14.5" customHeight="1" x14ac:dyDescent="0.35">
      <c r="A1114" t="s">
        <v>498</v>
      </c>
      <c r="B1114" t="s">
        <v>968</v>
      </c>
      <c r="C1114" t="s">
        <v>47</v>
      </c>
      <c r="D1114">
        <v>3001186</v>
      </c>
      <c r="E1114">
        <v>3100799</v>
      </c>
      <c r="F1114" t="s">
        <v>1042</v>
      </c>
      <c r="G1114" t="s">
        <v>1045</v>
      </c>
      <c r="H1114" t="s">
        <v>54</v>
      </c>
      <c r="I1114">
        <v>6957732</v>
      </c>
      <c r="J1114" s="12">
        <v>46112</v>
      </c>
      <c r="K1114" s="12">
        <v>46112</v>
      </c>
      <c r="L1114" s="12">
        <v>46112</v>
      </c>
      <c r="M1114">
        <v>20</v>
      </c>
      <c r="N1114">
        <v>-1237734</v>
      </c>
      <c r="O1114">
        <v>-1237734</v>
      </c>
      <c r="P1114">
        <v>0</v>
      </c>
      <c r="Q1114">
        <v>-1237734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 t="s">
        <v>47</v>
      </c>
      <c r="AA1114" t="s">
        <v>55</v>
      </c>
      <c r="AB1114" t="s">
        <v>51</v>
      </c>
      <c r="AC1114" t="s">
        <v>51</v>
      </c>
      <c r="AD1114" t="s">
        <v>51</v>
      </c>
      <c r="AE1114" t="s">
        <v>51</v>
      </c>
      <c r="AF1114" t="s">
        <v>1043</v>
      </c>
    </row>
    <row r="1115" spans="1:32" ht="14.5" customHeight="1" x14ac:dyDescent="0.35">
      <c r="A1115" t="s">
        <v>498</v>
      </c>
      <c r="B1115" t="s">
        <v>968</v>
      </c>
      <c r="C1115" t="s">
        <v>47</v>
      </c>
      <c r="D1115">
        <v>3001186</v>
      </c>
      <c r="E1115">
        <v>3100368</v>
      </c>
      <c r="F1115" t="s">
        <v>1042</v>
      </c>
      <c r="G1115" t="s">
        <v>1042</v>
      </c>
      <c r="H1115" t="s">
        <v>54</v>
      </c>
      <c r="I1115">
        <v>9908766</v>
      </c>
      <c r="J1115" s="12">
        <v>46079</v>
      </c>
      <c r="K1115" s="12">
        <v>46079</v>
      </c>
      <c r="L1115" s="12">
        <v>46145</v>
      </c>
      <c r="M1115">
        <v>-13</v>
      </c>
      <c r="N1115">
        <v>198686313</v>
      </c>
      <c r="O1115">
        <v>0</v>
      </c>
      <c r="P1115">
        <v>198686313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 t="s">
        <v>47</v>
      </c>
      <c r="AA1115" t="s">
        <v>55</v>
      </c>
      <c r="AB1115" t="s">
        <v>51</v>
      </c>
      <c r="AC1115" t="s">
        <v>51</v>
      </c>
      <c r="AD1115" t="s">
        <v>1046</v>
      </c>
      <c r="AE1115" t="s">
        <v>51</v>
      </c>
      <c r="AF1115" t="s">
        <v>1047</v>
      </c>
    </row>
    <row r="1116" spans="1:32" ht="14.5" customHeight="1" x14ac:dyDescent="0.35">
      <c r="A1116" t="s">
        <v>498</v>
      </c>
      <c r="B1116" t="s">
        <v>968</v>
      </c>
      <c r="C1116" t="s">
        <v>47</v>
      </c>
      <c r="D1116">
        <v>3001186</v>
      </c>
      <c r="E1116">
        <v>3100368</v>
      </c>
      <c r="F1116" t="s">
        <v>1042</v>
      </c>
      <c r="G1116" t="s">
        <v>1042</v>
      </c>
      <c r="H1116" t="s">
        <v>54</v>
      </c>
      <c r="I1116">
        <v>9908767</v>
      </c>
      <c r="J1116" s="12">
        <v>46079</v>
      </c>
      <c r="K1116" s="12">
        <v>46079</v>
      </c>
      <c r="L1116" s="12">
        <v>46145</v>
      </c>
      <c r="M1116">
        <v>-13</v>
      </c>
      <c r="N1116">
        <v>10371210</v>
      </c>
      <c r="O1116">
        <v>0</v>
      </c>
      <c r="P1116">
        <v>10371210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 t="s">
        <v>47</v>
      </c>
      <c r="AA1116" t="s">
        <v>55</v>
      </c>
      <c r="AB1116" t="s">
        <v>51</v>
      </c>
      <c r="AC1116" t="s">
        <v>51</v>
      </c>
      <c r="AD1116" t="s">
        <v>1048</v>
      </c>
      <c r="AE1116" t="s">
        <v>51</v>
      </c>
      <c r="AF1116" t="s">
        <v>62</v>
      </c>
    </row>
    <row r="1117" spans="1:32" ht="14.5" customHeight="1" x14ac:dyDescent="0.35">
      <c r="A1117" t="s">
        <v>498</v>
      </c>
      <c r="B1117" t="s">
        <v>968</v>
      </c>
      <c r="C1117" t="s">
        <v>47</v>
      </c>
      <c r="D1117">
        <v>3001186</v>
      </c>
      <c r="E1117">
        <v>3100368</v>
      </c>
      <c r="F1117" t="s">
        <v>1042</v>
      </c>
      <c r="G1117" t="s">
        <v>1042</v>
      </c>
      <c r="H1117" t="s">
        <v>54</v>
      </c>
      <c r="I1117">
        <v>9908768</v>
      </c>
      <c r="J1117" s="12">
        <v>46079</v>
      </c>
      <c r="K1117" s="12">
        <v>46079</v>
      </c>
      <c r="L1117" s="12">
        <v>46145</v>
      </c>
      <c r="M1117">
        <v>-13</v>
      </c>
      <c r="N1117">
        <v>225585444</v>
      </c>
      <c r="O1117">
        <v>0</v>
      </c>
      <c r="P1117">
        <v>225585444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 t="s">
        <v>47</v>
      </c>
      <c r="AA1117" t="s">
        <v>55</v>
      </c>
      <c r="AB1117" t="s">
        <v>51</v>
      </c>
      <c r="AC1117" t="s">
        <v>51</v>
      </c>
      <c r="AD1117" t="s">
        <v>1049</v>
      </c>
      <c r="AE1117" t="s">
        <v>51</v>
      </c>
      <c r="AF1117" t="s">
        <v>736</v>
      </c>
    </row>
    <row r="1118" spans="1:32" ht="14.5" customHeight="1" x14ac:dyDescent="0.35">
      <c r="A1118" t="s">
        <v>498</v>
      </c>
      <c r="B1118" t="s">
        <v>968</v>
      </c>
      <c r="C1118" t="s">
        <v>47</v>
      </c>
      <c r="D1118">
        <v>3001186</v>
      </c>
      <c r="E1118">
        <v>3100368</v>
      </c>
      <c r="F1118" t="s">
        <v>1042</v>
      </c>
      <c r="G1118" t="s">
        <v>1042</v>
      </c>
      <c r="H1118" t="s">
        <v>54</v>
      </c>
      <c r="I1118">
        <v>9908769</v>
      </c>
      <c r="J1118" s="12">
        <v>46079</v>
      </c>
      <c r="K1118" s="12">
        <v>46079</v>
      </c>
      <c r="L1118" s="12">
        <v>46145</v>
      </c>
      <c r="M1118">
        <v>-13</v>
      </c>
      <c r="N1118">
        <v>215307261</v>
      </c>
      <c r="O1118">
        <v>0</v>
      </c>
      <c r="P1118">
        <v>215307261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 t="s">
        <v>47</v>
      </c>
      <c r="AA1118" t="s">
        <v>55</v>
      </c>
      <c r="AB1118" t="s">
        <v>51</v>
      </c>
      <c r="AC1118" t="s">
        <v>51</v>
      </c>
      <c r="AD1118" t="s">
        <v>1050</v>
      </c>
      <c r="AE1118" t="s">
        <v>51</v>
      </c>
      <c r="AF1118" t="s">
        <v>516</v>
      </c>
    </row>
    <row r="1119" spans="1:32" ht="14.5" customHeight="1" x14ac:dyDescent="0.35">
      <c r="A1119" t="s">
        <v>498</v>
      </c>
      <c r="B1119" t="s">
        <v>968</v>
      </c>
      <c r="C1119" t="s">
        <v>846</v>
      </c>
      <c r="D1119">
        <v>3001186</v>
      </c>
      <c r="E1119">
        <v>3001113</v>
      </c>
      <c r="F1119" t="s">
        <v>1042</v>
      </c>
      <c r="G1119" t="s">
        <v>1042</v>
      </c>
      <c r="H1119" t="s">
        <v>54</v>
      </c>
      <c r="I1119">
        <v>9910665</v>
      </c>
      <c r="J1119" s="12">
        <v>46081</v>
      </c>
      <c r="K1119" s="12">
        <v>46081</v>
      </c>
      <c r="L1119" s="12">
        <v>46138</v>
      </c>
      <c r="M1119">
        <v>-6</v>
      </c>
      <c r="N1119">
        <v>222520891</v>
      </c>
      <c r="O1119">
        <v>0</v>
      </c>
      <c r="P1119">
        <v>222520891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 t="s">
        <v>548</v>
      </c>
      <c r="AA1119" t="s">
        <v>55</v>
      </c>
      <c r="AB1119" t="s">
        <v>51</v>
      </c>
      <c r="AC1119" t="s">
        <v>1051</v>
      </c>
      <c r="AD1119" t="s">
        <v>51</v>
      </c>
      <c r="AE1119" t="s">
        <v>51</v>
      </c>
      <c r="AF1119" t="s">
        <v>939</v>
      </c>
    </row>
    <row r="1120" spans="1:32" ht="14.5" customHeight="1" x14ac:dyDescent="0.35">
      <c r="A1120" t="s">
        <v>498</v>
      </c>
      <c r="B1120" t="s">
        <v>968</v>
      </c>
      <c r="C1120" t="s">
        <v>47</v>
      </c>
      <c r="D1120">
        <v>3001186</v>
      </c>
      <c r="E1120">
        <v>3100368</v>
      </c>
      <c r="F1120" t="s">
        <v>1042</v>
      </c>
      <c r="G1120" t="s">
        <v>1042</v>
      </c>
      <c r="H1120" t="s">
        <v>54</v>
      </c>
      <c r="I1120">
        <v>9910917</v>
      </c>
      <c r="J1120" s="12">
        <v>46084</v>
      </c>
      <c r="K1120" s="12">
        <v>46084</v>
      </c>
      <c r="L1120" s="12">
        <v>46150</v>
      </c>
      <c r="M1120">
        <v>-18</v>
      </c>
      <c r="N1120">
        <v>179873833</v>
      </c>
      <c r="O1120">
        <v>0</v>
      </c>
      <c r="P1120">
        <v>179873833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 t="s">
        <v>47</v>
      </c>
      <c r="AA1120" t="s">
        <v>55</v>
      </c>
      <c r="AB1120" t="s">
        <v>51</v>
      </c>
      <c r="AC1120" t="s">
        <v>51</v>
      </c>
      <c r="AD1120" t="s">
        <v>51</v>
      </c>
      <c r="AE1120" t="s">
        <v>1052</v>
      </c>
      <c r="AF1120" t="s">
        <v>195</v>
      </c>
    </row>
    <row r="1121" spans="1:32" ht="14.5" customHeight="1" x14ac:dyDescent="0.35">
      <c r="A1121" t="s">
        <v>498</v>
      </c>
      <c r="B1121" t="s">
        <v>968</v>
      </c>
      <c r="C1121" t="s">
        <v>47</v>
      </c>
      <c r="D1121">
        <v>3001186</v>
      </c>
      <c r="E1121">
        <v>3100368</v>
      </c>
      <c r="F1121" t="s">
        <v>1042</v>
      </c>
      <c r="G1121" t="s">
        <v>1042</v>
      </c>
      <c r="H1121" t="s">
        <v>54</v>
      </c>
      <c r="I1121">
        <v>9915636</v>
      </c>
      <c r="J1121" s="12">
        <v>46096</v>
      </c>
      <c r="K1121" s="12">
        <v>46096</v>
      </c>
      <c r="L1121" s="12">
        <v>46162</v>
      </c>
      <c r="M1121">
        <v>-30</v>
      </c>
      <c r="N1121">
        <v>252664122</v>
      </c>
      <c r="O1121">
        <v>0</v>
      </c>
      <c r="P1121">
        <v>252664122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 t="s">
        <v>47</v>
      </c>
      <c r="AA1121" t="s">
        <v>55</v>
      </c>
      <c r="AB1121" t="s">
        <v>51</v>
      </c>
      <c r="AC1121" t="s">
        <v>51</v>
      </c>
      <c r="AD1121" t="s">
        <v>51</v>
      </c>
      <c r="AE1121" t="s">
        <v>1053</v>
      </c>
      <c r="AF1121" t="s">
        <v>352</v>
      </c>
    </row>
    <row r="1122" spans="1:32" ht="14.5" customHeight="1" x14ac:dyDescent="0.35">
      <c r="A1122" t="s">
        <v>498</v>
      </c>
      <c r="B1122" t="s">
        <v>968</v>
      </c>
      <c r="C1122" t="s">
        <v>47</v>
      </c>
      <c r="D1122">
        <v>3001186</v>
      </c>
      <c r="E1122">
        <v>3100368</v>
      </c>
      <c r="F1122" t="s">
        <v>1042</v>
      </c>
      <c r="G1122" t="s">
        <v>1042</v>
      </c>
      <c r="H1122" t="s">
        <v>54</v>
      </c>
      <c r="I1122">
        <v>9915637</v>
      </c>
      <c r="J1122" s="12">
        <v>46096</v>
      </c>
      <c r="K1122" s="12">
        <v>46096</v>
      </c>
      <c r="L1122" s="12">
        <v>46162</v>
      </c>
      <c r="M1122">
        <v>-30</v>
      </c>
      <c r="N1122">
        <v>253743074</v>
      </c>
      <c r="O1122">
        <v>0</v>
      </c>
      <c r="P1122">
        <v>253743074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 t="s">
        <v>47</v>
      </c>
      <c r="AA1122" t="s">
        <v>55</v>
      </c>
      <c r="AB1122" t="s">
        <v>51</v>
      </c>
      <c r="AC1122" t="s">
        <v>51</v>
      </c>
      <c r="AD1122" t="s">
        <v>51</v>
      </c>
      <c r="AE1122" t="s">
        <v>1054</v>
      </c>
      <c r="AF1122" t="s">
        <v>352</v>
      </c>
    </row>
    <row r="1123" spans="1:32" ht="14.5" customHeight="1" x14ac:dyDescent="0.35">
      <c r="A1123" t="s">
        <v>498</v>
      </c>
      <c r="B1123" t="s">
        <v>968</v>
      </c>
      <c r="C1123" t="s">
        <v>47</v>
      </c>
      <c r="D1123">
        <v>3001186</v>
      </c>
      <c r="E1123">
        <v>3100368</v>
      </c>
      <c r="F1123" t="s">
        <v>1042</v>
      </c>
      <c r="G1123" t="s">
        <v>1042</v>
      </c>
      <c r="H1123" t="s">
        <v>54</v>
      </c>
      <c r="I1123">
        <v>9915638</v>
      </c>
      <c r="J1123" s="12">
        <v>46096</v>
      </c>
      <c r="K1123" s="12">
        <v>46096</v>
      </c>
      <c r="L1123" s="12">
        <v>46162</v>
      </c>
      <c r="M1123">
        <v>-30</v>
      </c>
      <c r="N1123">
        <v>250633116</v>
      </c>
      <c r="O1123">
        <v>0</v>
      </c>
      <c r="P1123">
        <v>250633116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 t="s">
        <v>47</v>
      </c>
      <c r="AA1123" t="s">
        <v>55</v>
      </c>
      <c r="AB1123" t="s">
        <v>51</v>
      </c>
      <c r="AC1123" t="s">
        <v>51</v>
      </c>
      <c r="AD1123" t="s">
        <v>51</v>
      </c>
      <c r="AE1123" t="s">
        <v>1055</v>
      </c>
      <c r="AF1123" t="s">
        <v>352</v>
      </c>
    </row>
    <row r="1124" spans="1:32" ht="14.5" customHeight="1" x14ac:dyDescent="0.35">
      <c r="A1124" t="s">
        <v>498</v>
      </c>
      <c r="B1124" t="s">
        <v>968</v>
      </c>
      <c r="C1124" t="s">
        <v>47</v>
      </c>
      <c r="D1124">
        <v>3001186</v>
      </c>
      <c r="E1124">
        <v>3100368</v>
      </c>
      <c r="F1124" t="s">
        <v>1042</v>
      </c>
      <c r="G1124" t="s">
        <v>1042</v>
      </c>
      <c r="H1124" t="s">
        <v>54</v>
      </c>
      <c r="I1124">
        <v>9917087</v>
      </c>
      <c r="J1124" s="12">
        <v>46099</v>
      </c>
      <c r="K1124" s="12">
        <v>46099</v>
      </c>
      <c r="L1124" s="12">
        <v>46165</v>
      </c>
      <c r="M1124">
        <v>-33</v>
      </c>
      <c r="N1124">
        <v>257493842</v>
      </c>
      <c r="O1124">
        <v>0</v>
      </c>
      <c r="P1124">
        <v>257493842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 t="s">
        <v>47</v>
      </c>
      <c r="AA1124" t="s">
        <v>55</v>
      </c>
      <c r="AB1124" t="s">
        <v>51</v>
      </c>
      <c r="AC1124" t="s">
        <v>51</v>
      </c>
      <c r="AD1124" t="s">
        <v>51</v>
      </c>
      <c r="AE1124" t="s">
        <v>1056</v>
      </c>
      <c r="AF1124" t="s">
        <v>1057</v>
      </c>
    </row>
    <row r="1125" spans="1:32" ht="14.5" customHeight="1" x14ac:dyDescent="0.35">
      <c r="A1125" t="s">
        <v>498</v>
      </c>
      <c r="B1125" t="s">
        <v>968</v>
      </c>
      <c r="C1125" t="s">
        <v>47</v>
      </c>
      <c r="D1125">
        <v>3001186</v>
      </c>
      <c r="E1125">
        <v>3100368</v>
      </c>
      <c r="F1125" t="s">
        <v>1042</v>
      </c>
      <c r="G1125" t="s">
        <v>1042</v>
      </c>
      <c r="H1125" t="s">
        <v>54</v>
      </c>
      <c r="I1125">
        <v>9920030</v>
      </c>
      <c r="J1125" s="12">
        <v>46110</v>
      </c>
      <c r="K1125" s="12">
        <v>46110</v>
      </c>
      <c r="L1125" s="12">
        <v>46176</v>
      </c>
      <c r="M1125">
        <v>-44</v>
      </c>
      <c r="N1125">
        <v>226629729</v>
      </c>
      <c r="O1125">
        <v>0</v>
      </c>
      <c r="P1125">
        <v>226629729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 t="s">
        <v>47</v>
      </c>
      <c r="AA1125" t="s">
        <v>55</v>
      </c>
      <c r="AB1125" t="s">
        <v>51</v>
      </c>
      <c r="AC1125" t="s">
        <v>51</v>
      </c>
      <c r="AD1125" t="s">
        <v>51</v>
      </c>
      <c r="AE1125" t="s">
        <v>1058</v>
      </c>
      <c r="AF1125" t="s">
        <v>195</v>
      </c>
    </row>
    <row r="1126" spans="1:32" ht="14.5" customHeight="1" x14ac:dyDescent="0.35">
      <c r="A1126" t="s">
        <v>498</v>
      </c>
      <c r="B1126" t="s">
        <v>968</v>
      </c>
      <c r="C1126" t="s">
        <v>47</v>
      </c>
      <c r="D1126">
        <v>3001186</v>
      </c>
      <c r="E1126">
        <v>3100368</v>
      </c>
      <c r="F1126" t="s">
        <v>1042</v>
      </c>
      <c r="G1126" t="s">
        <v>1042</v>
      </c>
      <c r="H1126" t="s">
        <v>54</v>
      </c>
      <c r="I1126">
        <v>9920354</v>
      </c>
      <c r="J1126" s="12">
        <v>46112</v>
      </c>
      <c r="K1126" s="12">
        <v>46112</v>
      </c>
      <c r="L1126" s="12">
        <v>46178</v>
      </c>
      <c r="M1126">
        <v>-46</v>
      </c>
      <c r="N1126">
        <v>158735331</v>
      </c>
      <c r="O1126">
        <v>0</v>
      </c>
      <c r="P1126">
        <v>158735331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 t="s">
        <v>47</v>
      </c>
      <c r="AA1126" t="s">
        <v>55</v>
      </c>
      <c r="AB1126" t="s">
        <v>51</v>
      </c>
      <c r="AC1126" t="s">
        <v>51</v>
      </c>
      <c r="AD1126" t="s">
        <v>51</v>
      </c>
      <c r="AE1126" t="s">
        <v>1059</v>
      </c>
      <c r="AF1126" t="s">
        <v>352</v>
      </c>
    </row>
    <row r="1127" spans="1:32" ht="14.5" customHeight="1" x14ac:dyDescent="0.35">
      <c r="A1127" t="s">
        <v>84</v>
      </c>
      <c r="B1127" t="s">
        <v>85</v>
      </c>
      <c r="C1127" t="s">
        <v>846</v>
      </c>
      <c r="D1127">
        <v>3001187</v>
      </c>
      <c r="E1127">
        <v>3001118</v>
      </c>
      <c r="F1127" t="s">
        <v>1060</v>
      </c>
      <c r="G1127" t="s">
        <v>1061</v>
      </c>
      <c r="H1127" t="s">
        <v>54</v>
      </c>
      <c r="I1127">
        <v>9918638</v>
      </c>
      <c r="J1127" s="12">
        <v>46108</v>
      </c>
      <c r="K1127" s="12">
        <v>46108</v>
      </c>
      <c r="L1127" s="12">
        <v>46142</v>
      </c>
      <c r="M1127">
        <v>-10</v>
      </c>
      <c r="N1127">
        <v>434787591</v>
      </c>
      <c r="O1127">
        <v>0</v>
      </c>
      <c r="P1127">
        <v>434787591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 t="s">
        <v>548</v>
      </c>
      <c r="AA1127" t="s">
        <v>1062</v>
      </c>
      <c r="AB1127" t="s">
        <v>51</v>
      </c>
      <c r="AC1127" t="s">
        <v>51</v>
      </c>
      <c r="AD1127" t="s">
        <v>1063</v>
      </c>
      <c r="AE1127" t="s">
        <v>51</v>
      </c>
      <c r="AF1127" t="s">
        <v>69</v>
      </c>
    </row>
    <row r="1128" spans="1:32" ht="14.5" customHeight="1" x14ac:dyDescent="0.35">
      <c r="A1128" t="s">
        <v>498</v>
      </c>
      <c r="B1128" t="s">
        <v>546</v>
      </c>
      <c r="C1128" t="s">
        <v>47</v>
      </c>
      <c r="D1128">
        <v>3001221</v>
      </c>
      <c r="E1128">
        <v>3001225</v>
      </c>
      <c r="F1128" t="s">
        <v>1064</v>
      </c>
      <c r="G1128" t="s">
        <v>1065</v>
      </c>
      <c r="H1128" t="s">
        <v>54</v>
      </c>
      <c r="I1128">
        <v>6958658</v>
      </c>
      <c r="J1128" s="12">
        <v>46122</v>
      </c>
      <c r="K1128" s="12">
        <v>46122</v>
      </c>
      <c r="L1128" s="12">
        <v>46122</v>
      </c>
      <c r="M1128">
        <v>10</v>
      </c>
      <c r="N1128">
        <v>-5356114</v>
      </c>
      <c r="O1128">
        <v>-5356114</v>
      </c>
      <c r="P1128">
        <v>0</v>
      </c>
      <c r="Q1128">
        <v>-5356114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 t="s">
        <v>548</v>
      </c>
      <c r="AA1128" t="s">
        <v>55</v>
      </c>
      <c r="AB1128" t="s">
        <v>51</v>
      </c>
      <c r="AC1128" t="s">
        <v>51</v>
      </c>
      <c r="AD1128" t="s">
        <v>51</v>
      </c>
      <c r="AE1128" t="s">
        <v>51</v>
      </c>
      <c r="AF1128" t="s">
        <v>1066</v>
      </c>
    </row>
    <row r="1129" spans="1:32" ht="14.5" customHeight="1" x14ac:dyDescent="0.35">
      <c r="A1129" t="s">
        <v>498</v>
      </c>
      <c r="B1129" t="s">
        <v>546</v>
      </c>
      <c r="C1129" t="s">
        <v>47</v>
      </c>
      <c r="D1129">
        <v>3001221</v>
      </c>
      <c r="E1129">
        <v>3001225</v>
      </c>
      <c r="F1129" t="s">
        <v>1064</v>
      </c>
      <c r="G1129" t="s">
        <v>1065</v>
      </c>
      <c r="H1129" t="s">
        <v>54</v>
      </c>
      <c r="I1129">
        <v>6958738</v>
      </c>
      <c r="J1129" s="12">
        <v>46122</v>
      </c>
      <c r="K1129" s="12">
        <v>46122</v>
      </c>
      <c r="L1129" s="12">
        <v>46122</v>
      </c>
      <c r="M1129">
        <v>10</v>
      </c>
      <c r="N1129">
        <v>-31619701</v>
      </c>
      <c r="O1129">
        <v>-31619701</v>
      </c>
      <c r="P1129">
        <v>0</v>
      </c>
      <c r="Q1129">
        <v>-31619701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 t="s">
        <v>548</v>
      </c>
      <c r="AA1129" t="s">
        <v>55</v>
      </c>
      <c r="AB1129" t="s">
        <v>51</v>
      </c>
      <c r="AC1129" t="s">
        <v>51</v>
      </c>
      <c r="AD1129" t="s">
        <v>51</v>
      </c>
      <c r="AE1129" t="s">
        <v>51</v>
      </c>
      <c r="AF1129" t="s">
        <v>56</v>
      </c>
    </row>
    <row r="1130" spans="1:32" ht="14.5" customHeight="1" x14ac:dyDescent="0.35">
      <c r="A1130" t="s">
        <v>498</v>
      </c>
      <c r="B1130" t="s">
        <v>546</v>
      </c>
      <c r="C1130" t="s">
        <v>47</v>
      </c>
      <c r="D1130">
        <v>3001221</v>
      </c>
      <c r="E1130">
        <v>3001225</v>
      </c>
      <c r="F1130" t="s">
        <v>1064</v>
      </c>
      <c r="G1130" t="s">
        <v>1065</v>
      </c>
      <c r="H1130" t="s">
        <v>54</v>
      </c>
      <c r="I1130">
        <v>6960162</v>
      </c>
      <c r="J1130" s="12">
        <v>46130</v>
      </c>
      <c r="K1130" s="12">
        <v>46130</v>
      </c>
      <c r="L1130" s="12">
        <v>46130</v>
      </c>
      <c r="M1130">
        <v>2</v>
      </c>
      <c r="N1130">
        <v>-58116115</v>
      </c>
      <c r="O1130">
        <v>-58116115</v>
      </c>
      <c r="P1130">
        <v>0</v>
      </c>
      <c r="Q1130">
        <v>-58116115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 t="s">
        <v>548</v>
      </c>
      <c r="AA1130" t="s">
        <v>55</v>
      </c>
      <c r="AB1130" t="s">
        <v>51</v>
      </c>
      <c r="AC1130" t="s">
        <v>51</v>
      </c>
      <c r="AD1130" t="s">
        <v>51</v>
      </c>
      <c r="AE1130" t="s">
        <v>51</v>
      </c>
      <c r="AF1130" t="s">
        <v>1067</v>
      </c>
    </row>
    <row r="1131" spans="1:32" ht="14.5" customHeight="1" x14ac:dyDescent="0.35">
      <c r="A1131" t="s">
        <v>498</v>
      </c>
      <c r="B1131" t="s">
        <v>546</v>
      </c>
      <c r="C1131" t="s">
        <v>596</v>
      </c>
      <c r="D1131">
        <v>3001221</v>
      </c>
      <c r="E1131">
        <v>3001225</v>
      </c>
      <c r="F1131" t="s">
        <v>1064</v>
      </c>
      <c r="G1131" t="s">
        <v>1065</v>
      </c>
      <c r="H1131" t="s">
        <v>54</v>
      </c>
      <c r="I1131">
        <v>9908904</v>
      </c>
      <c r="J1131" s="12">
        <v>46079</v>
      </c>
      <c r="K1131" s="12">
        <v>46079</v>
      </c>
      <c r="L1131" s="12">
        <v>46137</v>
      </c>
      <c r="M1131">
        <v>-5</v>
      </c>
      <c r="N1131">
        <v>235979788</v>
      </c>
      <c r="O1131">
        <v>0</v>
      </c>
      <c r="P1131">
        <v>235979788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 t="s">
        <v>548</v>
      </c>
      <c r="AA1131" t="s">
        <v>55</v>
      </c>
      <c r="AB1131" t="s">
        <v>51</v>
      </c>
      <c r="AC1131" t="s">
        <v>1068</v>
      </c>
      <c r="AD1131" t="s">
        <v>51</v>
      </c>
      <c r="AE1131" t="s">
        <v>51</v>
      </c>
      <c r="AF1131" t="s">
        <v>167</v>
      </c>
    </row>
    <row r="1132" spans="1:32" ht="14.5" customHeight="1" x14ac:dyDescent="0.35">
      <c r="A1132" t="s">
        <v>498</v>
      </c>
      <c r="B1132" t="s">
        <v>546</v>
      </c>
      <c r="C1132" t="s">
        <v>596</v>
      </c>
      <c r="D1132">
        <v>3001221</v>
      </c>
      <c r="E1132">
        <v>3001225</v>
      </c>
      <c r="F1132" t="s">
        <v>1064</v>
      </c>
      <c r="G1132" t="s">
        <v>1065</v>
      </c>
      <c r="H1132" t="s">
        <v>54</v>
      </c>
      <c r="I1132">
        <v>9908908</v>
      </c>
      <c r="J1132" s="12">
        <v>46079</v>
      </c>
      <c r="K1132" s="12">
        <v>46079</v>
      </c>
      <c r="L1132" s="12">
        <v>46137</v>
      </c>
      <c r="M1132">
        <v>-5</v>
      </c>
      <c r="N1132">
        <v>5923151</v>
      </c>
      <c r="O1132">
        <v>0</v>
      </c>
      <c r="P1132">
        <v>5923151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 t="s">
        <v>548</v>
      </c>
      <c r="AA1132" t="s">
        <v>55</v>
      </c>
      <c r="AB1132" t="s">
        <v>51</v>
      </c>
      <c r="AC1132" t="s">
        <v>1069</v>
      </c>
      <c r="AD1132" t="s">
        <v>51</v>
      </c>
      <c r="AE1132" t="s">
        <v>51</v>
      </c>
      <c r="AF1132" t="s">
        <v>64</v>
      </c>
    </row>
    <row r="1133" spans="1:32" ht="14.5" customHeight="1" x14ac:dyDescent="0.35">
      <c r="A1133" t="s">
        <v>498</v>
      </c>
      <c r="B1133" t="s">
        <v>1070</v>
      </c>
      <c r="C1133" t="s">
        <v>596</v>
      </c>
      <c r="D1133">
        <v>3001221</v>
      </c>
      <c r="E1133">
        <v>3100663</v>
      </c>
      <c r="F1133" t="s">
        <v>1064</v>
      </c>
      <c r="G1133" t="s">
        <v>1064</v>
      </c>
      <c r="H1133" t="s">
        <v>54</v>
      </c>
      <c r="I1133">
        <v>9912324</v>
      </c>
      <c r="J1133" s="12">
        <v>46088</v>
      </c>
      <c r="K1133" s="12">
        <v>46088</v>
      </c>
      <c r="L1133" s="12">
        <v>46134</v>
      </c>
      <c r="M1133">
        <v>-2</v>
      </c>
      <c r="N1133">
        <v>359042039</v>
      </c>
      <c r="O1133">
        <v>0</v>
      </c>
      <c r="P1133">
        <v>359042039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 t="s">
        <v>596</v>
      </c>
      <c r="AA1133" t="s">
        <v>55</v>
      </c>
      <c r="AB1133" t="s">
        <v>51</v>
      </c>
      <c r="AC1133" t="s">
        <v>1071</v>
      </c>
      <c r="AD1133" t="s">
        <v>51</v>
      </c>
      <c r="AE1133" t="s">
        <v>51</v>
      </c>
      <c r="AF1133" t="s">
        <v>271</v>
      </c>
    </row>
    <row r="1134" spans="1:32" ht="14.5" customHeight="1" x14ac:dyDescent="0.35">
      <c r="A1134" t="s">
        <v>498</v>
      </c>
      <c r="B1134" t="s">
        <v>546</v>
      </c>
      <c r="C1134" t="s">
        <v>47</v>
      </c>
      <c r="D1134">
        <v>3001221</v>
      </c>
      <c r="E1134">
        <v>3001225</v>
      </c>
      <c r="F1134" t="s">
        <v>1064</v>
      </c>
      <c r="G1134" t="s">
        <v>1065</v>
      </c>
      <c r="H1134" t="s">
        <v>140</v>
      </c>
      <c r="I1134">
        <v>9912329</v>
      </c>
      <c r="J1134" s="12">
        <v>46088</v>
      </c>
      <c r="K1134" s="12">
        <v>46088</v>
      </c>
      <c r="L1134" s="12">
        <v>46133</v>
      </c>
      <c r="M1134">
        <v>-1</v>
      </c>
      <c r="N1134">
        <v>288656</v>
      </c>
      <c r="O1134">
        <v>0</v>
      </c>
      <c r="P1134">
        <v>288656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 t="s">
        <v>548</v>
      </c>
      <c r="AA1134" t="s">
        <v>55</v>
      </c>
      <c r="AB1134" t="s">
        <v>51</v>
      </c>
      <c r="AC1134" t="s">
        <v>1072</v>
      </c>
      <c r="AD1134" t="s">
        <v>51</v>
      </c>
      <c r="AE1134" t="s">
        <v>51</v>
      </c>
      <c r="AF1134" t="s">
        <v>866</v>
      </c>
    </row>
    <row r="1135" spans="1:32" ht="14.5" customHeight="1" x14ac:dyDescent="0.35">
      <c r="A1135" t="s">
        <v>498</v>
      </c>
      <c r="B1135" t="s">
        <v>546</v>
      </c>
      <c r="C1135" t="s">
        <v>47</v>
      </c>
      <c r="D1135">
        <v>3001221</v>
      </c>
      <c r="E1135">
        <v>3001225</v>
      </c>
      <c r="F1135" t="s">
        <v>1064</v>
      </c>
      <c r="G1135" t="s">
        <v>1065</v>
      </c>
      <c r="H1135" t="s">
        <v>140</v>
      </c>
      <c r="I1135">
        <v>9913386</v>
      </c>
      <c r="J1135" s="12">
        <v>46092</v>
      </c>
      <c r="K1135" s="12">
        <v>46092</v>
      </c>
      <c r="L1135" s="12">
        <v>46137</v>
      </c>
      <c r="M1135">
        <v>-5</v>
      </c>
      <c r="N1135">
        <v>913126</v>
      </c>
      <c r="O1135">
        <v>0</v>
      </c>
      <c r="P1135">
        <v>913126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 t="s">
        <v>548</v>
      </c>
      <c r="AA1135" t="s">
        <v>55</v>
      </c>
      <c r="AB1135" t="s">
        <v>51</v>
      </c>
      <c r="AC1135" t="s">
        <v>1073</v>
      </c>
      <c r="AD1135" t="s">
        <v>51</v>
      </c>
      <c r="AE1135" t="s">
        <v>51</v>
      </c>
      <c r="AF1135" t="s">
        <v>1074</v>
      </c>
    </row>
    <row r="1136" spans="1:32" ht="14.5" customHeight="1" x14ac:dyDescent="0.35">
      <c r="A1136" t="s">
        <v>498</v>
      </c>
      <c r="B1136" t="s">
        <v>1070</v>
      </c>
      <c r="C1136" t="s">
        <v>596</v>
      </c>
      <c r="D1136">
        <v>3001221</v>
      </c>
      <c r="E1136">
        <v>3100663</v>
      </c>
      <c r="F1136" t="s">
        <v>1064</v>
      </c>
      <c r="G1136" t="s">
        <v>1064</v>
      </c>
      <c r="H1136" t="s">
        <v>54</v>
      </c>
      <c r="I1136">
        <v>9914244</v>
      </c>
      <c r="J1136" s="12">
        <v>46093</v>
      </c>
      <c r="K1136" s="12">
        <v>46093</v>
      </c>
      <c r="L1136" s="12">
        <v>46139</v>
      </c>
      <c r="M1136">
        <v>-7</v>
      </c>
      <c r="N1136">
        <v>302293487</v>
      </c>
      <c r="O1136">
        <v>0</v>
      </c>
      <c r="P1136">
        <v>302293487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 t="s">
        <v>596</v>
      </c>
      <c r="AA1136" t="s">
        <v>55</v>
      </c>
      <c r="AB1136" t="s">
        <v>51</v>
      </c>
      <c r="AC1136" t="s">
        <v>1075</v>
      </c>
      <c r="AD1136" t="s">
        <v>51</v>
      </c>
      <c r="AE1136" t="s">
        <v>51</v>
      </c>
      <c r="AF1136" t="s">
        <v>1076</v>
      </c>
    </row>
    <row r="1137" spans="1:32" ht="14.5" customHeight="1" x14ac:dyDescent="0.35">
      <c r="A1137" t="s">
        <v>498</v>
      </c>
      <c r="B1137" t="s">
        <v>1070</v>
      </c>
      <c r="C1137" t="s">
        <v>596</v>
      </c>
      <c r="D1137">
        <v>3001221</v>
      </c>
      <c r="E1137">
        <v>3100663</v>
      </c>
      <c r="F1137" t="s">
        <v>1064</v>
      </c>
      <c r="G1137" t="s">
        <v>1064</v>
      </c>
      <c r="H1137" t="s">
        <v>54</v>
      </c>
      <c r="I1137">
        <v>9914245</v>
      </c>
      <c r="J1137" s="12">
        <v>46093</v>
      </c>
      <c r="K1137" s="12">
        <v>46093</v>
      </c>
      <c r="L1137" s="12">
        <v>46139</v>
      </c>
      <c r="M1137">
        <v>-7</v>
      </c>
      <c r="N1137">
        <v>556566849</v>
      </c>
      <c r="O1137">
        <v>0</v>
      </c>
      <c r="P1137">
        <v>556566849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 t="s">
        <v>596</v>
      </c>
      <c r="AA1137" t="s">
        <v>55</v>
      </c>
      <c r="AB1137" t="s">
        <v>51</v>
      </c>
      <c r="AC1137" t="s">
        <v>1077</v>
      </c>
      <c r="AD1137" t="s">
        <v>51</v>
      </c>
      <c r="AE1137" t="s">
        <v>51</v>
      </c>
      <c r="AF1137" t="s">
        <v>195</v>
      </c>
    </row>
    <row r="1138" spans="1:32" ht="14.5" customHeight="1" x14ac:dyDescent="0.35">
      <c r="A1138" t="s">
        <v>498</v>
      </c>
      <c r="B1138" t="s">
        <v>1070</v>
      </c>
      <c r="C1138" t="s">
        <v>596</v>
      </c>
      <c r="D1138">
        <v>3001221</v>
      </c>
      <c r="E1138">
        <v>3100663</v>
      </c>
      <c r="F1138" t="s">
        <v>1064</v>
      </c>
      <c r="G1138" t="s">
        <v>1064</v>
      </c>
      <c r="H1138" t="s">
        <v>54</v>
      </c>
      <c r="I1138">
        <v>9914567</v>
      </c>
      <c r="J1138" s="12">
        <v>46094</v>
      </c>
      <c r="K1138" s="12">
        <v>46094</v>
      </c>
      <c r="L1138" s="12">
        <v>46140</v>
      </c>
      <c r="M1138">
        <v>-8</v>
      </c>
      <c r="N1138">
        <v>364139485</v>
      </c>
      <c r="O1138">
        <v>0</v>
      </c>
      <c r="P1138">
        <v>364139485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 t="s">
        <v>596</v>
      </c>
      <c r="AA1138" t="s">
        <v>55</v>
      </c>
      <c r="AB1138" t="s">
        <v>51</v>
      </c>
      <c r="AC1138" t="s">
        <v>51</v>
      </c>
      <c r="AD1138" t="s">
        <v>1078</v>
      </c>
      <c r="AE1138" t="s">
        <v>51</v>
      </c>
      <c r="AF1138" t="s">
        <v>975</v>
      </c>
    </row>
    <row r="1139" spans="1:32" ht="14.5" customHeight="1" x14ac:dyDescent="0.35">
      <c r="A1139" t="s">
        <v>498</v>
      </c>
      <c r="B1139" t="s">
        <v>1070</v>
      </c>
      <c r="C1139" t="s">
        <v>596</v>
      </c>
      <c r="D1139">
        <v>3001221</v>
      </c>
      <c r="E1139">
        <v>3100663</v>
      </c>
      <c r="F1139" t="s">
        <v>1064</v>
      </c>
      <c r="G1139" t="s">
        <v>1064</v>
      </c>
      <c r="H1139" t="s">
        <v>54</v>
      </c>
      <c r="I1139">
        <v>9914568</v>
      </c>
      <c r="J1139" s="12">
        <v>46094</v>
      </c>
      <c r="K1139" s="12">
        <v>46094</v>
      </c>
      <c r="L1139" s="12">
        <v>46140</v>
      </c>
      <c r="M1139">
        <v>-8</v>
      </c>
      <c r="N1139">
        <v>558168547</v>
      </c>
      <c r="O1139">
        <v>0</v>
      </c>
      <c r="P1139">
        <v>558168547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 t="s">
        <v>596</v>
      </c>
      <c r="AA1139" t="s">
        <v>55</v>
      </c>
      <c r="AB1139" t="s">
        <v>51</v>
      </c>
      <c r="AC1139" t="s">
        <v>51</v>
      </c>
      <c r="AD1139" t="s">
        <v>1079</v>
      </c>
      <c r="AE1139" t="s">
        <v>51</v>
      </c>
      <c r="AF1139" t="s">
        <v>271</v>
      </c>
    </row>
    <row r="1140" spans="1:32" ht="14.5" customHeight="1" x14ac:dyDescent="0.35">
      <c r="A1140" t="s">
        <v>498</v>
      </c>
      <c r="B1140" t="s">
        <v>1070</v>
      </c>
      <c r="C1140" t="s">
        <v>596</v>
      </c>
      <c r="D1140">
        <v>3001221</v>
      </c>
      <c r="E1140">
        <v>3100663</v>
      </c>
      <c r="F1140" t="s">
        <v>1064</v>
      </c>
      <c r="G1140" t="s">
        <v>1064</v>
      </c>
      <c r="H1140" t="s">
        <v>54</v>
      </c>
      <c r="I1140">
        <v>9918321</v>
      </c>
      <c r="J1140" s="12">
        <v>46107</v>
      </c>
      <c r="K1140" s="12">
        <v>46107</v>
      </c>
      <c r="L1140" s="12">
        <v>46153</v>
      </c>
      <c r="M1140">
        <v>-21</v>
      </c>
      <c r="N1140">
        <v>397993049</v>
      </c>
      <c r="O1140">
        <v>0</v>
      </c>
      <c r="P1140">
        <v>397993049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 t="s">
        <v>596</v>
      </c>
      <c r="AA1140" t="s">
        <v>55</v>
      </c>
      <c r="AB1140" t="s">
        <v>51</v>
      </c>
      <c r="AC1140" t="s">
        <v>51</v>
      </c>
      <c r="AD1140" t="s">
        <v>51</v>
      </c>
      <c r="AE1140" t="s">
        <v>1080</v>
      </c>
      <c r="AF1140" t="s">
        <v>657</v>
      </c>
    </row>
    <row r="1141" spans="1:32" ht="14.5" customHeight="1" x14ac:dyDescent="0.35">
      <c r="A1141" t="s">
        <v>498</v>
      </c>
      <c r="B1141" t="s">
        <v>1070</v>
      </c>
      <c r="C1141" t="s">
        <v>596</v>
      </c>
      <c r="D1141">
        <v>3001221</v>
      </c>
      <c r="E1141">
        <v>3100663</v>
      </c>
      <c r="F1141" t="s">
        <v>1064</v>
      </c>
      <c r="G1141" t="s">
        <v>1064</v>
      </c>
      <c r="H1141" t="s">
        <v>54</v>
      </c>
      <c r="I1141">
        <v>9918322</v>
      </c>
      <c r="J1141" s="12">
        <v>46107</v>
      </c>
      <c r="K1141" s="12">
        <v>46107</v>
      </c>
      <c r="L1141" s="12">
        <v>46153</v>
      </c>
      <c r="M1141">
        <v>-21</v>
      </c>
      <c r="N1141">
        <v>4562233</v>
      </c>
      <c r="O1141">
        <v>0</v>
      </c>
      <c r="P1141">
        <v>4562233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 t="s">
        <v>596</v>
      </c>
      <c r="AA1141" t="s">
        <v>55</v>
      </c>
      <c r="AB1141" t="s">
        <v>51</v>
      </c>
      <c r="AC1141" t="s">
        <v>51</v>
      </c>
      <c r="AD1141" t="s">
        <v>51</v>
      </c>
      <c r="AE1141" t="s">
        <v>629</v>
      </c>
      <c r="AF1141" t="s">
        <v>64</v>
      </c>
    </row>
    <row r="1142" spans="1:32" ht="14.5" customHeight="1" x14ac:dyDescent="0.35">
      <c r="A1142" t="s">
        <v>498</v>
      </c>
      <c r="B1142" t="s">
        <v>546</v>
      </c>
      <c r="C1142" t="s">
        <v>596</v>
      </c>
      <c r="D1142">
        <v>3001221</v>
      </c>
      <c r="E1142">
        <v>3001225</v>
      </c>
      <c r="F1142" t="s">
        <v>1064</v>
      </c>
      <c r="G1142" t="s">
        <v>1065</v>
      </c>
      <c r="H1142" t="s">
        <v>54</v>
      </c>
      <c r="I1142">
        <v>9919658</v>
      </c>
      <c r="J1142" s="12">
        <v>46109</v>
      </c>
      <c r="K1142" s="12">
        <v>46109</v>
      </c>
      <c r="L1142" s="12">
        <v>46167</v>
      </c>
      <c r="M1142">
        <v>-35</v>
      </c>
      <c r="N1142">
        <v>368103994</v>
      </c>
      <c r="O1142">
        <v>0</v>
      </c>
      <c r="P1142">
        <v>368103994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 t="s">
        <v>548</v>
      </c>
      <c r="AA1142" t="s">
        <v>55</v>
      </c>
      <c r="AB1142" t="s">
        <v>51</v>
      </c>
      <c r="AC1142" t="s">
        <v>51</v>
      </c>
      <c r="AD1142" t="s">
        <v>51</v>
      </c>
      <c r="AE1142" t="s">
        <v>1081</v>
      </c>
      <c r="AF1142" t="s">
        <v>285</v>
      </c>
    </row>
    <row r="1143" spans="1:32" ht="14.5" customHeight="1" x14ac:dyDescent="0.35">
      <c r="A1143" t="s">
        <v>498</v>
      </c>
      <c r="B1143" t="s">
        <v>546</v>
      </c>
      <c r="C1143" t="s">
        <v>596</v>
      </c>
      <c r="D1143">
        <v>3001221</v>
      </c>
      <c r="E1143">
        <v>3001225</v>
      </c>
      <c r="F1143" t="s">
        <v>1064</v>
      </c>
      <c r="G1143" t="s">
        <v>1065</v>
      </c>
      <c r="H1143" t="s">
        <v>54</v>
      </c>
      <c r="I1143">
        <v>9919659</v>
      </c>
      <c r="J1143" s="12">
        <v>46109</v>
      </c>
      <c r="K1143" s="12">
        <v>46109</v>
      </c>
      <c r="L1143" s="12">
        <v>46167</v>
      </c>
      <c r="M1143">
        <v>-35</v>
      </c>
      <c r="N1143">
        <v>163793040</v>
      </c>
      <c r="O1143">
        <v>0</v>
      </c>
      <c r="P1143">
        <v>163793040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 t="s">
        <v>548</v>
      </c>
      <c r="AA1143" t="s">
        <v>55</v>
      </c>
      <c r="AB1143" t="s">
        <v>51</v>
      </c>
      <c r="AC1143" t="s">
        <v>51</v>
      </c>
      <c r="AD1143" t="s">
        <v>51</v>
      </c>
      <c r="AE1143" t="s">
        <v>1082</v>
      </c>
      <c r="AF1143" t="s">
        <v>1047</v>
      </c>
    </row>
    <row r="1144" spans="1:32" ht="14.5" customHeight="1" x14ac:dyDescent="0.35">
      <c r="A1144" t="s">
        <v>498</v>
      </c>
      <c r="B1144" t="s">
        <v>546</v>
      </c>
      <c r="C1144" t="s">
        <v>596</v>
      </c>
      <c r="D1144">
        <v>3001221</v>
      </c>
      <c r="E1144">
        <v>3001225</v>
      </c>
      <c r="F1144" t="s">
        <v>1064</v>
      </c>
      <c r="G1144" t="s">
        <v>1065</v>
      </c>
      <c r="H1144" t="s">
        <v>54</v>
      </c>
      <c r="I1144">
        <v>9919660</v>
      </c>
      <c r="J1144" s="12">
        <v>46109</v>
      </c>
      <c r="K1144" s="12">
        <v>46109</v>
      </c>
      <c r="L1144" s="12">
        <v>46167</v>
      </c>
      <c r="M1144">
        <v>-35</v>
      </c>
      <c r="N1144">
        <v>3070886</v>
      </c>
      <c r="O1144">
        <v>0</v>
      </c>
      <c r="P1144">
        <v>3070886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 t="s">
        <v>548</v>
      </c>
      <c r="AA1144" t="s">
        <v>55</v>
      </c>
      <c r="AB1144" t="s">
        <v>51</v>
      </c>
      <c r="AC1144" t="s">
        <v>51</v>
      </c>
      <c r="AD1144" t="s">
        <v>51</v>
      </c>
      <c r="AE1144" t="s">
        <v>1083</v>
      </c>
      <c r="AF1144" t="s">
        <v>320</v>
      </c>
    </row>
    <row r="1145" spans="1:32" ht="14.5" customHeight="1" x14ac:dyDescent="0.35">
      <c r="A1145" t="s">
        <v>498</v>
      </c>
      <c r="B1145" t="s">
        <v>546</v>
      </c>
      <c r="C1145" t="s">
        <v>47</v>
      </c>
      <c r="D1145">
        <v>3001221</v>
      </c>
      <c r="E1145">
        <v>3001225</v>
      </c>
      <c r="F1145" t="s">
        <v>1064</v>
      </c>
      <c r="G1145" t="s">
        <v>1065</v>
      </c>
      <c r="H1145" t="s">
        <v>140</v>
      </c>
      <c r="I1145">
        <v>9923870</v>
      </c>
      <c r="J1145" s="12">
        <v>46122</v>
      </c>
      <c r="K1145" s="12">
        <v>46122</v>
      </c>
      <c r="L1145" s="12">
        <v>46167</v>
      </c>
      <c r="M1145">
        <v>-35</v>
      </c>
      <c r="N1145">
        <v>147467</v>
      </c>
      <c r="O1145">
        <v>0</v>
      </c>
      <c r="P1145">
        <v>147467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 t="s">
        <v>548</v>
      </c>
      <c r="AA1145" t="s">
        <v>55</v>
      </c>
      <c r="AB1145" t="s">
        <v>51</v>
      </c>
      <c r="AC1145" t="s">
        <v>51</v>
      </c>
      <c r="AD1145" t="s">
        <v>51</v>
      </c>
      <c r="AE1145" t="s">
        <v>1084</v>
      </c>
      <c r="AF1145" t="s">
        <v>106</v>
      </c>
    </row>
    <row r="1146" spans="1:32" ht="14.5" customHeight="1" x14ac:dyDescent="0.35">
      <c r="A1146" t="s">
        <v>498</v>
      </c>
      <c r="B1146" t="s">
        <v>546</v>
      </c>
      <c r="C1146" t="s">
        <v>47</v>
      </c>
      <c r="D1146">
        <v>3001221</v>
      </c>
      <c r="E1146">
        <v>3001225</v>
      </c>
      <c r="F1146" t="s">
        <v>1064</v>
      </c>
      <c r="G1146" t="s">
        <v>1065</v>
      </c>
      <c r="H1146" t="s">
        <v>140</v>
      </c>
      <c r="I1146">
        <v>9927258</v>
      </c>
      <c r="J1146" s="12">
        <v>46130</v>
      </c>
      <c r="K1146" s="12">
        <v>46130</v>
      </c>
      <c r="L1146" s="12">
        <v>46175</v>
      </c>
      <c r="M1146">
        <v>-43</v>
      </c>
      <c r="N1146">
        <v>4785352</v>
      </c>
      <c r="O1146">
        <v>0</v>
      </c>
      <c r="P1146">
        <v>4785352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 t="s">
        <v>548</v>
      </c>
      <c r="AA1146" t="s">
        <v>55</v>
      </c>
      <c r="AB1146" t="s">
        <v>51</v>
      </c>
      <c r="AC1146" t="s">
        <v>51</v>
      </c>
      <c r="AD1146" t="s">
        <v>51</v>
      </c>
      <c r="AE1146" t="s">
        <v>1085</v>
      </c>
      <c r="AF1146" t="s">
        <v>398</v>
      </c>
    </row>
    <row r="1147" spans="1:32" ht="14.5" customHeight="1" x14ac:dyDescent="0.35">
      <c r="A1147" t="s">
        <v>498</v>
      </c>
      <c r="B1147" t="s">
        <v>652</v>
      </c>
      <c r="C1147" t="s">
        <v>47</v>
      </c>
      <c r="D1147">
        <v>3001223</v>
      </c>
      <c r="E1147">
        <v>3001223</v>
      </c>
      <c r="F1147" t="s">
        <v>1086</v>
      </c>
      <c r="G1147" t="s">
        <v>1086</v>
      </c>
      <c r="H1147" t="s">
        <v>54</v>
      </c>
      <c r="I1147">
        <v>6955259</v>
      </c>
      <c r="J1147" s="12">
        <v>46093</v>
      </c>
      <c r="K1147" s="12">
        <v>46093</v>
      </c>
      <c r="L1147" s="12">
        <v>46093</v>
      </c>
      <c r="M1147">
        <v>39</v>
      </c>
      <c r="N1147">
        <v>-250000</v>
      </c>
      <c r="O1147">
        <v>-250000</v>
      </c>
      <c r="P1147">
        <v>0</v>
      </c>
      <c r="Q1147">
        <v>0</v>
      </c>
      <c r="R1147">
        <v>-250000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 t="s">
        <v>47</v>
      </c>
      <c r="AA1147" t="s">
        <v>1087</v>
      </c>
      <c r="AB1147" t="s">
        <v>51</v>
      </c>
      <c r="AC1147" t="s">
        <v>51</v>
      </c>
      <c r="AD1147" t="s">
        <v>51</v>
      </c>
      <c r="AE1147" t="s">
        <v>51</v>
      </c>
      <c r="AF1147" t="s">
        <v>1088</v>
      </c>
    </row>
    <row r="1148" spans="1:32" ht="14.5" customHeight="1" x14ac:dyDescent="0.35">
      <c r="A1148" t="s">
        <v>498</v>
      </c>
      <c r="B1148" t="s">
        <v>652</v>
      </c>
      <c r="C1148" t="s">
        <v>47</v>
      </c>
      <c r="D1148">
        <v>3001223</v>
      </c>
      <c r="E1148">
        <v>3001223</v>
      </c>
      <c r="F1148" t="s">
        <v>1086</v>
      </c>
      <c r="G1148" t="s">
        <v>1086</v>
      </c>
      <c r="H1148" t="s">
        <v>54</v>
      </c>
      <c r="I1148">
        <v>6956055</v>
      </c>
      <c r="J1148" s="12">
        <v>46097</v>
      </c>
      <c r="K1148" s="12">
        <v>46097</v>
      </c>
      <c r="L1148" s="12">
        <v>46097</v>
      </c>
      <c r="M1148">
        <v>35</v>
      </c>
      <c r="N1148">
        <v>-718147</v>
      </c>
      <c r="O1148">
        <v>-718147</v>
      </c>
      <c r="P1148">
        <v>0</v>
      </c>
      <c r="Q1148">
        <v>0</v>
      </c>
      <c r="R1148">
        <v>-718147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 t="s">
        <v>47</v>
      </c>
      <c r="AA1148" t="s">
        <v>1087</v>
      </c>
      <c r="AB1148" t="s">
        <v>51</v>
      </c>
      <c r="AC1148" t="s">
        <v>51</v>
      </c>
      <c r="AD1148" t="s">
        <v>51</v>
      </c>
      <c r="AE1148" t="s">
        <v>51</v>
      </c>
      <c r="AF1148" t="s">
        <v>1089</v>
      </c>
    </row>
    <row r="1149" spans="1:32" ht="14.5" customHeight="1" x14ac:dyDescent="0.35">
      <c r="A1149" t="s">
        <v>498</v>
      </c>
      <c r="B1149" t="s">
        <v>652</v>
      </c>
      <c r="C1149" t="s">
        <v>47</v>
      </c>
      <c r="D1149">
        <v>3001223</v>
      </c>
      <c r="E1149">
        <v>3001223</v>
      </c>
      <c r="F1149" t="s">
        <v>1086</v>
      </c>
      <c r="G1149" t="s">
        <v>1086</v>
      </c>
      <c r="H1149" t="s">
        <v>54</v>
      </c>
      <c r="I1149">
        <v>6956056</v>
      </c>
      <c r="J1149" s="12">
        <v>46097</v>
      </c>
      <c r="K1149" s="12">
        <v>46097</v>
      </c>
      <c r="L1149" s="12">
        <v>46097</v>
      </c>
      <c r="M1149">
        <v>35</v>
      </c>
      <c r="N1149">
        <v>-4040000</v>
      </c>
      <c r="O1149">
        <v>-4040000</v>
      </c>
      <c r="P1149">
        <v>0</v>
      </c>
      <c r="Q1149">
        <v>0</v>
      </c>
      <c r="R1149">
        <v>-4040000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 t="s">
        <v>47</v>
      </c>
      <c r="AA1149" t="s">
        <v>1087</v>
      </c>
      <c r="AB1149" t="s">
        <v>51</v>
      </c>
      <c r="AC1149" t="s">
        <v>51</v>
      </c>
      <c r="AD1149" t="s">
        <v>51</v>
      </c>
      <c r="AE1149" t="s">
        <v>51</v>
      </c>
      <c r="AF1149" t="s">
        <v>1090</v>
      </c>
    </row>
    <row r="1150" spans="1:32" ht="14.5" customHeight="1" x14ac:dyDescent="0.35">
      <c r="A1150" t="s">
        <v>498</v>
      </c>
      <c r="B1150" t="s">
        <v>652</v>
      </c>
      <c r="C1150" t="s">
        <v>47</v>
      </c>
      <c r="D1150">
        <v>3001223</v>
      </c>
      <c r="E1150">
        <v>3001223</v>
      </c>
      <c r="F1150" t="s">
        <v>1086</v>
      </c>
      <c r="G1150" t="s">
        <v>1086</v>
      </c>
      <c r="H1150" t="s">
        <v>54</v>
      </c>
      <c r="I1150">
        <v>6956057</v>
      </c>
      <c r="J1150" s="12">
        <v>46097</v>
      </c>
      <c r="K1150" s="12">
        <v>46097</v>
      </c>
      <c r="L1150" s="12">
        <v>46097</v>
      </c>
      <c r="M1150">
        <v>35</v>
      </c>
      <c r="N1150">
        <v>-453000</v>
      </c>
      <c r="O1150">
        <v>-453000</v>
      </c>
      <c r="P1150">
        <v>0</v>
      </c>
      <c r="Q1150">
        <v>0</v>
      </c>
      <c r="R1150">
        <v>-453000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 t="s">
        <v>47</v>
      </c>
      <c r="AA1150" t="s">
        <v>1087</v>
      </c>
      <c r="AB1150" t="s">
        <v>51</v>
      </c>
      <c r="AC1150" t="s">
        <v>51</v>
      </c>
      <c r="AD1150" t="s">
        <v>51</v>
      </c>
      <c r="AE1150" t="s">
        <v>51</v>
      </c>
      <c r="AF1150" t="s">
        <v>1091</v>
      </c>
    </row>
    <row r="1151" spans="1:32" ht="14.5" customHeight="1" x14ac:dyDescent="0.35">
      <c r="A1151" t="s">
        <v>498</v>
      </c>
      <c r="B1151" t="s">
        <v>652</v>
      </c>
      <c r="C1151" t="s">
        <v>47</v>
      </c>
      <c r="D1151">
        <v>3001223</v>
      </c>
      <c r="E1151">
        <v>3001223</v>
      </c>
      <c r="F1151" t="s">
        <v>1086</v>
      </c>
      <c r="G1151" t="s">
        <v>1086</v>
      </c>
      <c r="H1151" t="s">
        <v>54</v>
      </c>
      <c r="I1151">
        <v>6956058</v>
      </c>
      <c r="J1151" s="12">
        <v>46097</v>
      </c>
      <c r="K1151" s="12">
        <v>46097</v>
      </c>
      <c r="L1151" s="12">
        <v>46097</v>
      </c>
      <c r="M1151">
        <v>35</v>
      </c>
      <c r="N1151">
        <v>-453000</v>
      </c>
      <c r="O1151">
        <v>-453000</v>
      </c>
      <c r="P1151">
        <v>0</v>
      </c>
      <c r="Q1151">
        <v>0</v>
      </c>
      <c r="R1151">
        <v>-453000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 t="s">
        <v>47</v>
      </c>
      <c r="AA1151" t="s">
        <v>1087</v>
      </c>
      <c r="AB1151" t="s">
        <v>51</v>
      </c>
      <c r="AC1151" t="s">
        <v>51</v>
      </c>
      <c r="AD1151" t="s">
        <v>51</v>
      </c>
      <c r="AE1151" t="s">
        <v>51</v>
      </c>
      <c r="AF1151" t="s">
        <v>1092</v>
      </c>
    </row>
    <row r="1152" spans="1:32" ht="14.5" customHeight="1" x14ac:dyDescent="0.35">
      <c r="A1152" t="s">
        <v>498</v>
      </c>
      <c r="B1152" t="s">
        <v>652</v>
      </c>
      <c r="C1152" t="s">
        <v>47</v>
      </c>
      <c r="D1152">
        <v>3001223</v>
      </c>
      <c r="E1152">
        <v>3001223</v>
      </c>
      <c r="F1152" t="s">
        <v>1086</v>
      </c>
      <c r="G1152" t="s">
        <v>1086</v>
      </c>
      <c r="H1152" t="s">
        <v>54</v>
      </c>
      <c r="I1152">
        <v>6956059</v>
      </c>
      <c r="J1152" s="12">
        <v>46097</v>
      </c>
      <c r="K1152" s="12">
        <v>46097</v>
      </c>
      <c r="L1152" s="12">
        <v>46097</v>
      </c>
      <c r="M1152">
        <v>35</v>
      </c>
      <c r="N1152">
        <v>-453000</v>
      </c>
      <c r="O1152">
        <v>-453000</v>
      </c>
      <c r="P1152">
        <v>0</v>
      </c>
      <c r="Q1152">
        <v>0</v>
      </c>
      <c r="R1152">
        <v>-453000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 t="s">
        <v>47</v>
      </c>
      <c r="AA1152" t="s">
        <v>1087</v>
      </c>
      <c r="AB1152" t="s">
        <v>51</v>
      </c>
      <c r="AC1152" t="s">
        <v>51</v>
      </c>
      <c r="AD1152" t="s">
        <v>51</v>
      </c>
      <c r="AE1152" t="s">
        <v>51</v>
      </c>
      <c r="AF1152" t="s">
        <v>1093</v>
      </c>
    </row>
    <row r="1153" spans="1:32" ht="14.5" customHeight="1" x14ac:dyDescent="0.35">
      <c r="A1153" t="s">
        <v>498</v>
      </c>
      <c r="B1153" t="s">
        <v>652</v>
      </c>
      <c r="C1153" t="s">
        <v>47</v>
      </c>
      <c r="D1153">
        <v>3001223</v>
      </c>
      <c r="E1153">
        <v>3001223</v>
      </c>
      <c r="F1153" t="s">
        <v>1086</v>
      </c>
      <c r="G1153" t="s">
        <v>1086</v>
      </c>
      <c r="H1153" t="s">
        <v>54</v>
      </c>
      <c r="I1153">
        <v>6956060</v>
      </c>
      <c r="J1153" s="12">
        <v>46097</v>
      </c>
      <c r="K1153" s="12">
        <v>46097</v>
      </c>
      <c r="L1153" s="12">
        <v>46097</v>
      </c>
      <c r="M1153">
        <v>35</v>
      </c>
      <c r="N1153">
        <v>-453000</v>
      </c>
      <c r="O1153">
        <v>-453000</v>
      </c>
      <c r="P1153">
        <v>0</v>
      </c>
      <c r="Q1153">
        <v>0</v>
      </c>
      <c r="R1153">
        <v>-453000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 t="s">
        <v>47</v>
      </c>
      <c r="AA1153" t="s">
        <v>1087</v>
      </c>
      <c r="AB1153" t="s">
        <v>51</v>
      </c>
      <c r="AC1153" t="s">
        <v>51</v>
      </c>
      <c r="AD1153" t="s">
        <v>51</v>
      </c>
      <c r="AE1153" t="s">
        <v>51</v>
      </c>
      <c r="AF1153" t="s">
        <v>1094</v>
      </c>
    </row>
    <row r="1154" spans="1:32" ht="14.5" customHeight="1" x14ac:dyDescent="0.35">
      <c r="A1154" t="s">
        <v>498</v>
      </c>
      <c r="B1154" t="s">
        <v>652</v>
      </c>
      <c r="C1154" t="s">
        <v>47</v>
      </c>
      <c r="D1154">
        <v>3001223</v>
      </c>
      <c r="E1154">
        <v>3001223</v>
      </c>
      <c r="F1154" t="s">
        <v>1086</v>
      </c>
      <c r="G1154" t="s">
        <v>1086</v>
      </c>
      <c r="H1154" t="s">
        <v>54</v>
      </c>
      <c r="I1154">
        <v>6956061</v>
      </c>
      <c r="J1154" s="12">
        <v>46097</v>
      </c>
      <c r="K1154" s="12">
        <v>46097</v>
      </c>
      <c r="L1154" s="12">
        <v>46097</v>
      </c>
      <c r="M1154">
        <v>35</v>
      </c>
      <c r="N1154">
        <v>-453000</v>
      </c>
      <c r="O1154">
        <v>-453000</v>
      </c>
      <c r="P1154">
        <v>0</v>
      </c>
      <c r="Q1154">
        <v>0</v>
      </c>
      <c r="R1154">
        <v>-453000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 t="s">
        <v>47</v>
      </c>
      <c r="AA1154" t="s">
        <v>1087</v>
      </c>
      <c r="AB1154" t="s">
        <v>51</v>
      </c>
      <c r="AC1154" t="s">
        <v>51</v>
      </c>
      <c r="AD1154" t="s">
        <v>51</v>
      </c>
      <c r="AE1154" t="s">
        <v>51</v>
      </c>
      <c r="AF1154" t="s">
        <v>1095</v>
      </c>
    </row>
    <row r="1155" spans="1:32" ht="14.5" customHeight="1" x14ac:dyDescent="0.35">
      <c r="A1155" t="s">
        <v>498</v>
      </c>
      <c r="B1155" t="s">
        <v>652</v>
      </c>
      <c r="C1155" t="s">
        <v>47</v>
      </c>
      <c r="D1155">
        <v>3001223</v>
      </c>
      <c r="E1155">
        <v>3001223</v>
      </c>
      <c r="F1155" t="s">
        <v>1086</v>
      </c>
      <c r="G1155" t="s">
        <v>1086</v>
      </c>
      <c r="H1155" t="s">
        <v>54</v>
      </c>
      <c r="I1155">
        <v>6956062</v>
      </c>
      <c r="J1155" s="12">
        <v>46097</v>
      </c>
      <c r="K1155" s="12">
        <v>46097</v>
      </c>
      <c r="L1155" s="12">
        <v>46097</v>
      </c>
      <c r="M1155">
        <v>35</v>
      </c>
      <c r="N1155">
        <v>-453000</v>
      </c>
      <c r="O1155">
        <v>-453000</v>
      </c>
      <c r="P1155">
        <v>0</v>
      </c>
      <c r="Q1155">
        <v>0</v>
      </c>
      <c r="R1155">
        <v>-453000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 t="s">
        <v>47</v>
      </c>
      <c r="AA1155" t="s">
        <v>1087</v>
      </c>
      <c r="AB1155" t="s">
        <v>51</v>
      </c>
      <c r="AC1155" t="s">
        <v>51</v>
      </c>
      <c r="AD1155" t="s">
        <v>51</v>
      </c>
      <c r="AE1155" t="s">
        <v>51</v>
      </c>
      <c r="AF1155" t="s">
        <v>1096</v>
      </c>
    </row>
    <row r="1156" spans="1:32" ht="14.5" customHeight="1" x14ac:dyDescent="0.35">
      <c r="A1156" t="s">
        <v>498</v>
      </c>
      <c r="B1156" t="s">
        <v>652</v>
      </c>
      <c r="C1156" t="s">
        <v>47</v>
      </c>
      <c r="D1156">
        <v>3001223</v>
      </c>
      <c r="E1156">
        <v>3001223</v>
      </c>
      <c r="F1156" t="s">
        <v>1086</v>
      </c>
      <c r="G1156" t="s">
        <v>1086</v>
      </c>
      <c r="H1156" t="s">
        <v>54</v>
      </c>
      <c r="I1156">
        <v>6956068</v>
      </c>
      <c r="J1156" s="12">
        <v>46097</v>
      </c>
      <c r="K1156" s="12">
        <v>46097</v>
      </c>
      <c r="L1156" s="12">
        <v>46097</v>
      </c>
      <c r="M1156">
        <v>35</v>
      </c>
      <c r="N1156">
        <v>-1526000</v>
      </c>
      <c r="O1156">
        <v>-1526000</v>
      </c>
      <c r="P1156">
        <v>0</v>
      </c>
      <c r="Q1156">
        <v>0</v>
      </c>
      <c r="R1156">
        <v>-1526000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 t="s">
        <v>47</v>
      </c>
      <c r="AA1156" t="s">
        <v>1087</v>
      </c>
      <c r="AB1156" t="s">
        <v>51</v>
      </c>
      <c r="AC1156" t="s">
        <v>51</v>
      </c>
      <c r="AD1156" t="s">
        <v>51</v>
      </c>
      <c r="AE1156" t="s">
        <v>51</v>
      </c>
      <c r="AF1156" t="s">
        <v>1097</v>
      </c>
    </row>
    <row r="1157" spans="1:32" ht="14.5" customHeight="1" x14ac:dyDescent="0.35">
      <c r="A1157" t="s">
        <v>498</v>
      </c>
      <c r="B1157" t="s">
        <v>652</v>
      </c>
      <c r="C1157" t="s">
        <v>47</v>
      </c>
      <c r="D1157">
        <v>3001223</v>
      </c>
      <c r="E1157">
        <v>3001223</v>
      </c>
      <c r="F1157" t="s">
        <v>1086</v>
      </c>
      <c r="G1157" t="s">
        <v>1086</v>
      </c>
      <c r="H1157" t="s">
        <v>54</v>
      </c>
      <c r="I1157">
        <v>6956069</v>
      </c>
      <c r="J1157" s="12">
        <v>46097</v>
      </c>
      <c r="K1157" s="12">
        <v>46097</v>
      </c>
      <c r="L1157" s="12">
        <v>46097</v>
      </c>
      <c r="M1157">
        <v>35</v>
      </c>
      <c r="N1157">
        <v>-4578000</v>
      </c>
      <c r="O1157">
        <v>-4578000</v>
      </c>
      <c r="P1157">
        <v>0</v>
      </c>
      <c r="Q1157">
        <v>0</v>
      </c>
      <c r="R1157">
        <v>-4578000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 t="s">
        <v>47</v>
      </c>
      <c r="AA1157" t="s">
        <v>1087</v>
      </c>
      <c r="AB1157" t="s">
        <v>51</v>
      </c>
      <c r="AC1157" t="s">
        <v>51</v>
      </c>
      <c r="AD1157" t="s">
        <v>51</v>
      </c>
      <c r="AE1157" t="s">
        <v>51</v>
      </c>
      <c r="AF1157" t="s">
        <v>1097</v>
      </c>
    </row>
    <row r="1158" spans="1:32" ht="14.5" customHeight="1" x14ac:dyDescent="0.35">
      <c r="A1158" t="s">
        <v>498</v>
      </c>
      <c r="B1158" t="s">
        <v>652</v>
      </c>
      <c r="C1158" t="s">
        <v>47</v>
      </c>
      <c r="D1158">
        <v>3001223</v>
      </c>
      <c r="E1158">
        <v>3001223</v>
      </c>
      <c r="F1158" t="s">
        <v>1086</v>
      </c>
      <c r="G1158" t="s">
        <v>1086</v>
      </c>
      <c r="H1158" t="s">
        <v>54</v>
      </c>
      <c r="I1158">
        <v>6956070</v>
      </c>
      <c r="J1158" s="12">
        <v>46097</v>
      </c>
      <c r="K1158" s="12">
        <v>46097</v>
      </c>
      <c r="L1158" s="12">
        <v>46097</v>
      </c>
      <c r="M1158">
        <v>35</v>
      </c>
      <c r="N1158">
        <v>-2616000</v>
      </c>
      <c r="O1158">
        <v>-2616000</v>
      </c>
      <c r="P1158">
        <v>0</v>
      </c>
      <c r="Q1158">
        <v>0</v>
      </c>
      <c r="R1158">
        <v>-2616000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 t="s">
        <v>47</v>
      </c>
      <c r="AA1158" t="s">
        <v>1087</v>
      </c>
      <c r="AB1158" t="s">
        <v>51</v>
      </c>
      <c r="AC1158" t="s">
        <v>51</v>
      </c>
      <c r="AD1158" t="s">
        <v>51</v>
      </c>
      <c r="AE1158" t="s">
        <v>51</v>
      </c>
      <c r="AF1158" t="s">
        <v>1098</v>
      </c>
    </row>
    <row r="1159" spans="1:32" ht="14.5" customHeight="1" x14ac:dyDescent="0.35">
      <c r="A1159" t="s">
        <v>498</v>
      </c>
      <c r="B1159" t="s">
        <v>652</v>
      </c>
      <c r="C1159" t="s">
        <v>47</v>
      </c>
      <c r="D1159">
        <v>3001223</v>
      </c>
      <c r="E1159">
        <v>3001223</v>
      </c>
      <c r="F1159" t="s">
        <v>1086</v>
      </c>
      <c r="G1159" t="s">
        <v>1086</v>
      </c>
      <c r="H1159" t="s">
        <v>54</v>
      </c>
      <c r="I1159">
        <v>6956071</v>
      </c>
      <c r="J1159" s="12">
        <v>46097</v>
      </c>
      <c r="K1159" s="12">
        <v>46097</v>
      </c>
      <c r="L1159" s="12">
        <v>46097</v>
      </c>
      <c r="M1159">
        <v>35</v>
      </c>
      <c r="N1159">
        <v>-872000</v>
      </c>
      <c r="O1159">
        <v>-872000</v>
      </c>
      <c r="P1159">
        <v>0</v>
      </c>
      <c r="Q1159">
        <v>0</v>
      </c>
      <c r="R1159">
        <v>-872000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 t="s">
        <v>47</v>
      </c>
      <c r="AA1159" t="s">
        <v>1087</v>
      </c>
      <c r="AB1159" t="s">
        <v>51</v>
      </c>
      <c r="AC1159" t="s">
        <v>51</v>
      </c>
      <c r="AD1159" t="s">
        <v>51</v>
      </c>
      <c r="AE1159" t="s">
        <v>51</v>
      </c>
      <c r="AF1159" t="s">
        <v>1099</v>
      </c>
    </row>
    <row r="1160" spans="1:32" ht="14.5" customHeight="1" x14ac:dyDescent="0.35">
      <c r="A1160" t="s">
        <v>498</v>
      </c>
      <c r="B1160" t="s">
        <v>652</v>
      </c>
      <c r="C1160" t="s">
        <v>47</v>
      </c>
      <c r="D1160">
        <v>3001223</v>
      </c>
      <c r="E1160">
        <v>3001223</v>
      </c>
      <c r="F1160" t="s">
        <v>1086</v>
      </c>
      <c r="G1160" t="s">
        <v>1086</v>
      </c>
      <c r="H1160" t="s">
        <v>54</v>
      </c>
      <c r="I1160">
        <v>6956072</v>
      </c>
      <c r="J1160" s="12">
        <v>46097</v>
      </c>
      <c r="K1160" s="12">
        <v>46097</v>
      </c>
      <c r="L1160" s="12">
        <v>46097</v>
      </c>
      <c r="M1160">
        <v>35</v>
      </c>
      <c r="N1160">
        <v>-545000</v>
      </c>
      <c r="O1160">
        <v>-545000</v>
      </c>
      <c r="P1160">
        <v>0</v>
      </c>
      <c r="Q1160">
        <v>0</v>
      </c>
      <c r="R1160">
        <v>-545000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 t="s">
        <v>47</v>
      </c>
      <c r="AA1160" t="s">
        <v>1087</v>
      </c>
      <c r="AB1160" t="s">
        <v>51</v>
      </c>
      <c r="AC1160" t="s">
        <v>51</v>
      </c>
      <c r="AD1160" t="s">
        <v>51</v>
      </c>
      <c r="AE1160" t="s">
        <v>51</v>
      </c>
      <c r="AF1160" t="s">
        <v>1100</v>
      </c>
    </row>
    <row r="1161" spans="1:32" ht="14.5" customHeight="1" x14ac:dyDescent="0.35">
      <c r="A1161" t="s">
        <v>498</v>
      </c>
      <c r="B1161" t="s">
        <v>652</v>
      </c>
      <c r="C1161" t="s">
        <v>47</v>
      </c>
      <c r="D1161">
        <v>3001223</v>
      </c>
      <c r="E1161">
        <v>3001223</v>
      </c>
      <c r="F1161" t="s">
        <v>1086</v>
      </c>
      <c r="G1161" t="s">
        <v>1086</v>
      </c>
      <c r="H1161" t="s">
        <v>54</v>
      </c>
      <c r="I1161">
        <v>6956073</v>
      </c>
      <c r="J1161" s="12">
        <v>46097</v>
      </c>
      <c r="K1161" s="12">
        <v>46097</v>
      </c>
      <c r="L1161" s="12">
        <v>46097</v>
      </c>
      <c r="M1161">
        <v>35</v>
      </c>
      <c r="N1161">
        <v>-7500000</v>
      </c>
      <c r="O1161">
        <v>-7500000</v>
      </c>
      <c r="P1161">
        <v>0</v>
      </c>
      <c r="Q1161">
        <v>0</v>
      </c>
      <c r="R1161">
        <v>-7500000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 t="s">
        <v>47</v>
      </c>
      <c r="AA1161" t="s">
        <v>1087</v>
      </c>
      <c r="AB1161" t="s">
        <v>51</v>
      </c>
      <c r="AC1161" t="s">
        <v>51</v>
      </c>
      <c r="AD1161" t="s">
        <v>51</v>
      </c>
      <c r="AE1161" t="s">
        <v>51</v>
      </c>
      <c r="AF1161" t="s">
        <v>1101</v>
      </c>
    </row>
    <row r="1162" spans="1:32" ht="14.5" customHeight="1" x14ac:dyDescent="0.35">
      <c r="A1162" t="s">
        <v>498</v>
      </c>
      <c r="B1162" t="s">
        <v>652</v>
      </c>
      <c r="C1162" t="s">
        <v>47</v>
      </c>
      <c r="D1162">
        <v>3001223</v>
      </c>
      <c r="E1162">
        <v>3001223</v>
      </c>
      <c r="F1162" t="s">
        <v>1086</v>
      </c>
      <c r="G1162" t="s">
        <v>1086</v>
      </c>
      <c r="H1162" t="s">
        <v>54</v>
      </c>
      <c r="I1162">
        <v>6956074</v>
      </c>
      <c r="J1162" s="12">
        <v>46097</v>
      </c>
      <c r="K1162" s="12">
        <v>46097</v>
      </c>
      <c r="L1162" s="12">
        <v>46097</v>
      </c>
      <c r="M1162">
        <v>35</v>
      </c>
      <c r="N1162">
        <v>-21107000</v>
      </c>
      <c r="O1162">
        <v>-21107000</v>
      </c>
      <c r="P1162">
        <v>0</v>
      </c>
      <c r="Q1162">
        <v>0</v>
      </c>
      <c r="R1162">
        <v>-21107000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 t="s">
        <v>47</v>
      </c>
      <c r="AA1162" t="s">
        <v>1087</v>
      </c>
      <c r="AB1162" t="s">
        <v>51</v>
      </c>
      <c r="AC1162" t="s">
        <v>51</v>
      </c>
      <c r="AD1162" t="s">
        <v>51</v>
      </c>
      <c r="AE1162" t="s">
        <v>51</v>
      </c>
      <c r="AF1162" t="s">
        <v>1102</v>
      </c>
    </row>
    <row r="1163" spans="1:32" ht="14.5" customHeight="1" x14ac:dyDescent="0.35">
      <c r="A1163" t="s">
        <v>498</v>
      </c>
      <c r="B1163" t="s">
        <v>652</v>
      </c>
      <c r="C1163" t="s">
        <v>47</v>
      </c>
      <c r="D1163">
        <v>3001223</v>
      </c>
      <c r="E1163">
        <v>3001223</v>
      </c>
      <c r="F1163" t="s">
        <v>1086</v>
      </c>
      <c r="G1163" t="s">
        <v>1086</v>
      </c>
      <c r="H1163" t="s">
        <v>54</v>
      </c>
      <c r="I1163">
        <v>6956089</v>
      </c>
      <c r="J1163" s="12">
        <v>46097</v>
      </c>
      <c r="K1163" s="12">
        <v>46097</v>
      </c>
      <c r="L1163" s="12">
        <v>46097</v>
      </c>
      <c r="M1163">
        <v>35</v>
      </c>
      <c r="N1163">
        <v>-2500000</v>
      </c>
      <c r="O1163">
        <v>-2500000</v>
      </c>
      <c r="P1163">
        <v>0</v>
      </c>
      <c r="Q1163">
        <v>0</v>
      </c>
      <c r="R1163">
        <v>-2500000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 t="s">
        <v>47</v>
      </c>
      <c r="AA1163" t="s">
        <v>1087</v>
      </c>
      <c r="AB1163" t="s">
        <v>51</v>
      </c>
      <c r="AC1163" t="s">
        <v>51</v>
      </c>
      <c r="AD1163" t="s">
        <v>51</v>
      </c>
      <c r="AE1163" t="s">
        <v>51</v>
      </c>
      <c r="AF1163" t="s">
        <v>1101</v>
      </c>
    </row>
    <row r="1164" spans="1:32" ht="14.5" customHeight="1" x14ac:dyDescent="0.35">
      <c r="A1164" t="s">
        <v>498</v>
      </c>
      <c r="B1164" t="s">
        <v>652</v>
      </c>
      <c r="C1164" t="s">
        <v>47</v>
      </c>
      <c r="D1164">
        <v>3001223</v>
      </c>
      <c r="E1164">
        <v>3001223</v>
      </c>
      <c r="F1164" t="s">
        <v>1086</v>
      </c>
      <c r="G1164" t="s">
        <v>1086</v>
      </c>
      <c r="H1164" t="s">
        <v>54</v>
      </c>
      <c r="I1164">
        <v>6956201</v>
      </c>
      <c r="J1164" s="12">
        <v>46098</v>
      </c>
      <c r="K1164" s="12">
        <v>46098</v>
      </c>
      <c r="L1164" s="12">
        <v>46098</v>
      </c>
      <c r="M1164">
        <v>34</v>
      </c>
      <c r="N1164">
        <v>-2616000</v>
      </c>
      <c r="O1164">
        <v>-2616000</v>
      </c>
      <c r="P1164">
        <v>0</v>
      </c>
      <c r="Q1164">
        <v>0</v>
      </c>
      <c r="R1164">
        <v>-2616000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 t="s">
        <v>47</v>
      </c>
      <c r="AA1164" t="s">
        <v>1087</v>
      </c>
      <c r="AB1164" t="s">
        <v>51</v>
      </c>
      <c r="AC1164" t="s">
        <v>51</v>
      </c>
      <c r="AD1164" t="s">
        <v>51</v>
      </c>
      <c r="AE1164" t="s">
        <v>51</v>
      </c>
      <c r="AF1164" t="s">
        <v>1103</v>
      </c>
    </row>
    <row r="1165" spans="1:32" ht="14.5" customHeight="1" x14ac:dyDescent="0.35">
      <c r="A1165" t="s">
        <v>498</v>
      </c>
      <c r="B1165" t="s">
        <v>652</v>
      </c>
      <c r="C1165" t="s">
        <v>47</v>
      </c>
      <c r="D1165">
        <v>3001223</v>
      </c>
      <c r="E1165">
        <v>3001223</v>
      </c>
      <c r="F1165" t="s">
        <v>1086</v>
      </c>
      <c r="G1165" t="s">
        <v>1086</v>
      </c>
      <c r="H1165" t="s">
        <v>54</v>
      </c>
      <c r="I1165">
        <v>6956202</v>
      </c>
      <c r="J1165" s="12">
        <v>46098</v>
      </c>
      <c r="K1165" s="12">
        <v>46098</v>
      </c>
      <c r="L1165" s="12">
        <v>46098</v>
      </c>
      <c r="M1165">
        <v>34</v>
      </c>
      <c r="N1165">
        <v>-2000000</v>
      </c>
      <c r="O1165">
        <v>-2000000</v>
      </c>
      <c r="P1165">
        <v>0</v>
      </c>
      <c r="Q1165">
        <v>0</v>
      </c>
      <c r="R1165">
        <v>-2000000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 t="s">
        <v>47</v>
      </c>
      <c r="AA1165" t="s">
        <v>1087</v>
      </c>
      <c r="AB1165" t="s">
        <v>51</v>
      </c>
      <c r="AC1165" t="s">
        <v>51</v>
      </c>
      <c r="AD1165" t="s">
        <v>51</v>
      </c>
      <c r="AE1165" t="s">
        <v>51</v>
      </c>
      <c r="AF1165" t="s">
        <v>1101</v>
      </c>
    </row>
    <row r="1166" spans="1:32" ht="14.5" customHeight="1" x14ac:dyDescent="0.35">
      <c r="A1166" t="s">
        <v>498</v>
      </c>
      <c r="B1166" t="s">
        <v>652</v>
      </c>
      <c r="C1166" t="s">
        <v>47</v>
      </c>
      <c r="D1166">
        <v>3001223</v>
      </c>
      <c r="E1166">
        <v>3001223</v>
      </c>
      <c r="F1166" t="s">
        <v>1086</v>
      </c>
      <c r="G1166" t="s">
        <v>1086</v>
      </c>
      <c r="H1166" t="s">
        <v>54</v>
      </c>
      <c r="I1166">
        <v>6956203</v>
      </c>
      <c r="J1166" s="12">
        <v>46098</v>
      </c>
      <c r="K1166" s="12">
        <v>46098</v>
      </c>
      <c r="L1166" s="12">
        <v>46098</v>
      </c>
      <c r="M1166">
        <v>34</v>
      </c>
      <c r="N1166">
        <v>-949746</v>
      </c>
      <c r="O1166">
        <v>-949746</v>
      </c>
      <c r="P1166">
        <v>0</v>
      </c>
      <c r="Q1166">
        <v>0</v>
      </c>
      <c r="R1166">
        <v>-949746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 t="s">
        <v>47</v>
      </c>
      <c r="AA1166" t="s">
        <v>1087</v>
      </c>
      <c r="AB1166" t="s">
        <v>51</v>
      </c>
      <c r="AC1166" t="s">
        <v>51</v>
      </c>
      <c r="AD1166" t="s">
        <v>51</v>
      </c>
      <c r="AE1166" t="s">
        <v>51</v>
      </c>
      <c r="AF1166" t="s">
        <v>1104</v>
      </c>
    </row>
    <row r="1167" spans="1:32" ht="14.5" customHeight="1" x14ac:dyDescent="0.35">
      <c r="A1167" t="s">
        <v>498</v>
      </c>
      <c r="B1167" t="s">
        <v>652</v>
      </c>
      <c r="C1167" t="s">
        <v>47</v>
      </c>
      <c r="D1167">
        <v>3001223</v>
      </c>
      <c r="E1167">
        <v>3001223</v>
      </c>
      <c r="F1167" t="s">
        <v>1086</v>
      </c>
      <c r="G1167" t="s">
        <v>1086</v>
      </c>
      <c r="H1167" t="s">
        <v>54</v>
      </c>
      <c r="I1167">
        <v>6956205</v>
      </c>
      <c r="J1167" s="12">
        <v>46098</v>
      </c>
      <c r="K1167" s="12">
        <v>46098</v>
      </c>
      <c r="L1167" s="12">
        <v>46098</v>
      </c>
      <c r="M1167">
        <v>34</v>
      </c>
      <c r="N1167">
        <v>-8080000</v>
      </c>
      <c r="O1167">
        <v>-8080000</v>
      </c>
      <c r="P1167">
        <v>0</v>
      </c>
      <c r="Q1167">
        <v>0</v>
      </c>
      <c r="R1167">
        <v>-8080000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 t="s">
        <v>47</v>
      </c>
      <c r="AA1167" t="s">
        <v>1087</v>
      </c>
      <c r="AB1167" t="s">
        <v>51</v>
      </c>
      <c r="AC1167" t="s">
        <v>51</v>
      </c>
      <c r="AD1167" t="s">
        <v>51</v>
      </c>
      <c r="AE1167" t="s">
        <v>51</v>
      </c>
      <c r="AF1167" t="s">
        <v>1105</v>
      </c>
    </row>
    <row r="1168" spans="1:32" ht="14.5" customHeight="1" x14ac:dyDescent="0.35">
      <c r="A1168" t="s">
        <v>498</v>
      </c>
      <c r="B1168" t="s">
        <v>652</v>
      </c>
      <c r="C1168" t="s">
        <v>47</v>
      </c>
      <c r="D1168">
        <v>3001223</v>
      </c>
      <c r="E1168">
        <v>3001223</v>
      </c>
      <c r="F1168" t="s">
        <v>1086</v>
      </c>
      <c r="G1168" t="s">
        <v>1086</v>
      </c>
      <c r="H1168" t="s">
        <v>54</v>
      </c>
      <c r="I1168">
        <v>6956206</v>
      </c>
      <c r="J1168" s="12">
        <v>46098</v>
      </c>
      <c r="K1168" s="12">
        <v>46098</v>
      </c>
      <c r="L1168" s="12">
        <v>46098</v>
      </c>
      <c r="M1168">
        <v>34</v>
      </c>
      <c r="N1168">
        <v>-6060000</v>
      </c>
      <c r="O1168">
        <v>-6060000</v>
      </c>
      <c r="P1168">
        <v>0</v>
      </c>
      <c r="Q1168">
        <v>0</v>
      </c>
      <c r="R1168">
        <v>-6060000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 t="s">
        <v>47</v>
      </c>
      <c r="AA1168" t="s">
        <v>1087</v>
      </c>
      <c r="AB1168" t="s">
        <v>51</v>
      </c>
      <c r="AC1168" t="s">
        <v>51</v>
      </c>
      <c r="AD1168" t="s">
        <v>51</v>
      </c>
      <c r="AE1168" t="s">
        <v>51</v>
      </c>
      <c r="AF1168" t="s">
        <v>1106</v>
      </c>
    </row>
    <row r="1169" spans="1:32" ht="14.5" customHeight="1" x14ac:dyDescent="0.35">
      <c r="A1169" t="s">
        <v>498</v>
      </c>
      <c r="B1169" t="s">
        <v>652</v>
      </c>
      <c r="C1169" t="s">
        <v>47</v>
      </c>
      <c r="D1169">
        <v>3001223</v>
      </c>
      <c r="E1169">
        <v>3001223</v>
      </c>
      <c r="F1169" t="s">
        <v>1086</v>
      </c>
      <c r="G1169" t="s">
        <v>1086</v>
      </c>
      <c r="H1169" t="s">
        <v>54</v>
      </c>
      <c r="I1169">
        <v>6956207</v>
      </c>
      <c r="J1169" s="12">
        <v>46098</v>
      </c>
      <c r="K1169" s="12">
        <v>46098</v>
      </c>
      <c r="L1169" s="12">
        <v>46098</v>
      </c>
      <c r="M1169">
        <v>34</v>
      </c>
      <c r="N1169">
        <v>-2727000</v>
      </c>
      <c r="O1169">
        <v>-2727000</v>
      </c>
      <c r="P1169">
        <v>0</v>
      </c>
      <c r="Q1169">
        <v>0</v>
      </c>
      <c r="R1169">
        <v>-2727000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 t="s">
        <v>47</v>
      </c>
      <c r="AA1169" t="s">
        <v>1087</v>
      </c>
      <c r="AB1169" t="s">
        <v>51</v>
      </c>
      <c r="AC1169" t="s">
        <v>51</v>
      </c>
      <c r="AD1169" t="s">
        <v>51</v>
      </c>
      <c r="AE1169" t="s">
        <v>51</v>
      </c>
      <c r="AF1169" t="s">
        <v>1105</v>
      </c>
    </row>
    <row r="1170" spans="1:32" ht="14.5" customHeight="1" x14ac:dyDescent="0.35">
      <c r="A1170" t="s">
        <v>498</v>
      </c>
      <c r="B1170" t="s">
        <v>652</v>
      </c>
      <c r="C1170" t="s">
        <v>47</v>
      </c>
      <c r="D1170">
        <v>3001223</v>
      </c>
      <c r="E1170">
        <v>3001223</v>
      </c>
      <c r="F1170" t="s">
        <v>1086</v>
      </c>
      <c r="G1170" t="s">
        <v>1086</v>
      </c>
      <c r="H1170" t="s">
        <v>54</v>
      </c>
      <c r="I1170">
        <v>6956208</v>
      </c>
      <c r="J1170" s="12">
        <v>46098</v>
      </c>
      <c r="K1170" s="12">
        <v>46098</v>
      </c>
      <c r="L1170" s="12">
        <v>46098</v>
      </c>
      <c r="M1170">
        <v>34</v>
      </c>
      <c r="N1170">
        <v>-10605000</v>
      </c>
      <c r="O1170">
        <v>-10605000</v>
      </c>
      <c r="P1170">
        <v>0</v>
      </c>
      <c r="Q1170">
        <v>0</v>
      </c>
      <c r="R1170">
        <v>-10605000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 t="s">
        <v>47</v>
      </c>
      <c r="AA1170" t="s">
        <v>1087</v>
      </c>
      <c r="AB1170" t="s">
        <v>51</v>
      </c>
      <c r="AC1170" t="s">
        <v>51</v>
      </c>
      <c r="AD1170" t="s">
        <v>51</v>
      </c>
      <c r="AE1170" t="s">
        <v>51</v>
      </c>
      <c r="AF1170" t="s">
        <v>1107</v>
      </c>
    </row>
    <row r="1171" spans="1:32" ht="14.5" customHeight="1" x14ac:dyDescent="0.35">
      <c r="A1171" t="s">
        <v>498</v>
      </c>
      <c r="B1171" t="s">
        <v>652</v>
      </c>
      <c r="C1171" t="s">
        <v>47</v>
      </c>
      <c r="D1171">
        <v>3001223</v>
      </c>
      <c r="E1171">
        <v>3001223</v>
      </c>
      <c r="F1171" t="s">
        <v>1086</v>
      </c>
      <c r="G1171" t="s">
        <v>1086</v>
      </c>
      <c r="H1171" t="s">
        <v>54</v>
      </c>
      <c r="I1171">
        <v>6956209</v>
      </c>
      <c r="J1171" s="12">
        <v>46098</v>
      </c>
      <c r="K1171" s="12">
        <v>46098</v>
      </c>
      <c r="L1171" s="12">
        <v>46098</v>
      </c>
      <c r="M1171">
        <v>34</v>
      </c>
      <c r="N1171">
        <v>-8175000</v>
      </c>
      <c r="O1171">
        <v>-8175000</v>
      </c>
      <c r="P1171">
        <v>0</v>
      </c>
      <c r="Q1171">
        <v>0</v>
      </c>
      <c r="R1171">
        <v>-8175000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 t="s">
        <v>47</v>
      </c>
      <c r="AA1171" t="s">
        <v>1087</v>
      </c>
      <c r="AB1171" t="s">
        <v>51</v>
      </c>
      <c r="AC1171" t="s">
        <v>51</v>
      </c>
      <c r="AD1171" t="s">
        <v>51</v>
      </c>
      <c r="AE1171" t="s">
        <v>51</v>
      </c>
      <c r="AF1171" t="s">
        <v>1108</v>
      </c>
    </row>
    <row r="1172" spans="1:32" ht="14.5" customHeight="1" x14ac:dyDescent="0.35">
      <c r="A1172" t="s">
        <v>498</v>
      </c>
      <c r="B1172" t="s">
        <v>652</v>
      </c>
      <c r="C1172" t="s">
        <v>47</v>
      </c>
      <c r="D1172">
        <v>3001223</v>
      </c>
      <c r="E1172">
        <v>3001223</v>
      </c>
      <c r="F1172" t="s">
        <v>1086</v>
      </c>
      <c r="G1172" t="s">
        <v>1086</v>
      </c>
      <c r="H1172" t="s">
        <v>54</v>
      </c>
      <c r="I1172">
        <v>6956210</v>
      </c>
      <c r="J1172" s="12">
        <v>46098</v>
      </c>
      <c r="K1172" s="12">
        <v>46098</v>
      </c>
      <c r="L1172" s="12">
        <v>46098</v>
      </c>
      <c r="M1172">
        <v>34</v>
      </c>
      <c r="N1172">
        <v>-4545000</v>
      </c>
      <c r="O1172">
        <v>-4545000</v>
      </c>
      <c r="P1172">
        <v>0</v>
      </c>
      <c r="Q1172">
        <v>0</v>
      </c>
      <c r="R1172">
        <v>-4545000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 t="s">
        <v>47</v>
      </c>
      <c r="AA1172" t="s">
        <v>1087</v>
      </c>
      <c r="AB1172" t="s">
        <v>51</v>
      </c>
      <c r="AC1172" t="s">
        <v>51</v>
      </c>
      <c r="AD1172" t="s">
        <v>51</v>
      </c>
      <c r="AE1172" t="s">
        <v>51</v>
      </c>
      <c r="AF1172" t="s">
        <v>1109</v>
      </c>
    </row>
    <row r="1173" spans="1:32" ht="14.5" customHeight="1" x14ac:dyDescent="0.35">
      <c r="A1173" t="s">
        <v>498</v>
      </c>
      <c r="B1173" t="s">
        <v>652</v>
      </c>
      <c r="C1173" t="s">
        <v>47</v>
      </c>
      <c r="D1173">
        <v>3001223</v>
      </c>
      <c r="E1173">
        <v>3001223</v>
      </c>
      <c r="F1173" t="s">
        <v>1086</v>
      </c>
      <c r="G1173" t="s">
        <v>1086</v>
      </c>
      <c r="H1173" t="s">
        <v>54</v>
      </c>
      <c r="I1173">
        <v>6956211</v>
      </c>
      <c r="J1173" s="12">
        <v>46098</v>
      </c>
      <c r="K1173" s="12">
        <v>46098</v>
      </c>
      <c r="L1173" s="12">
        <v>46098</v>
      </c>
      <c r="M1173">
        <v>34</v>
      </c>
      <c r="N1173">
        <v>-1575000</v>
      </c>
      <c r="O1173">
        <v>-1575000</v>
      </c>
      <c r="P1173">
        <v>0</v>
      </c>
      <c r="Q1173">
        <v>0</v>
      </c>
      <c r="R1173">
        <v>-1575000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 t="s">
        <v>47</v>
      </c>
      <c r="AA1173" t="s">
        <v>1087</v>
      </c>
      <c r="AB1173" t="s">
        <v>51</v>
      </c>
      <c r="AC1173" t="s">
        <v>51</v>
      </c>
      <c r="AD1173" t="s">
        <v>51</v>
      </c>
      <c r="AE1173" t="s">
        <v>51</v>
      </c>
      <c r="AF1173" t="s">
        <v>1110</v>
      </c>
    </row>
    <row r="1174" spans="1:32" ht="14.5" customHeight="1" x14ac:dyDescent="0.35">
      <c r="A1174" t="s">
        <v>498</v>
      </c>
      <c r="B1174" t="s">
        <v>652</v>
      </c>
      <c r="C1174" t="s">
        <v>47</v>
      </c>
      <c r="D1174">
        <v>3001223</v>
      </c>
      <c r="E1174">
        <v>3001223</v>
      </c>
      <c r="F1174" t="s">
        <v>1086</v>
      </c>
      <c r="G1174" t="s">
        <v>1086</v>
      </c>
      <c r="H1174" t="s">
        <v>54</v>
      </c>
      <c r="I1174">
        <v>6956215</v>
      </c>
      <c r="J1174" s="12">
        <v>46098</v>
      </c>
      <c r="K1174" s="12">
        <v>46098</v>
      </c>
      <c r="L1174" s="12">
        <v>46098</v>
      </c>
      <c r="M1174">
        <v>34</v>
      </c>
      <c r="N1174">
        <v>-477254</v>
      </c>
      <c r="O1174">
        <v>-477254</v>
      </c>
      <c r="P1174">
        <v>0</v>
      </c>
      <c r="Q1174">
        <v>0</v>
      </c>
      <c r="R1174">
        <v>-477254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 t="s">
        <v>47</v>
      </c>
      <c r="AA1174" t="s">
        <v>1087</v>
      </c>
      <c r="AB1174" t="s">
        <v>51</v>
      </c>
      <c r="AC1174" t="s">
        <v>51</v>
      </c>
      <c r="AD1174" t="s">
        <v>51</v>
      </c>
      <c r="AE1174" t="s">
        <v>51</v>
      </c>
      <c r="AF1174" t="s">
        <v>1089</v>
      </c>
    </row>
    <row r="1175" spans="1:32" ht="14.5" customHeight="1" x14ac:dyDescent="0.35">
      <c r="A1175" t="s">
        <v>498</v>
      </c>
      <c r="B1175" t="s">
        <v>652</v>
      </c>
      <c r="C1175" t="s">
        <v>47</v>
      </c>
      <c r="D1175">
        <v>3001223</v>
      </c>
      <c r="E1175">
        <v>3001223</v>
      </c>
      <c r="F1175" t="s">
        <v>1086</v>
      </c>
      <c r="G1175" t="s">
        <v>1086</v>
      </c>
      <c r="H1175" t="s">
        <v>54</v>
      </c>
      <c r="I1175">
        <v>6956216</v>
      </c>
      <c r="J1175" s="12">
        <v>46098</v>
      </c>
      <c r="K1175" s="12">
        <v>46098</v>
      </c>
      <c r="L1175" s="12">
        <v>46098</v>
      </c>
      <c r="M1175">
        <v>34</v>
      </c>
      <c r="N1175">
        <v>-355991</v>
      </c>
      <c r="O1175">
        <v>-355991</v>
      </c>
      <c r="P1175">
        <v>0</v>
      </c>
      <c r="Q1175">
        <v>0</v>
      </c>
      <c r="R1175">
        <v>-355991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 t="s">
        <v>47</v>
      </c>
      <c r="AA1175" t="s">
        <v>1087</v>
      </c>
      <c r="AB1175" t="s">
        <v>51</v>
      </c>
      <c r="AC1175" t="s">
        <v>51</v>
      </c>
      <c r="AD1175" t="s">
        <v>51</v>
      </c>
      <c r="AE1175" t="s">
        <v>51</v>
      </c>
      <c r="AF1175" t="s">
        <v>1089</v>
      </c>
    </row>
    <row r="1176" spans="1:32" ht="14.5" customHeight="1" x14ac:dyDescent="0.35">
      <c r="A1176" t="s">
        <v>498</v>
      </c>
      <c r="B1176" t="s">
        <v>652</v>
      </c>
      <c r="C1176" t="s">
        <v>47</v>
      </c>
      <c r="D1176">
        <v>3001223</v>
      </c>
      <c r="E1176">
        <v>3001223</v>
      </c>
      <c r="F1176" t="s">
        <v>1086</v>
      </c>
      <c r="G1176" t="s">
        <v>1086</v>
      </c>
      <c r="H1176" t="s">
        <v>54</v>
      </c>
      <c r="I1176">
        <v>6956217</v>
      </c>
      <c r="J1176" s="12">
        <v>46098</v>
      </c>
      <c r="K1176" s="12">
        <v>46098</v>
      </c>
      <c r="L1176" s="12">
        <v>46098</v>
      </c>
      <c r="M1176">
        <v>34</v>
      </c>
      <c r="N1176">
        <v>-396054</v>
      </c>
      <c r="O1176">
        <v>-396054</v>
      </c>
      <c r="P1176">
        <v>0</v>
      </c>
      <c r="Q1176">
        <v>0</v>
      </c>
      <c r="R1176">
        <v>-396054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 t="s">
        <v>47</v>
      </c>
      <c r="AA1176" t="s">
        <v>1087</v>
      </c>
      <c r="AB1176" t="s">
        <v>51</v>
      </c>
      <c r="AC1176" t="s">
        <v>51</v>
      </c>
      <c r="AD1176" t="s">
        <v>51</v>
      </c>
      <c r="AE1176" t="s">
        <v>51</v>
      </c>
      <c r="AF1176" t="s">
        <v>1089</v>
      </c>
    </row>
    <row r="1177" spans="1:32" ht="14.5" customHeight="1" x14ac:dyDescent="0.35">
      <c r="A1177" t="s">
        <v>498</v>
      </c>
      <c r="B1177" t="s">
        <v>652</v>
      </c>
      <c r="C1177" t="s">
        <v>47</v>
      </c>
      <c r="D1177">
        <v>3001223</v>
      </c>
      <c r="E1177">
        <v>3001223</v>
      </c>
      <c r="F1177" t="s">
        <v>1086</v>
      </c>
      <c r="G1177" t="s">
        <v>1086</v>
      </c>
      <c r="H1177" t="s">
        <v>54</v>
      </c>
      <c r="I1177">
        <v>6956218</v>
      </c>
      <c r="J1177" s="12">
        <v>46098</v>
      </c>
      <c r="K1177" s="12">
        <v>46098</v>
      </c>
      <c r="L1177" s="12">
        <v>46098</v>
      </c>
      <c r="M1177">
        <v>34</v>
      </c>
      <c r="N1177">
        <v>-755643</v>
      </c>
      <c r="O1177">
        <v>-755643</v>
      </c>
      <c r="P1177">
        <v>0</v>
      </c>
      <c r="Q1177">
        <v>0</v>
      </c>
      <c r="R1177">
        <v>-755643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 t="s">
        <v>47</v>
      </c>
      <c r="AA1177" t="s">
        <v>1087</v>
      </c>
      <c r="AB1177" t="s">
        <v>51</v>
      </c>
      <c r="AC1177" t="s">
        <v>51</v>
      </c>
      <c r="AD1177" t="s">
        <v>51</v>
      </c>
      <c r="AE1177" t="s">
        <v>51</v>
      </c>
      <c r="AF1177" t="s">
        <v>1089</v>
      </c>
    </row>
    <row r="1178" spans="1:32" ht="14.5" customHeight="1" x14ac:dyDescent="0.35">
      <c r="A1178" t="s">
        <v>498</v>
      </c>
      <c r="B1178" t="s">
        <v>652</v>
      </c>
      <c r="C1178" t="s">
        <v>47</v>
      </c>
      <c r="D1178">
        <v>3001223</v>
      </c>
      <c r="E1178">
        <v>3001223</v>
      </c>
      <c r="F1178" t="s">
        <v>1086</v>
      </c>
      <c r="G1178" t="s">
        <v>1086</v>
      </c>
      <c r="H1178" t="s">
        <v>54</v>
      </c>
      <c r="I1178">
        <v>6956219</v>
      </c>
      <c r="J1178" s="12">
        <v>46098</v>
      </c>
      <c r="K1178" s="12">
        <v>46098</v>
      </c>
      <c r="L1178" s="12">
        <v>46098</v>
      </c>
      <c r="M1178">
        <v>34</v>
      </c>
      <c r="N1178">
        <v>-7575000</v>
      </c>
      <c r="O1178">
        <v>-7575000</v>
      </c>
      <c r="P1178">
        <v>0</v>
      </c>
      <c r="Q1178">
        <v>0</v>
      </c>
      <c r="R1178">
        <v>-7575000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 t="s">
        <v>47</v>
      </c>
      <c r="AA1178" t="s">
        <v>1087</v>
      </c>
      <c r="AB1178" t="s">
        <v>51</v>
      </c>
      <c r="AC1178" t="s">
        <v>51</v>
      </c>
      <c r="AD1178" t="s">
        <v>51</v>
      </c>
      <c r="AE1178" t="s">
        <v>51</v>
      </c>
      <c r="AF1178" t="s">
        <v>1111</v>
      </c>
    </row>
    <row r="1179" spans="1:32" ht="14.5" customHeight="1" x14ac:dyDescent="0.35">
      <c r="A1179" t="s">
        <v>498</v>
      </c>
      <c r="B1179" t="s">
        <v>652</v>
      </c>
      <c r="C1179" t="s">
        <v>47</v>
      </c>
      <c r="D1179">
        <v>3001223</v>
      </c>
      <c r="E1179">
        <v>3001223</v>
      </c>
      <c r="F1179" t="s">
        <v>1086</v>
      </c>
      <c r="G1179" t="s">
        <v>1086</v>
      </c>
      <c r="H1179" t="s">
        <v>54</v>
      </c>
      <c r="I1179">
        <v>6956220</v>
      </c>
      <c r="J1179" s="12">
        <v>46098</v>
      </c>
      <c r="K1179" s="12">
        <v>46098</v>
      </c>
      <c r="L1179" s="12">
        <v>46098</v>
      </c>
      <c r="M1179">
        <v>34</v>
      </c>
      <c r="N1179">
        <v>-9090000</v>
      </c>
      <c r="O1179">
        <v>-9090000</v>
      </c>
      <c r="P1179">
        <v>0</v>
      </c>
      <c r="Q1179">
        <v>0</v>
      </c>
      <c r="R1179">
        <v>-9090000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 t="s">
        <v>47</v>
      </c>
      <c r="AA1179" t="s">
        <v>1087</v>
      </c>
      <c r="AB1179" t="s">
        <v>51</v>
      </c>
      <c r="AC1179" t="s">
        <v>51</v>
      </c>
      <c r="AD1179" t="s">
        <v>51</v>
      </c>
      <c r="AE1179" t="s">
        <v>51</v>
      </c>
      <c r="AF1179" t="s">
        <v>1112</v>
      </c>
    </row>
    <row r="1180" spans="1:32" ht="14.5" customHeight="1" x14ac:dyDescent="0.35">
      <c r="A1180" t="s">
        <v>498</v>
      </c>
      <c r="B1180" t="s">
        <v>652</v>
      </c>
      <c r="C1180" t="s">
        <v>47</v>
      </c>
      <c r="D1180">
        <v>3001223</v>
      </c>
      <c r="E1180">
        <v>3001223</v>
      </c>
      <c r="F1180" t="s">
        <v>1086</v>
      </c>
      <c r="G1180" t="s">
        <v>1086</v>
      </c>
      <c r="H1180" t="s">
        <v>54</v>
      </c>
      <c r="I1180">
        <v>6956221</v>
      </c>
      <c r="J1180" s="12">
        <v>46098</v>
      </c>
      <c r="K1180" s="12">
        <v>46098</v>
      </c>
      <c r="L1180" s="12">
        <v>46098</v>
      </c>
      <c r="M1180">
        <v>34</v>
      </c>
      <c r="N1180">
        <v>-5454000</v>
      </c>
      <c r="O1180">
        <v>-5454000</v>
      </c>
      <c r="P1180">
        <v>0</v>
      </c>
      <c r="Q1180">
        <v>0</v>
      </c>
      <c r="R1180">
        <v>-5454000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 t="s">
        <v>47</v>
      </c>
      <c r="AA1180" t="s">
        <v>1087</v>
      </c>
      <c r="AB1180" t="s">
        <v>51</v>
      </c>
      <c r="AC1180" t="s">
        <v>51</v>
      </c>
      <c r="AD1180" t="s">
        <v>51</v>
      </c>
      <c r="AE1180" t="s">
        <v>51</v>
      </c>
      <c r="AF1180" t="s">
        <v>1105</v>
      </c>
    </row>
    <row r="1181" spans="1:32" ht="14.5" customHeight="1" x14ac:dyDescent="0.35">
      <c r="A1181" t="s">
        <v>498</v>
      </c>
      <c r="B1181" t="s">
        <v>652</v>
      </c>
      <c r="C1181" t="s">
        <v>47</v>
      </c>
      <c r="D1181">
        <v>3001223</v>
      </c>
      <c r="E1181">
        <v>3001223</v>
      </c>
      <c r="F1181" t="s">
        <v>1086</v>
      </c>
      <c r="G1181" t="s">
        <v>1086</v>
      </c>
      <c r="H1181" t="s">
        <v>54</v>
      </c>
      <c r="I1181">
        <v>6956222</v>
      </c>
      <c r="J1181" s="12">
        <v>46098</v>
      </c>
      <c r="K1181" s="12">
        <v>46098</v>
      </c>
      <c r="L1181" s="12">
        <v>46098</v>
      </c>
      <c r="M1181">
        <v>34</v>
      </c>
      <c r="N1181">
        <v>-4545000</v>
      </c>
      <c r="O1181">
        <v>-4545000</v>
      </c>
      <c r="P1181">
        <v>0</v>
      </c>
      <c r="Q1181">
        <v>0</v>
      </c>
      <c r="R1181">
        <v>-4545000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 t="s">
        <v>47</v>
      </c>
      <c r="AA1181" t="s">
        <v>1087</v>
      </c>
      <c r="AB1181" t="s">
        <v>51</v>
      </c>
      <c r="AC1181" t="s">
        <v>51</v>
      </c>
      <c r="AD1181" t="s">
        <v>51</v>
      </c>
      <c r="AE1181" t="s">
        <v>51</v>
      </c>
      <c r="AF1181" t="s">
        <v>1111</v>
      </c>
    </row>
    <row r="1182" spans="1:32" ht="14.5" customHeight="1" x14ac:dyDescent="0.35">
      <c r="A1182" t="s">
        <v>498</v>
      </c>
      <c r="B1182" t="s">
        <v>652</v>
      </c>
      <c r="C1182" t="s">
        <v>47</v>
      </c>
      <c r="D1182">
        <v>3001223</v>
      </c>
      <c r="E1182">
        <v>3001223</v>
      </c>
      <c r="F1182" t="s">
        <v>1086</v>
      </c>
      <c r="G1182" t="s">
        <v>1086</v>
      </c>
      <c r="H1182" t="s">
        <v>54</v>
      </c>
      <c r="I1182">
        <v>6956223</v>
      </c>
      <c r="J1182" s="12">
        <v>46098</v>
      </c>
      <c r="K1182" s="12">
        <v>46098</v>
      </c>
      <c r="L1182" s="12">
        <v>46098</v>
      </c>
      <c r="M1182">
        <v>34</v>
      </c>
      <c r="N1182">
        <v>-6060000</v>
      </c>
      <c r="O1182">
        <v>-6060000</v>
      </c>
      <c r="P1182">
        <v>0</v>
      </c>
      <c r="Q1182">
        <v>0</v>
      </c>
      <c r="R1182">
        <v>-6060000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 t="s">
        <v>47</v>
      </c>
      <c r="AA1182" t="s">
        <v>1087</v>
      </c>
      <c r="AB1182" t="s">
        <v>51</v>
      </c>
      <c r="AC1182" t="s">
        <v>51</v>
      </c>
      <c r="AD1182" t="s">
        <v>51</v>
      </c>
      <c r="AE1182" t="s">
        <v>51</v>
      </c>
      <c r="AF1182" t="s">
        <v>1113</v>
      </c>
    </row>
    <row r="1183" spans="1:32" ht="14.5" customHeight="1" x14ac:dyDescent="0.35">
      <c r="A1183" t="s">
        <v>498</v>
      </c>
      <c r="B1183" t="s">
        <v>652</v>
      </c>
      <c r="C1183" t="s">
        <v>47</v>
      </c>
      <c r="D1183">
        <v>3001223</v>
      </c>
      <c r="E1183">
        <v>3001223</v>
      </c>
      <c r="F1183" t="s">
        <v>1086</v>
      </c>
      <c r="G1183" t="s">
        <v>1086</v>
      </c>
      <c r="H1183" t="s">
        <v>54</v>
      </c>
      <c r="I1183">
        <v>6956224</v>
      </c>
      <c r="J1183" s="12">
        <v>46098</v>
      </c>
      <c r="K1183" s="12">
        <v>46098</v>
      </c>
      <c r="L1183" s="12">
        <v>46098</v>
      </c>
      <c r="M1183">
        <v>34</v>
      </c>
      <c r="N1183">
        <v>-13635000</v>
      </c>
      <c r="O1183">
        <v>-13635000</v>
      </c>
      <c r="P1183">
        <v>0</v>
      </c>
      <c r="Q1183">
        <v>0</v>
      </c>
      <c r="R1183">
        <v>-13635000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 t="s">
        <v>47</v>
      </c>
      <c r="AA1183" t="s">
        <v>1087</v>
      </c>
      <c r="AB1183" t="s">
        <v>51</v>
      </c>
      <c r="AC1183" t="s">
        <v>51</v>
      </c>
      <c r="AD1183" t="s">
        <v>51</v>
      </c>
      <c r="AE1183" t="s">
        <v>51</v>
      </c>
      <c r="AF1183" t="s">
        <v>1112</v>
      </c>
    </row>
    <row r="1184" spans="1:32" ht="14.5" customHeight="1" x14ac:dyDescent="0.35">
      <c r="A1184" t="s">
        <v>498</v>
      </c>
      <c r="B1184" t="s">
        <v>652</v>
      </c>
      <c r="C1184" t="s">
        <v>47</v>
      </c>
      <c r="D1184">
        <v>3001223</v>
      </c>
      <c r="E1184">
        <v>3001223</v>
      </c>
      <c r="F1184" t="s">
        <v>1086</v>
      </c>
      <c r="G1184" t="s">
        <v>1086</v>
      </c>
      <c r="H1184" t="s">
        <v>54</v>
      </c>
      <c r="I1184">
        <v>6956225</v>
      </c>
      <c r="J1184" s="12">
        <v>46098</v>
      </c>
      <c r="K1184" s="12">
        <v>46098</v>
      </c>
      <c r="L1184" s="12">
        <v>46098</v>
      </c>
      <c r="M1184">
        <v>34</v>
      </c>
      <c r="N1184">
        <v>-11362500</v>
      </c>
      <c r="O1184">
        <v>-11362500</v>
      </c>
      <c r="P1184">
        <v>0</v>
      </c>
      <c r="Q1184">
        <v>0</v>
      </c>
      <c r="R1184">
        <v>-11362500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 t="s">
        <v>47</v>
      </c>
      <c r="AA1184" t="s">
        <v>1087</v>
      </c>
      <c r="AB1184" t="s">
        <v>51</v>
      </c>
      <c r="AC1184" t="s">
        <v>51</v>
      </c>
      <c r="AD1184" t="s">
        <v>51</v>
      </c>
      <c r="AE1184" t="s">
        <v>51</v>
      </c>
      <c r="AF1184" t="s">
        <v>1114</v>
      </c>
    </row>
    <row r="1185" spans="1:32" ht="14.5" customHeight="1" x14ac:dyDescent="0.35">
      <c r="A1185" t="s">
        <v>498</v>
      </c>
      <c r="B1185" t="s">
        <v>652</v>
      </c>
      <c r="C1185" t="s">
        <v>47</v>
      </c>
      <c r="D1185">
        <v>3001223</v>
      </c>
      <c r="E1185">
        <v>3001223</v>
      </c>
      <c r="F1185" t="s">
        <v>1086</v>
      </c>
      <c r="G1185" t="s">
        <v>1086</v>
      </c>
      <c r="H1185" t="s">
        <v>54</v>
      </c>
      <c r="I1185">
        <v>6956226</v>
      </c>
      <c r="J1185" s="12">
        <v>46098</v>
      </c>
      <c r="K1185" s="12">
        <v>46098</v>
      </c>
      <c r="L1185" s="12">
        <v>46098</v>
      </c>
      <c r="M1185">
        <v>34</v>
      </c>
      <c r="N1185">
        <v>-5454000</v>
      </c>
      <c r="O1185">
        <v>-5454000</v>
      </c>
      <c r="P1185">
        <v>0</v>
      </c>
      <c r="Q1185">
        <v>0</v>
      </c>
      <c r="R1185">
        <v>-5454000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 t="s">
        <v>47</v>
      </c>
      <c r="AA1185" t="s">
        <v>1087</v>
      </c>
      <c r="AB1185" t="s">
        <v>51</v>
      </c>
      <c r="AC1185" t="s">
        <v>51</v>
      </c>
      <c r="AD1185" t="s">
        <v>51</v>
      </c>
      <c r="AE1185" t="s">
        <v>51</v>
      </c>
      <c r="AF1185" t="s">
        <v>1114</v>
      </c>
    </row>
    <row r="1186" spans="1:32" ht="14.5" customHeight="1" x14ac:dyDescent="0.35">
      <c r="A1186" t="s">
        <v>498</v>
      </c>
      <c r="B1186" t="s">
        <v>652</v>
      </c>
      <c r="C1186" t="s">
        <v>47</v>
      </c>
      <c r="D1186">
        <v>3001223</v>
      </c>
      <c r="E1186">
        <v>3001223</v>
      </c>
      <c r="F1186" t="s">
        <v>1086</v>
      </c>
      <c r="G1186" t="s">
        <v>1086</v>
      </c>
      <c r="H1186" t="s">
        <v>54</v>
      </c>
      <c r="I1186">
        <v>6956227</v>
      </c>
      <c r="J1186" s="12">
        <v>46098</v>
      </c>
      <c r="K1186" s="12">
        <v>46098</v>
      </c>
      <c r="L1186" s="12">
        <v>46098</v>
      </c>
      <c r="M1186">
        <v>34</v>
      </c>
      <c r="N1186">
        <v>-13635000</v>
      </c>
      <c r="O1186">
        <v>-13635000</v>
      </c>
      <c r="P1186">
        <v>0</v>
      </c>
      <c r="Q1186">
        <v>0</v>
      </c>
      <c r="R1186">
        <v>-13635000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 t="s">
        <v>47</v>
      </c>
      <c r="AA1186" t="s">
        <v>1087</v>
      </c>
      <c r="AB1186" t="s">
        <v>51</v>
      </c>
      <c r="AC1186" t="s">
        <v>51</v>
      </c>
      <c r="AD1186" t="s">
        <v>51</v>
      </c>
      <c r="AE1186" t="s">
        <v>51</v>
      </c>
      <c r="AF1186" t="s">
        <v>1090</v>
      </c>
    </row>
    <row r="1187" spans="1:32" ht="14.5" customHeight="1" x14ac:dyDescent="0.35">
      <c r="A1187" t="s">
        <v>498</v>
      </c>
      <c r="B1187" t="s">
        <v>652</v>
      </c>
      <c r="C1187" t="s">
        <v>47</v>
      </c>
      <c r="D1187">
        <v>3001223</v>
      </c>
      <c r="E1187">
        <v>3001223</v>
      </c>
      <c r="F1187" t="s">
        <v>1086</v>
      </c>
      <c r="G1187" t="s">
        <v>1086</v>
      </c>
      <c r="H1187" t="s">
        <v>54</v>
      </c>
      <c r="I1187">
        <v>6956228</v>
      </c>
      <c r="J1187" s="12">
        <v>46098</v>
      </c>
      <c r="K1187" s="12">
        <v>46098</v>
      </c>
      <c r="L1187" s="12">
        <v>46098</v>
      </c>
      <c r="M1187">
        <v>34</v>
      </c>
      <c r="N1187">
        <v>-10605000</v>
      </c>
      <c r="O1187">
        <v>-10605000</v>
      </c>
      <c r="P1187">
        <v>0</v>
      </c>
      <c r="Q1187">
        <v>0</v>
      </c>
      <c r="R1187">
        <v>-10605000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 t="s">
        <v>47</v>
      </c>
      <c r="AA1187" t="s">
        <v>1087</v>
      </c>
      <c r="AB1187" t="s">
        <v>51</v>
      </c>
      <c r="AC1187" t="s">
        <v>51</v>
      </c>
      <c r="AD1187" t="s">
        <v>51</v>
      </c>
      <c r="AE1187" t="s">
        <v>51</v>
      </c>
      <c r="AF1187" t="s">
        <v>1115</v>
      </c>
    </row>
    <row r="1188" spans="1:32" ht="14.5" customHeight="1" x14ac:dyDescent="0.35">
      <c r="A1188" t="s">
        <v>498</v>
      </c>
      <c r="B1188" t="s">
        <v>652</v>
      </c>
      <c r="C1188" t="s">
        <v>47</v>
      </c>
      <c r="D1188">
        <v>3001223</v>
      </c>
      <c r="E1188">
        <v>3001223</v>
      </c>
      <c r="F1188" t="s">
        <v>1086</v>
      </c>
      <c r="G1188" t="s">
        <v>1086</v>
      </c>
      <c r="H1188" t="s">
        <v>54</v>
      </c>
      <c r="I1188">
        <v>6956229</v>
      </c>
      <c r="J1188" s="12">
        <v>46098</v>
      </c>
      <c r="K1188" s="12">
        <v>46098</v>
      </c>
      <c r="L1188" s="12">
        <v>46098</v>
      </c>
      <c r="M1188">
        <v>34</v>
      </c>
      <c r="N1188">
        <v>-15150000</v>
      </c>
      <c r="O1188">
        <v>-15150000</v>
      </c>
      <c r="P1188">
        <v>0</v>
      </c>
      <c r="Q1188">
        <v>0</v>
      </c>
      <c r="R1188">
        <v>-15150000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 t="s">
        <v>47</v>
      </c>
      <c r="AA1188" t="s">
        <v>1087</v>
      </c>
      <c r="AB1188" t="s">
        <v>51</v>
      </c>
      <c r="AC1188" t="s">
        <v>51</v>
      </c>
      <c r="AD1188" t="s">
        <v>51</v>
      </c>
      <c r="AE1188" t="s">
        <v>51</v>
      </c>
      <c r="AF1188" t="s">
        <v>1116</v>
      </c>
    </row>
    <row r="1189" spans="1:32" ht="14.5" customHeight="1" x14ac:dyDescent="0.35">
      <c r="A1189" t="s">
        <v>498</v>
      </c>
      <c r="B1189" t="s">
        <v>652</v>
      </c>
      <c r="C1189" t="s">
        <v>47</v>
      </c>
      <c r="D1189">
        <v>3001223</v>
      </c>
      <c r="E1189">
        <v>3001223</v>
      </c>
      <c r="F1189" t="s">
        <v>1086</v>
      </c>
      <c r="G1189" t="s">
        <v>1086</v>
      </c>
      <c r="H1189" t="s">
        <v>54</v>
      </c>
      <c r="I1189">
        <v>6956230</v>
      </c>
      <c r="J1189" s="12">
        <v>46098</v>
      </c>
      <c r="K1189" s="12">
        <v>46098</v>
      </c>
      <c r="L1189" s="12">
        <v>46098</v>
      </c>
      <c r="M1189">
        <v>34</v>
      </c>
      <c r="N1189">
        <v>-5454000</v>
      </c>
      <c r="O1189">
        <v>-5454000</v>
      </c>
      <c r="P1189">
        <v>0</v>
      </c>
      <c r="Q1189">
        <v>0</v>
      </c>
      <c r="R1189">
        <v>-5454000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 t="s">
        <v>47</v>
      </c>
      <c r="AA1189" t="s">
        <v>1087</v>
      </c>
      <c r="AB1189" t="s">
        <v>51</v>
      </c>
      <c r="AC1189" t="s">
        <v>51</v>
      </c>
      <c r="AD1189" t="s">
        <v>51</v>
      </c>
      <c r="AE1189" t="s">
        <v>51</v>
      </c>
      <c r="AF1189" t="s">
        <v>1112</v>
      </c>
    </row>
    <row r="1190" spans="1:32" ht="14.5" customHeight="1" x14ac:dyDescent="0.35">
      <c r="A1190" t="s">
        <v>498</v>
      </c>
      <c r="B1190" t="s">
        <v>652</v>
      </c>
      <c r="C1190" t="s">
        <v>47</v>
      </c>
      <c r="D1190">
        <v>3001223</v>
      </c>
      <c r="E1190">
        <v>3001223</v>
      </c>
      <c r="F1190" t="s">
        <v>1086</v>
      </c>
      <c r="G1190" t="s">
        <v>1086</v>
      </c>
      <c r="H1190" t="s">
        <v>54</v>
      </c>
      <c r="I1190">
        <v>6956231</v>
      </c>
      <c r="J1190" s="12">
        <v>46098</v>
      </c>
      <c r="K1190" s="12">
        <v>46098</v>
      </c>
      <c r="L1190" s="12">
        <v>46098</v>
      </c>
      <c r="M1190">
        <v>34</v>
      </c>
      <c r="N1190">
        <v>-12877500</v>
      </c>
      <c r="O1190">
        <v>-12877500</v>
      </c>
      <c r="P1190">
        <v>0</v>
      </c>
      <c r="Q1190">
        <v>0</v>
      </c>
      <c r="R1190">
        <v>-12877500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 t="s">
        <v>47</v>
      </c>
      <c r="AA1190" t="s">
        <v>1087</v>
      </c>
      <c r="AB1190" t="s">
        <v>51</v>
      </c>
      <c r="AC1190" t="s">
        <v>51</v>
      </c>
      <c r="AD1190" t="s">
        <v>51</v>
      </c>
      <c r="AE1190" t="s">
        <v>51</v>
      </c>
      <c r="AF1190" t="s">
        <v>1117</v>
      </c>
    </row>
    <row r="1191" spans="1:32" ht="14.5" customHeight="1" x14ac:dyDescent="0.35">
      <c r="A1191" t="s">
        <v>498</v>
      </c>
      <c r="B1191" t="s">
        <v>652</v>
      </c>
      <c r="C1191" t="s">
        <v>47</v>
      </c>
      <c r="D1191">
        <v>3001223</v>
      </c>
      <c r="E1191">
        <v>3001223</v>
      </c>
      <c r="F1191" t="s">
        <v>1086</v>
      </c>
      <c r="G1191" t="s">
        <v>1086</v>
      </c>
      <c r="H1191" t="s">
        <v>54</v>
      </c>
      <c r="I1191">
        <v>6956232</v>
      </c>
      <c r="J1191" s="12">
        <v>46098</v>
      </c>
      <c r="K1191" s="12">
        <v>46098</v>
      </c>
      <c r="L1191" s="12">
        <v>46098</v>
      </c>
      <c r="M1191">
        <v>34</v>
      </c>
      <c r="N1191">
        <v>-3030000</v>
      </c>
      <c r="O1191">
        <v>-3030000</v>
      </c>
      <c r="P1191">
        <v>0</v>
      </c>
      <c r="Q1191">
        <v>0</v>
      </c>
      <c r="R1191">
        <v>-3030000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 t="s">
        <v>47</v>
      </c>
      <c r="AA1191" t="s">
        <v>1087</v>
      </c>
      <c r="AB1191" t="s">
        <v>51</v>
      </c>
      <c r="AC1191" t="s">
        <v>51</v>
      </c>
      <c r="AD1191" t="s">
        <v>51</v>
      </c>
      <c r="AE1191" t="s">
        <v>51</v>
      </c>
      <c r="AF1191" t="s">
        <v>1118</v>
      </c>
    </row>
    <row r="1192" spans="1:32" ht="14.5" customHeight="1" x14ac:dyDescent="0.35">
      <c r="A1192" t="s">
        <v>498</v>
      </c>
      <c r="B1192" t="s">
        <v>652</v>
      </c>
      <c r="C1192" t="s">
        <v>47</v>
      </c>
      <c r="D1192">
        <v>3001223</v>
      </c>
      <c r="E1192">
        <v>3001223</v>
      </c>
      <c r="F1192" t="s">
        <v>1086</v>
      </c>
      <c r="G1192" t="s">
        <v>1086</v>
      </c>
      <c r="H1192" t="s">
        <v>54</v>
      </c>
      <c r="I1192">
        <v>6956233</v>
      </c>
      <c r="J1192" s="12">
        <v>46098</v>
      </c>
      <c r="K1192" s="12">
        <v>46098</v>
      </c>
      <c r="L1192" s="12">
        <v>46098</v>
      </c>
      <c r="M1192">
        <v>34</v>
      </c>
      <c r="N1192">
        <v>-7575000</v>
      </c>
      <c r="O1192">
        <v>-7575000</v>
      </c>
      <c r="P1192">
        <v>0</v>
      </c>
      <c r="Q1192">
        <v>0</v>
      </c>
      <c r="R1192">
        <v>-7575000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 t="s">
        <v>47</v>
      </c>
      <c r="AA1192" t="s">
        <v>1087</v>
      </c>
      <c r="AB1192" t="s">
        <v>51</v>
      </c>
      <c r="AC1192" t="s">
        <v>51</v>
      </c>
      <c r="AD1192" t="s">
        <v>51</v>
      </c>
      <c r="AE1192" t="s">
        <v>51</v>
      </c>
      <c r="AF1192" t="s">
        <v>1090</v>
      </c>
    </row>
    <row r="1193" spans="1:32" ht="14.5" customHeight="1" x14ac:dyDescent="0.35">
      <c r="A1193" t="s">
        <v>498</v>
      </c>
      <c r="B1193" t="s">
        <v>652</v>
      </c>
      <c r="C1193" t="s">
        <v>47</v>
      </c>
      <c r="D1193">
        <v>3001223</v>
      </c>
      <c r="E1193">
        <v>3001223</v>
      </c>
      <c r="F1193" t="s">
        <v>1086</v>
      </c>
      <c r="G1193" t="s">
        <v>1086</v>
      </c>
      <c r="H1193" t="s">
        <v>54</v>
      </c>
      <c r="I1193">
        <v>6956234</v>
      </c>
      <c r="J1193" s="12">
        <v>46098</v>
      </c>
      <c r="K1193" s="12">
        <v>46098</v>
      </c>
      <c r="L1193" s="12">
        <v>46098</v>
      </c>
      <c r="M1193">
        <v>34</v>
      </c>
      <c r="N1193">
        <v>-913910</v>
      </c>
      <c r="O1193">
        <v>-913910</v>
      </c>
      <c r="P1193">
        <v>0</v>
      </c>
      <c r="Q1193">
        <v>0</v>
      </c>
      <c r="R1193">
        <v>-913910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 t="s">
        <v>47</v>
      </c>
      <c r="AA1193" t="s">
        <v>1087</v>
      </c>
      <c r="AB1193" t="s">
        <v>51</v>
      </c>
      <c r="AC1193" t="s">
        <v>51</v>
      </c>
      <c r="AD1193" t="s">
        <v>51</v>
      </c>
      <c r="AE1193" t="s">
        <v>51</v>
      </c>
      <c r="AF1193" t="s">
        <v>1119</v>
      </c>
    </row>
    <row r="1194" spans="1:32" ht="14.5" customHeight="1" x14ac:dyDescent="0.35">
      <c r="A1194" t="s">
        <v>498</v>
      </c>
      <c r="B1194" t="s">
        <v>652</v>
      </c>
      <c r="C1194" t="s">
        <v>47</v>
      </c>
      <c r="D1194">
        <v>3001223</v>
      </c>
      <c r="E1194">
        <v>3001223</v>
      </c>
      <c r="F1194" t="s">
        <v>1086</v>
      </c>
      <c r="G1194" t="s">
        <v>1086</v>
      </c>
      <c r="H1194" t="s">
        <v>54</v>
      </c>
      <c r="I1194">
        <v>6956235</v>
      </c>
      <c r="J1194" s="12">
        <v>46098</v>
      </c>
      <c r="K1194" s="12">
        <v>46098</v>
      </c>
      <c r="L1194" s="12">
        <v>46098</v>
      </c>
      <c r="M1194">
        <v>34</v>
      </c>
      <c r="N1194">
        <v>-555215</v>
      </c>
      <c r="O1194">
        <v>-555215</v>
      </c>
      <c r="P1194">
        <v>0</v>
      </c>
      <c r="Q1194">
        <v>0</v>
      </c>
      <c r="R1194">
        <v>-555215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 t="s">
        <v>47</v>
      </c>
      <c r="AA1194" t="s">
        <v>1087</v>
      </c>
      <c r="AB1194" t="s">
        <v>51</v>
      </c>
      <c r="AC1194" t="s">
        <v>51</v>
      </c>
      <c r="AD1194" t="s">
        <v>51</v>
      </c>
      <c r="AE1194" t="s">
        <v>51</v>
      </c>
      <c r="AF1194" t="s">
        <v>1120</v>
      </c>
    </row>
    <row r="1195" spans="1:32" ht="14.5" customHeight="1" x14ac:dyDescent="0.35">
      <c r="A1195" t="s">
        <v>498</v>
      </c>
      <c r="B1195" t="s">
        <v>652</v>
      </c>
      <c r="C1195" t="s">
        <v>47</v>
      </c>
      <c r="D1195">
        <v>3001223</v>
      </c>
      <c r="E1195">
        <v>3001223</v>
      </c>
      <c r="F1195" t="s">
        <v>1086</v>
      </c>
      <c r="G1195" t="s">
        <v>1086</v>
      </c>
      <c r="H1195" t="s">
        <v>54</v>
      </c>
      <c r="I1195">
        <v>6956236</v>
      </c>
      <c r="J1195" s="12">
        <v>46098</v>
      </c>
      <c r="K1195" s="12">
        <v>46098</v>
      </c>
      <c r="L1195" s="12">
        <v>46098</v>
      </c>
      <c r="M1195">
        <v>34</v>
      </c>
      <c r="N1195">
        <v>-617699</v>
      </c>
      <c r="O1195">
        <v>-617699</v>
      </c>
      <c r="P1195">
        <v>0</v>
      </c>
      <c r="Q1195">
        <v>0</v>
      </c>
      <c r="R1195">
        <v>-617699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 t="s">
        <v>47</v>
      </c>
      <c r="AA1195" t="s">
        <v>1087</v>
      </c>
      <c r="AB1195" t="s">
        <v>51</v>
      </c>
      <c r="AC1195" t="s">
        <v>51</v>
      </c>
      <c r="AD1195" t="s">
        <v>51</v>
      </c>
      <c r="AE1195" t="s">
        <v>51</v>
      </c>
      <c r="AF1195" t="s">
        <v>1120</v>
      </c>
    </row>
    <row r="1196" spans="1:32" ht="14.5" customHeight="1" x14ac:dyDescent="0.35">
      <c r="A1196" t="s">
        <v>498</v>
      </c>
      <c r="B1196" t="s">
        <v>652</v>
      </c>
      <c r="C1196" t="s">
        <v>47</v>
      </c>
      <c r="D1196">
        <v>3001223</v>
      </c>
      <c r="E1196">
        <v>3001223</v>
      </c>
      <c r="F1196" t="s">
        <v>1086</v>
      </c>
      <c r="G1196" t="s">
        <v>1086</v>
      </c>
      <c r="H1196" t="s">
        <v>54</v>
      </c>
      <c r="I1196">
        <v>6956237</v>
      </c>
      <c r="J1196" s="12">
        <v>46098</v>
      </c>
      <c r="K1196" s="12">
        <v>46098</v>
      </c>
      <c r="L1196" s="12">
        <v>46098</v>
      </c>
      <c r="M1196">
        <v>34</v>
      </c>
      <c r="N1196">
        <v>-3126</v>
      </c>
      <c r="O1196">
        <v>-3126</v>
      </c>
      <c r="P1196">
        <v>0</v>
      </c>
      <c r="Q1196">
        <v>0</v>
      </c>
      <c r="R1196">
        <v>-3126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 t="s">
        <v>47</v>
      </c>
      <c r="AA1196" t="s">
        <v>1087</v>
      </c>
      <c r="AB1196" t="s">
        <v>51</v>
      </c>
      <c r="AC1196" t="s">
        <v>51</v>
      </c>
      <c r="AD1196" t="s">
        <v>51</v>
      </c>
      <c r="AE1196" t="s">
        <v>51</v>
      </c>
      <c r="AF1196" t="s">
        <v>1121</v>
      </c>
    </row>
    <row r="1197" spans="1:32" ht="14.5" customHeight="1" x14ac:dyDescent="0.35">
      <c r="A1197" t="s">
        <v>498</v>
      </c>
      <c r="B1197" t="s">
        <v>652</v>
      </c>
      <c r="C1197" t="s">
        <v>47</v>
      </c>
      <c r="D1197">
        <v>3001223</v>
      </c>
      <c r="E1197">
        <v>3001223</v>
      </c>
      <c r="F1197" t="s">
        <v>1086</v>
      </c>
      <c r="G1197" t="s">
        <v>1086</v>
      </c>
      <c r="H1197" t="s">
        <v>54</v>
      </c>
      <c r="I1197">
        <v>6956238</v>
      </c>
      <c r="J1197" s="12">
        <v>46098</v>
      </c>
      <c r="K1197" s="12">
        <v>46098</v>
      </c>
      <c r="L1197" s="12">
        <v>46098</v>
      </c>
      <c r="M1197">
        <v>34</v>
      </c>
      <c r="N1197">
        <v>-1771580</v>
      </c>
      <c r="O1197">
        <v>-1771580</v>
      </c>
      <c r="P1197">
        <v>0</v>
      </c>
      <c r="Q1197">
        <v>0</v>
      </c>
      <c r="R1197">
        <v>-1771580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 t="s">
        <v>47</v>
      </c>
      <c r="AA1197" t="s">
        <v>1087</v>
      </c>
      <c r="AB1197" t="s">
        <v>51</v>
      </c>
      <c r="AC1197" t="s">
        <v>51</v>
      </c>
      <c r="AD1197" t="s">
        <v>51</v>
      </c>
      <c r="AE1197" t="s">
        <v>51</v>
      </c>
      <c r="AF1197" t="s">
        <v>1121</v>
      </c>
    </row>
    <row r="1198" spans="1:32" ht="14.5" customHeight="1" x14ac:dyDescent="0.35">
      <c r="A1198" t="s">
        <v>498</v>
      </c>
      <c r="B1198" t="s">
        <v>652</v>
      </c>
      <c r="C1198" t="s">
        <v>47</v>
      </c>
      <c r="D1198">
        <v>3001223</v>
      </c>
      <c r="E1198">
        <v>3001223</v>
      </c>
      <c r="F1198" t="s">
        <v>1086</v>
      </c>
      <c r="G1198" t="s">
        <v>1086</v>
      </c>
      <c r="H1198" t="s">
        <v>54</v>
      </c>
      <c r="I1198">
        <v>6956239</v>
      </c>
      <c r="J1198" s="12">
        <v>46098</v>
      </c>
      <c r="K1198" s="12">
        <v>46098</v>
      </c>
      <c r="L1198" s="12">
        <v>46098</v>
      </c>
      <c r="M1198">
        <v>34</v>
      </c>
      <c r="N1198">
        <v>-91321</v>
      </c>
      <c r="O1198">
        <v>-91321</v>
      </c>
      <c r="P1198">
        <v>0</v>
      </c>
      <c r="Q1198">
        <v>0</v>
      </c>
      <c r="R1198">
        <v>-91321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 t="s">
        <v>47</v>
      </c>
      <c r="AA1198" t="s">
        <v>1087</v>
      </c>
      <c r="AB1198" t="s">
        <v>51</v>
      </c>
      <c r="AC1198" t="s">
        <v>51</v>
      </c>
      <c r="AD1198" t="s">
        <v>51</v>
      </c>
      <c r="AE1198" t="s">
        <v>51</v>
      </c>
      <c r="AF1198" t="s">
        <v>1121</v>
      </c>
    </row>
    <row r="1199" spans="1:32" ht="14.5" customHeight="1" x14ac:dyDescent="0.35">
      <c r="A1199" t="s">
        <v>498</v>
      </c>
      <c r="B1199" t="s">
        <v>652</v>
      </c>
      <c r="C1199" t="s">
        <v>47</v>
      </c>
      <c r="D1199">
        <v>3001223</v>
      </c>
      <c r="E1199">
        <v>3001223</v>
      </c>
      <c r="F1199" t="s">
        <v>1086</v>
      </c>
      <c r="G1199" t="s">
        <v>1086</v>
      </c>
      <c r="H1199" t="s">
        <v>54</v>
      </c>
      <c r="I1199">
        <v>6956240</v>
      </c>
      <c r="J1199" s="12">
        <v>46098</v>
      </c>
      <c r="K1199" s="12">
        <v>46098</v>
      </c>
      <c r="L1199" s="12">
        <v>46098</v>
      </c>
      <c r="M1199">
        <v>34</v>
      </c>
      <c r="N1199">
        <v>-3270000</v>
      </c>
      <c r="O1199">
        <v>-3270000</v>
      </c>
      <c r="P1199">
        <v>0</v>
      </c>
      <c r="Q1199">
        <v>0</v>
      </c>
      <c r="R1199">
        <v>-3270000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 t="s">
        <v>47</v>
      </c>
      <c r="AA1199" t="s">
        <v>1087</v>
      </c>
      <c r="AB1199" t="s">
        <v>51</v>
      </c>
      <c r="AC1199" t="s">
        <v>51</v>
      </c>
      <c r="AD1199" t="s">
        <v>51</v>
      </c>
      <c r="AE1199" t="s">
        <v>51</v>
      </c>
      <c r="AF1199" t="s">
        <v>1122</v>
      </c>
    </row>
    <row r="1200" spans="1:32" ht="14.5" customHeight="1" x14ac:dyDescent="0.35">
      <c r="A1200" t="s">
        <v>498</v>
      </c>
      <c r="B1200" t="s">
        <v>652</v>
      </c>
      <c r="C1200" t="s">
        <v>47</v>
      </c>
      <c r="D1200">
        <v>3001223</v>
      </c>
      <c r="E1200">
        <v>3001223</v>
      </c>
      <c r="F1200" t="s">
        <v>1086</v>
      </c>
      <c r="G1200" t="s">
        <v>1086</v>
      </c>
      <c r="H1200" t="s">
        <v>54</v>
      </c>
      <c r="I1200">
        <v>6956241</v>
      </c>
      <c r="J1200" s="12">
        <v>46098</v>
      </c>
      <c r="K1200" s="12">
        <v>46098</v>
      </c>
      <c r="L1200" s="12">
        <v>46098</v>
      </c>
      <c r="M1200">
        <v>34</v>
      </c>
      <c r="N1200">
        <v>-9810000</v>
      </c>
      <c r="O1200">
        <v>-9810000</v>
      </c>
      <c r="P1200">
        <v>0</v>
      </c>
      <c r="Q1200">
        <v>0</v>
      </c>
      <c r="R1200">
        <v>-9810000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 t="s">
        <v>47</v>
      </c>
      <c r="AA1200" t="s">
        <v>1087</v>
      </c>
      <c r="AB1200" t="s">
        <v>51</v>
      </c>
      <c r="AC1200" t="s">
        <v>51</v>
      </c>
      <c r="AD1200" t="s">
        <v>51</v>
      </c>
      <c r="AE1200" t="s">
        <v>51</v>
      </c>
      <c r="AF1200" t="s">
        <v>1123</v>
      </c>
    </row>
    <row r="1201" spans="1:32" ht="14.5" customHeight="1" x14ac:dyDescent="0.35">
      <c r="A1201" t="s">
        <v>498</v>
      </c>
      <c r="B1201" t="s">
        <v>652</v>
      </c>
      <c r="C1201" t="s">
        <v>47</v>
      </c>
      <c r="D1201">
        <v>3001223</v>
      </c>
      <c r="E1201">
        <v>3001223</v>
      </c>
      <c r="F1201" t="s">
        <v>1086</v>
      </c>
      <c r="G1201" t="s">
        <v>1086</v>
      </c>
      <c r="H1201" t="s">
        <v>54</v>
      </c>
      <c r="I1201">
        <v>6956242</v>
      </c>
      <c r="J1201" s="12">
        <v>46098</v>
      </c>
      <c r="K1201" s="12">
        <v>46098</v>
      </c>
      <c r="L1201" s="12">
        <v>46098</v>
      </c>
      <c r="M1201">
        <v>34</v>
      </c>
      <c r="N1201">
        <v>-1090000</v>
      </c>
      <c r="O1201">
        <v>-1090000</v>
      </c>
      <c r="P1201">
        <v>0</v>
      </c>
      <c r="Q1201">
        <v>0</v>
      </c>
      <c r="R1201">
        <v>-1090000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 t="s">
        <v>47</v>
      </c>
      <c r="AA1201" t="s">
        <v>1087</v>
      </c>
      <c r="AB1201" t="s">
        <v>51</v>
      </c>
      <c r="AC1201" t="s">
        <v>51</v>
      </c>
      <c r="AD1201" t="s">
        <v>51</v>
      </c>
      <c r="AE1201" t="s">
        <v>51</v>
      </c>
      <c r="AF1201" t="s">
        <v>1124</v>
      </c>
    </row>
    <row r="1202" spans="1:32" ht="14.5" customHeight="1" x14ac:dyDescent="0.35">
      <c r="A1202" t="s">
        <v>498</v>
      </c>
      <c r="B1202" t="s">
        <v>652</v>
      </c>
      <c r="C1202" t="s">
        <v>47</v>
      </c>
      <c r="D1202">
        <v>3001223</v>
      </c>
      <c r="E1202">
        <v>3001223</v>
      </c>
      <c r="F1202" t="s">
        <v>1086</v>
      </c>
      <c r="G1202" t="s">
        <v>1086</v>
      </c>
      <c r="H1202" t="s">
        <v>54</v>
      </c>
      <c r="I1202">
        <v>6956243</v>
      </c>
      <c r="J1202" s="12">
        <v>46098</v>
      </c>
      <c r="K1202" s="12">
        <v>46098</v>
      </c>
      <c r="L1202" s="12">
        <v>46098</v>
      </c>
      <c r="M1202">
        <v>34</v>
      </c>
      <c r="N1202">
        <v>-3488000</v>
      </c>
      <c r="O1202">
        <v>-3488000</v>
      </c>
      <c r="P1202">
        <v>0</v>
      </c>
      <c r="Q1202">
        <v>0</v>
      </c>
      <c r="R1202">
        <v>-3488000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 t="s">
        <v>47</v>
      </c>
      <c r="AA1202" t="s">
        <v>1087</v>
      </c>
      <c r="AB1202" t="s">
        <v>51</v>
      </c>
      <c r="AC1202" t="s">
        <v>51</v>
      </c>
      <c r="AD1202" t="s">
        <v>51</v>
      </c>
      <c r="AE1202" t="s">
        <v>51</v>
      </c>
      <c r="AF1202" t="s">
        <v>1125</v>
      </c>
    </row>
    <row r="1203" spans="1:32" ht="14.5" customHeight="1" x14ac:dyDescent="0.35">
      <c r="A1203" t="s">
        <v>498</v>
      </c>
      <c r="B1203" t="s">
        <v>652</v>
      </c>
      <c r="C1203" t="s">
        <v>47</v>
      </c>
      <c r="D1203">
        <v>3001223</v>
      </c>
      <c r="E1203">
        <v>3001223</v>
      </c>
      <c r="F1203" t="s">
        <v>1086</v>
      </c>
      <c r="G1203" t="s">
        <v>1086</v>
      </c>
      <c r="H1203" t="s">
        <v>54</v>
      </c>
      <c r="I1203">
        <v>6956244</v>
      </c>
      <c r="J1203" s="12">
        <v>46098</v>
      </c>
      <c r="K1203" s="12">
        <v>46098</v>
      </c>
      <c r="L1203" s="12">
        <v>46098</v>
      </c>
      <c r="M1203">
        <v>34</v>
      </c>
      <c r="N1203">
        <v>-1635000</v>
      </c>
      <c r="O1203">
        <v>-1635000</v>
      </c>
      <c r="P1203">
        <v>0</v>
      </c>
      <c r="Q1203">
        <v>0</v>
      </c>
      <c r="R1203">
        <v>-1635000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 t="s">
        <v>47</v>
      </c>
      <c r="AA1203" t="s">
        <v>1087</v>
      </c>
      <c r="AB1203" t="s">
        <v>51</v>
      </c>
      <c r="AC1203" t="s">
        <v>51</v>
      </c>
      <c r="AD1203" t="s">
        <v>51</v>
      </c>
      <c r="AE1203" t="s">
        <v>51</v>
      </c>
      <c r="AF1203" t="s">
        <v>1126</v>
      </c>
    </row>
    <row r="1204" spans="1:32" ht="14.5" customHeight="1" x14ac:dyDescent="0.35">
      <c r="A1204" t="s">
        <v>498</v>
      </c>
      <c r="B1204" t="s">
        <v>652</v>
      </c>
      <c r="C1204" t="s">
        <v>47</v>
      </c>
      <c r="D1204">
        <v>3001223</v>
      </c>
      <c r="E1204">
        <v>3001223</v>
      </c>
      <c r="F1204" t="s">
        <v>1086</v>
      </c>
      <c r="G1204" t="s">
        <v>1086</v>
      </c>
      <c r="H1204" t="s">
        <v>54</v>
      </c>
      <c r="I1204">
        <v>6956245</v>
      </c>
      <c r="J1204" s="12">
        <v>46098</v>
      </c>
      <c r="K1204" s="12">
        <v>46098</v>
      </c>
      <c r="L1204" s="12">
        <v>46098</v>
      </c>
      <c r="M1204">
        <v>34</v>
      </c>
      <c r="N1204">
        <v>-817500</v>
      </c>
      <c r="O1204">
        <v>-817500</v>
      </c>
      <c r="P1204">
        <v>0</v>
      </c>
      <c r="Q1204">
        <v>0</v>
      </c>
      <c r="R1204">
        <v>-817500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 t="s">
        <v>47</v>
      </c>
      <c r="AA1204" t="s">
        <v>1087</v>
      </c>
      <c r="AB1204" t="s">
        <v>51</v>
      </c>
      <c r="AC1204" t="s">
        <v>51</v>
      </c>
      <c r="AD1204" t="s">
        <v>51</v>
      </c>
      <c r="AE1204" t="s">
        <v>51</v>
      </c>
      <c r="AF1204" t="s">
        <v>1127</v>
      </c>
    </row>
    <row r="1205" spans="1:32" ht="14.5" customHeight="1" x14ac:dyDescent="0.35">
      <c r="A1205" t="s">
        <v>498</v>
      </c>
      <c r="B1205" t="s">
        <v>652</v>
      </c>
      <c r="C1205" t="s">
        <v>47</v>
      </c>
      <c r="D1205">
        <v>3001223</v>
      </c>
      <c r="E1205">
        <v>3001223</v>
      </c>
      <c r="F1205" t="s">
        <v>1086</v>
      </c>
      <c r="G1205" t="s">
        <v>1086</v>
      </c>
      <c r="H1205" t="s">
        <v>54</v>
      </c>
      <c r="I1205">
        <v>6956246</v>
      </c>
      <c r="J1205" s="12">
        <v>46098</v>
      </c>
      <c r="K1205" s="12">
        <v>46098</v>
      </c>
      <c r="L1205" s="12">
        <v>46098</v>
      </c>
      <c r="M1205">
        <v>34</v>
      </c>
      <c r="N1205">
        <v>-3270000</v>
      </c>
      <c r="O1205">
        <v>-3270000</v>
      </c>
      <c r="P1205">
        <v>0</v>
      </c>
      <c r="Q1205">
        <v>0</v>
      </c>
      <c r="R1205">
        <v>-3270000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 t="s">
        <v>47</v>
      </c>
      <c r="AA1205" t="s">
        <v>1087</v>
      </c>
      <c r="AB1205" t="s">
        <v>51</v>
      </c>
      <c r="AC1205" t="s">
        <v>51</v>
      </c>
      <c r="AD1205" t="s">
        <v>51</v>
      </c>
      <c r="AE1205" t="s">
        <v>51</v>
      </c>
      <c r="AF1205" t="s">
        <v>1099</v>
      </c>
    </row>
    <row r="1206" spans="1:32" ht="14.5" customHeight="1" x14ac:dyDescent="0.35">
      <c r="A1206" t="s">
        <v>498</v>
      </c>
      <c r="B1206" t="s">
        <v>652</v>
      </c>
      <c r="C1206" t="s">
        <v>47</v>
      </c>
      <c r="D1206">
        <v>3001223</v>
      </c>
      <c r="E1206">
        <v>3001223</v>
      </c>
      <c r="F1206" t="s">
        <v>1086</v>
      </c>
      <c r="G1206" t="s">
        <v>1086</v>
      </c>
      <c r="H1206" t="s">
        <v>54</v>
      </c>
      <c r="I1206">
        <v>6957068</v>
      </c>
      <c r="J1206" s="12">
        <v>46106</v>
      </c>
      <c r="K1206" s="12">
        <v>46106</v>
      </c>
      <c r="L1206" s="12">
        <v>46106</v>
      </c>
      <c r="M1206">
        <v>26</v>
      </c>
      <c r="N1206">
        <v>-1029922</v>
      </c>
      <c r="O1206">
        <v>-1029922</v>
      </c>
      <c r="P1206">
        <v>0</v>
      </c>
      <c r="Q1206">
        <v>-1029922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 t="s">
        <v>47</v>
      </c>
      <c r="AA1206" t="s">
        <v>1087</v>
      </c>
      <c r="AB1206" t="s">
        <v>51</v>
      </c>
      <c r="AC1206" t="s">
        <v>51</v>
      </c>
      <c r="AD1206" t="s">
        <v>51</v>
      </c>
      <c r="AE1206" t="s">
        <v>51</v>
      </c>
      <c r="AF1206" t="s">
        <v>1128</v>
      </c>
    </row>
    <row r="1207" spans="1:32" ht="14.5" customHeight="1" x14ac:dyDescent="0.35">
      <c r="A1207" t="s">
        <v>498</v>
      </c>
      <c r="B1207" t="s">
        <v>652</v>
      </c>
      <c r="C1207" t="s">
        <v>47</v>
      </c>
      <c r="D1207">
        <v>3001223</v>
      </c>
      <c r="E1207">
        <v>3001223</v>
      </c>
      <c r="F1207" t="s">
        <v>1086</v>
      </c>
      <c r="G1207" t="s">
        <v>1086</v>
      </c>
      <c r="H1207" t="s">
        <v>54</v>
      </c>
      <c r="I1207">
        <v>6957162</v>
      </c>
      <c r="J1207" s="12">
        <v>46106</v>
      </c>
      <c r="K1207" s="12">
        <v>46106</v>
      </c>
      <c r="L1207" s="12">
        <v>46106</v>
      </c>
      <c r="M1207">
        <v>26</v>
      </c>
      <c r="N1207">
        <v>-110224</v>
      </c>
      <c r="O1207">
        <v>-110224</v>
      </c>
      <c r="P1207">
        <v>0</v>
      </c>
      <c r="Q1207">
        <v>-110224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 t="s">
        <v>47</v>
      </c>
      <c r="AA1207" t="s">
        <v>1087</v>
      </c>
      <c r="AB1207" t="s">
        <v>51</v>
      </c>
      <c r="AC1207" t="s">
        <v>51</v>
      </c>
      <c r="AD1207" t="s">
        <v>51</v>
      </c>
      <c r="AE1207" t="s">
        <v>51</v>
      </c>
      <c r="AF1207" t="s">
        <v>1120</v>
      </c>
    </row>
    <row r="1208" spans="1:32" ht="14.5" customHeight="1" x14ac:dyDescent="0.35">
      <c r="A1208" t="s">
        <v>498</v>
      </c>
      <c r="B1208" t="s">
        <v>652</v>
      </c>
      <c r="C1208" t="s">
        <v>47</v>
      </c>
      <c r="D1208">
        <v>3001223</v>
      </c>
      <c r="E1208">
        <v>3001223</v>
      </c>
      <c r="F1208" t="s">
        <v>1086</v>
      </c>
      <c r="G1208" t="s">
        <v>1086</v>
      </c>
      <c r="H1208" t="s">
        <v>54</v>
      </c>
      <c r="I1208">
        <v>6957272</v>
      </c>
      <c r="J1208" s="12">
        <v>46106</v>
      </c>
      <c r="K1208" s="12">
        <v>46106</v>
      </c>
      <c r="L1208" s="12">
        <v>46106</v>
      </c>
      <c r="M1208">
        <v>26</v>
      </c>
      <c r="N1208">
        <v>-121378</v>
      </c>
      <c r="O1208">
        <v>-121378</v>
      </c>
      <c r="P1208">
        <v>0</v>
      </c>
      <c r="Q1208">
        <v>-121378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 t="s">
        <v>47</v>
      </c>
      <c r="AA1208" t="s">
        <v>1087</v>
      </c>
      <c r="AB1208" t="s">
        <v>51</v>
      </c>
      <c r="AC1208" t="s">
        <v>51</v>
      </c>
      <c r="AD1208" t="s">
        <v>51</v>
      </c>
      <c r="AE1208" t="s">
        <v>51</v>
      </c>
      <c r="AF1208" t="s">
        <v>1120</v>
      </c>
    </row>
    <row r="1209" spans="1:32" ht="14.5" customHeight="1" x14ac:dyDescent="0.35">
      <c r="A1209" t="s">
        <v>498</v>
      </c>
      <c r="B1209" t="s">
        <v>652</v>
      </c>
      <c r="C1209" t="s">
        <v>47</v>
      </c>
      <c r="D1209">
        <v>3001223</v>
      </c>
      <c r="E1209">
        <v>3001223</v>
      </c>
      <c r="F1209" t="s">
        <v>1086</v>
      </c>
      <c r="G1209" t="s">
        <v>1086</v>
      </c>
      <c r="H1209" t="s">
        <v>54</v>
      </c>
      <c r="I1209">
        <v>6957406</v>
      </c>
      <c r="J1209" s="12">
        <v>46106</v>
      </c>
      <c r="K1209" s="12">
        <v>46106</v>
      </c>
      <c r="L1209" s="12">
        <v>46106</v>
      </c>
      <c r="M1209">
        <v>26</v>
      </c>
      <c r="N1209">
        <v>-8992500</v>
      </c>
      <c r="O1209">
        <v>-8992500</v>
      </c>
      <c r="P1209">
        <v>0</v>
      </c>
      <c r="Q1209">
        <v>-8992500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 t="s">
        <v>47</v>
      </c>
      <c r="AA1209" t="s">
        <v>1087</v>
      </c>
      <c r="AB1209" t="s">
        <v>51</v>
      </c>
      <c r="AC1209" t="s">
        <v>51</v>
      </c>
      <c r="AD1209" t="s">
        <v>51</v>
      </c>
      <c r="AE1209" t="s">
        <v>51</v>
      </c>
      <c r="AF1209" t="s">
        <v>1129</v>
      </c>
    </row>
    <row r="1210" spans="1:32" ht="14.5" customHeight="1" x14ac:dyDescent="0.35">
      <c r="A1210" t="s">
        <v>498</v>
      </c>
      <c r="B1210" t="s">
        <v>652</v>
      </c>
      <c r="C1210" t="s">
        <v>47</v>
      </c>
      <c r="D1210">
        <v>3001223</v>
      </c>
      <c r="E1210">
        <v>3001223</v>
      </c>
      <c r="F1210" t="s">
        <v>1086</v>
      </c>
      <c r="G1210" t="s">
        <v>1086</v>
      </c>
      <c r="H1210" t="s">
        <v>54</v>
      </c>
      <c r="I1210">
        <v>6957407</v>
      </c>
      <c r="J1210" s="12">
        <v>46106</v>
      </c>
      <c r="K1210" s="12">
        <v>46106</v>
      </c>
      <c r="L1210" s="12">
        <v>46106</v>
      </c>
      <c r="M1210">
        <v>26</v>
      </c>
      <c r="N1210">
        <v>-4087500</v>
      </c>
      <c r="O1210">
        <v>-4087500</v>
      </c>
      <c r="P1210">
        <v>0</v>
      </c>
      <c r="Q1210">
        <v>-4087500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 t="s">
        <v>47</v>
      </c>
      <c r="AA1210" t="s">
        <v>1087</v>
      </c>
      <c r="AB1210" t="s">
        <v>51</v>
      </c>
      <c r="AC1210" t="s">
        <v>51</v>
      </c>
      <c r="AD1210" t="s">
        <v>51</v>
      </c>
      <c r="AE1210" t="s">
        <v>51</v>
      </c>
      <c r="AF1210" t="s">
        <v>1130</v>
      </c>
    </row>
    <row r="1211" spans="1:32" ht="14.5" customHeight="1" x14ac:dyDescent="0.35">
      <c r="A1211" t="s">
        <v>498</v>
      </c>
      <c r="B1211" t="s">
        <v>652</v>
      </c>
      <c r="C1211" t="s">
        <v>47</v>
      </c>
      <c r="D1211">
        <v>3001223</v>
      </c>
      <c r="E1211">
        <v>3001223</v>
      </c>
      <c r="F1211" t="s">
        <v>1086</v>
      </c>
      <c r="G1211" t="s">
        <v>1086</v>
      </c>
      <c r="H1211" t="s">
        <v>54</v>
      </c>
      <c r="I1211">
        <v>6957459</v>
      </c>
      <c r="J1211" s="12">
        <v>46106</v>
      </c>
      <c r="K1211" s="12">
        <v>46106</v>
      </c>
      <c r="L1211" s="12">
        <v>46106</v>
      </c>
      <c r="M1211">
        <v>26</v>
      </c>
      <c r="N1211">
        <v>-24958</v>
      </c>
      <c r="O1211">
        <v>-24958</v>
      </c>
      <c r="P1211">
        <v>0</v>
      </c>
      <c r="Q1211">
        <v>-24958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 t="s">
        <v>47</v>
      </c>
      <c r="AA1211" t="s">
        <v>1087</v>
      </c>
      <c r="AB1211" t="s">
        <v>51</v>
      </c>
      <c r="AC1211" t="s">
        <v>51</v>
      </c>
      <c r="AD1211" t="s">
        <v>51</v>
      </c>
      <c r="AE1211" t="s">
        <v>51</v>
      </c>
      <c r="AF1211" t="s">
        <v>1089</v>
      </c>
    </row>
    <row r="1212" spans="1:32" ht="14.5" customHeight="1" x14ac:dyDescent="0.35">
      <c r="A1212" t="s">
        <v>498</v>
      </c>
      <c r="B1212" t="s">
        <v>652</v>
      </c>
      <c r="C1212" t="s">
        <v>47</v>
      </c>
      <c r="D1212">
        <v>3001223</v>
      </c>
      <c r="E1212">
        <v>3001223</v>
      </c>
      <c r="F1212" t="s">
        <v>1086</v>
      </c>
      <c r="G1212" t="s">
        <v>1086</v>
      </c>
      <c r="H1212" t="s">
        <v>54</v>
      </c>
      <c r="I1212">
        <v>6957467</v>
      </c>
      <c r="J1212" s="12">
        <v>46106</v>
      </c>
      <c r="K1212" s="12">
        <v>46106</v>
      </c>
      <c r="L1212" s="12">
        <v>46106</v>
      </c>
      <c r="M1212">
        <v>26</v>
      </c>
      <c r="N1212">
        <v>-4765</v>
      </c>
      <c r="O1212">
        <v>-4765</v>
      </c>
      <c r="P1212">
        <v>0</v>
      </c>
      <c r="Q1212">
        <v>-4765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 t="s">
        <v>47</v>
      </c>
      <c r="AA1212" t="s">
        <v>1087</v>
      </c>
      <c r="AB1212" t="s">
        <v>51</v>
      </c>
      <c r="AC1212" t="s">
        <v>51</v>
      </c>
      <c r="AD1212" t="s">
        <v>51</v>
      </c>
      <c r="AE1212" t="s">
        <v>51</v>
      </c>
      <c r="AF1212" t="s">
        <v>1089</v>
      </c>
    </row>
    <row r="1213" spans="1:32" ht="14.5" customHeight="1" x14ac:dyDescent="0.35">
      <c r="A1213" t="s">
        <v>498</v>
      </c>
      <c r="B1213" t="s">
        <v>652</v>
      </c>
      <c r="C1213" t="s">
        <v>47</v>
      </c>
      <c r="D1213">
        <v>3001223</v>
      </c>
      <c r="E1213">
        <v>3001223</v>
      </c>
      <c r="F1213" t="s">
        <v>1086</v>
      </c>
      <c r="G1213" t="s">
        <v>1086</v>
      </c>
      <c r="H1213" t="s">
        <v>54</v>
      </c>
      <c r="I1213">
        <v>6957468</v>
      </c>
      <c r="J1213" s="12">
        <v>46106</v>
      </c>
      <c r="K1213" s="12">
        <v>46106</v>
      </c>
      <c r="L1213" s="12">
        <v>46106</v>
      </c>
      <c r="M1213">
        <v>26</v>
      </c>
      <c r="N1213">
        <v>-17301</v>
      </c>
      <c r="O1213">
        <v>-17301</v>
      </c>
      <c r="P1213">
        <v>0</v>
      </c>
      <c r="Q1213">
        <v>-17301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 t="s">
        <v>47</v>
      </c>
      <c r="AA1213" t="s">
        <v>1087</v>
      </c>
      <c r="AB1213" t="s">
        <v>51</v>
      </c>
      <c r="AC1213" t="s">
        <v>51</v>
      </c>
      <c r="AD1213" t="s">
        <v>51</v>
      </c>
      <c r="AE1213" t="s">
        <v>51</v>
      </c>
      <c r="AF1213" t="s">
        <v>1121</v>
      </c>
    </row>
    <row r="1214" spans="1:32" ht="14.5" customHeight="1" x14ac:dyDescent="0.35">
      <c r="A1214" t="s">
        <v>498</v>
      </c>
      <c r="B1214" t="s">
        <v>652</v>
      </c>
      <c r="C1214" t="s">
        <v>47</v>
      </c>
      <c r="D1214">
        <v>3001223</v>
      </c>
      <c r="E1214">
        <v>3001223</v>
      </c>
      <c r="F1214" t="s">
        <v>1086</v>
      </c>
      <c r="G1214" t="s">
        <v>1086</v>
      </c>
      <c r="H1214" t="s">
        <v>54</v>
      </c>
      <c r="I1214">
        <v>6957469</v>
      </c>
      <c r="J1214" s="12">
        <v>46106</v>
      </c>
      <c r="K1214" s="12">
        <v>46106</v>
      </c>
      <c r="L1214" s="12">
        <v>46106</v>
      </c>
      <c r="M1214">
        <v>26</v>
      </c>
      <c r="N1214">
        <v>-97657</v>
      </c>
      <c r="O1214">
        <v>-97657</v>
      </c>
      <c r="P1214">
        <v>0</v>
      </c>
      <c r="Q1214">
        <v>-97657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 t="s">
        <v>47</v>
      </c>
      <c r="AA1214" t="s">
        <v>1087</v>
      </c>
      <c r="AB1214" t="s">
        <v>51</v>
      </c>
      <c r="AC1214" t="s">
        <v>51</v>
      </c>
      <c r="AD1214" t="s">
        <v>51</v>
      </c>
      <c r="AE1214" t="s">
        <v>51</v>
      </c>
      <c r="AF1214" t="s">
        <v>1121</v>
      </c>
    </row>
    <row r="1215" spans="1:32" ht="14.5" customHeight="1" x14ac:dyDescent="0.35">
      <c r="A1215" t="s">
        <v>498</v>
      </c>
      <c r="B1215" t="s">
        <v>652</v>
      </c>
      <c r="C1215" t="s">
        <v>47</v>
      </c>
      <c r="D1215">
        <v>3001223</v>
      </c>
      <c r="E1215">
        <v>3001223</v>
      </c>
      <c r="F1215" t="s">
        <v>1086</v>
      </c>
      <c r="G1215" t="s">
        <v>1086</v>
      </c>
      <c r="H1215" t="s">
        <v>54</v>
      </c>
      <c r="I1215">
        <v>6957631</v>
      </c>
      <c r="J1215" s="12">
        <v>46111</v>
      </c>
      <c r="K1215" s="12">
        <v>46111</v>
      </c>
      <c r="L1215" s="12">
        <v>46111</v>
      </c>
      <c r="M1215">
        <v>21</v>
      </c>
      <c r="N1215">
        <v>-41011</v>
      </c>
      <c r="O1215">
        <v>-41011</v>
      </c>
      <c r="P1215">
        <v>0</v>
      </c>
      <c r="Q1215">
        <v>-41011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 t="s">
        <v>47</v>
      </c>
      <c r="AA1215" t="s">
        <v>1087</v>
      </c>
      <c r="AB1215" t="s">
        <v>51</v>
      </c>
      <c r="AC1215" t="s">
        <v>51</v>
      </c>
      <c r="AD1215" t="s">
        <v>51</v>
      </c>
      <c r="AE1215" t="s">
        <v>51</v>
      </c>
      <c r="AF1215" t="s">
        <v>108</v>
      </c>
    </row>
    <row r="1216" spans="1:32" ht="14.5" customHeight="1" x14ac:dyDescent="0.35">
      <c r="A1216" t="s">
        <v>498</v>
      </c>
      <c r="B1216" t="s">
        <v>652</v>
      </c>
      <c r="C1216" t="s">
        <v>47</v>
      </c>
      <c r="D1216">
        <v>3001223</v>
      </c>
      <c r="E1216">
        <v>3001223</v>
      </c>
      <c r="F1216" t="s">
        <v>1086</v>
      </c>
      <c r="G1216" t="s">
        <v>1086</v>
      </c>
      <c r="H1216" t="s">
        <v>54</v>
      </c>
      <c r="I1216">
        <v>6957632</v>
      </c>
      <c r="J1216" s="12">
        <v>46111</v>
      </c>
      <c r="K1216" s="12">
        <v>46111</v>
      </c>
      <c r="L1216" s="12">
        <v>46111</v>
      </c>
      <c r="M1216">
        <v>21</v>
      </c>
      <c r="N1216">
        <v>-11392</v>
      </c>
      <c r="O1216">
        <v>-11392</v>
      </c>
      <c r="P1216">
        <v>0</v>
      </c>
      <c r="Q1216">
        <v>-11392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 t="s">
        <v>47</v>
      </c>
      <c r="AA1216" t="s">
        <v>1087</v>
      </c>
      <c r="AB1216" t="s">
        <v>51</v>
      </c>
      <c r="AC1216" t="s">
        <v>51</v>
      </c>
      <c r="AD1216" t="s">
        <v>51</v>
      </c>
      <c r="AE1216" t="s">
        <v>51</v>
      </c>
      <c r="AF1216" t="s">
        <v>108</v>
      </c>
    </row>
    <row r="1217" spans="1:32" ht="14.5" customHeight="1" x14ac:dyDescent="0.35">
      <c r="A1217" t="s">
        <v>498</v>
      </c>
      <c r="B1217" t="s">
        <v>652</v>
      </c>
      <c r="C1217" t="s">
        <v>47</v>
      </c>
      <c r="D1217">
        <v>3001223</v>
      </c>
      <c r="E1217">
        <v>3001223</v>
      </c>
      <c r="F1217" t="s">
        <v>1086</v>
      </c>
      <c r="G1217" t="s">
        <v>1086</v>
      </c>
      <c r="H1217" t="s">
        <v>54</v>
      </c>
      <c r="I1217">
        <v>6957633</v>
      </c>
      <c r="J1217" s="12">
        <v>46111</v>
      </c>
      <c r="K1217" s="12">
        <v>46111</v>
      </c>
      <c r="L1217" s="12">
        <v>46111</v>
      </c>
      <c r="M1217">
        <v>21</v>
      </c>
      <c r="N1217">
        <v>-4143</v>
      </c>
      <c r="O1217">
        <v>-4143</v>
      </c>
      <c r="P1217">
        <v>0</v>
      </c>
      <c r="Q1217">
        <v>-4143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 t="s">
        <v>47</v>
      </c>
      <c r="AA1217" t="s">
        <v>1087</v>
      </c>
      <c r="AB1217" t="s">
        <v>51</v>
      </c>
      <c r="AC1217" t="s">
        <v>51</v>
      </c>
      <c r="AD1217" t="s">
        <v>51</v>
      </c>
      <c r="AE1217" t="s">
        <v>51</v>
      </c>
      <c r="AF1217" t="s">
        <v>108</v>
      </c>
    </row>
    <row r="1218" spans="1:32" ht="14.5" customHeight="1" x14ac:dyDescent="0.35">
      <c r="A1218" t="s">
        <v>498</v>
      </c>
      <c r="B1218" t="s">
        <v>652</v>
      </c>
      <c r="C1218" t="s">
        <v>47</v>
      </c>
      <c r="D1218">
        <v>3001223</v>
      </c>
      <c r="E1218">
        <v>3001223</v>
      </c>
      <c r="F1218" t="s">
        <v>1086</v>
      </c>
      <c r="G1218" t="s">
        <v>1086</v>
      </c>
      <c r="H1218" t="s">
        <v>54</v>
      </c>
      <c r="I1218">
        <v>6957634</v>
      </c>
      <c r="J1218" s="12">
        <v>46111</v>
      </c>
      <c r="K1218" s="12">
        <v>46111</v>
      </c>
      <c r="L1218" s="12">
        <v>46111</v>
      </c>
      <c r="M1218">
        <v>21</v>
      </c>
      <c r="N1218">
        <v>-13509</v>
      </c>
      <c r="O1218">
        <v>-13509</v>
      </c>
      <c r="P1218">
        <v>0</v>
      </c>
      <c r="Q1218">
        <v>-13509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 t="s">
        <v>47</v>
      </c>
      <c r="AA1218" t="s">
        <v>1087</v>
      </c>
      <c r="AB1218" t="s">
        <v>51</v>
      </c>
      <c r="AC1218" t="s">
        <v>51</v>
      </c>
      <c r="AD1218" t="s">
        <v>51</v>
      </c>
      <c r="AE1218" t="s">
        <v>51</v>
      </c>
      <c r="AF1218" t="s">
        <v>1131</v>
      </c>
    </row>
    <row r="1219" spans="1:32" ht="14.5" customHeight="1" x14ac:dyDescent="0.35">
      <c r="A1219" t="s">
        <v>498</v>
      </c>
      <c r="B1219" t="s">
        <v>652</v>
      </c>
      <c r="C1219" t="s">
        <v>47</v>
      </c>
      <c r="D1219">
        <v>3001223</v>
      </c>
      <c r="E1219">
        <v>3001223</v>
      </c>
      <c r="F1219" t="s">
        <v>1086</v>
      </c>
      <c r="G1219" t="s">
        <v>1086</v>
      </c>
      <c r="H1219" t="s">
        <v>54</v>
      </c>
      <c r="I1219">
        <v>6957635</v>
      </c>
      <c r="J1219" s="12">
        <v>46111</v>
      </c>
      <c r="K1219" s="12">
        <v>46111</v>
      </c>
      <c r="L1219" s="12">
        <v>46111</v>
      </c>
      <c r="M1219">
        <v>21</v>
      </c>
      <c r="N1219">
        <v>-64902</v>
      </c>
      <c r="O1219">
        <v>-64902</v>
      </c>
      <c r="P1219">
        <v>0</v>
      </c>
      <c r="Q1219">
        <v>-64902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 t="s">
        <v>47</v>
      </c>
      <c r="AA1219" t="s">
        <v>1087</v>
      </c>
      <c r="AB1219" t="s">
        <v>51</v>
      </c>
      <c r="AC1219" t="s">
        <v>51</v>
      </c>
      <c r="AD1219" t="s">
        <v>51</v>
      </c>
      <c r="AE1219" t="s">
        <v>51</v>
      </c>
      <c r="AF1219" t="s">
        <v>1131</v>
      </c>
    </row>
    <row r="1220" spans="1:32" ht="14.5" customHeight="1" x14ac:dyDescent="0.35">
      <c r="A1220" t="s">
        <v>498</v>
      </c>
      <c r="B1220" t="s">
        <v>652</v>
      </c>
      <c r="C1220" t="s">
        <v>47</v>
      </c>
      <c r="D1220">
        <v>3001223</v>
      </c>
      <c r="E1220">
        <v>3001223</v>
      </c>
      <c r="F1220" t="s">
        <v>1086</v>
      </c>
      <c r="G1220" t="s">
        <v>1086</v>
      </c>
      <c r="H1220" t="s">
        <v>54</v>
      </c>
      <c r="I1220">
        <v>6957636</v>
      </c>
      <c r="J1220" s="12">
        <v>46111</v>
      </c>
      <c r="K1220" s="12">
        <v>46111</v>
      </c>
      <c r="L1220" s="12">
        <v>46111</v>
      </c>
      <c r="M1220">
        <v>21</v>
      </c>
      <c r="N1220">
        <v>-27017</v>
      </c>
      <c r="O1220">
        <v>-27017</v>
      </c>
      <c r="P1220">
        <v>0</v>
      </c>
      <c r="Q1220">
        <v>-27017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 t="s">
        <v>47</v>
      </c>
      <c r="AA1220" t="s">
        <v>1087</v>
      </c>
      <c r="AB1220" t="s">
        <v>51</v>
      </c>
      <c r="AC1220" t="s">
        <v>51</v>
      </c>
      <c r="AD1220" t="s">
        <v>51</v>
      </c>
      <c r="AE1220" t="s">
        <v>51</v>
      </c>
      <c r="AF1220" t="s">
        <v>1132</v>
      </c>
    </row>
    <row r="1221" spans="1:32" ht="14.5" customHeight="1" x14ac:dyDescent="0.35">
      <c r="A1221" t="s">
        <v>498</v>
      </c>
      <c r="B1221" t="s">
        <v>652</v>
      </c>
      <c r="C1221" t="s">
        <v>47</v>
      </c>
      <c r="D1221">
        <v>3001223</v>
      </c>
      <c r="E1221">
        <v>3001223</v>
      </c>
      <c r="F1221" t="s">
        <v>1086</v>
      </c>
      <c r="G1221" t="s">
        <v>1086</v>
      </c>
      <c r="H1221" t="s">
        <v>54</v>
      </c>
      <c r="I1221">
        <v>6957637</v>
      </c>
      <c r="J1221" s="12">
        <v>46111</v>
      </c>
      <c r="K1221" s="12">
        <v>46111</v>
      </c>
      <c r="L1221" s="12">
        <v>46111</v>
      </c>
      <c r="M1221">
        <v>21</v>
      </c>
      <c r="N1221">
        <v>-133492</v>
      </c>
      <c r="O1221">
        <v>-133492</v>
      </c>
      <c r="P1221">
        <v>0</v>
      </c>
      <c r="Q1221">
        <v>-133492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 t="s">
        <v>47</v>
      </c>
      <c r="AA1221" t="s">
        <v>1087</v>
      </c>
      <c r="AB1221" t="s">
        <v>51</v>
      </c>
      <c r="AC1221" t="s">
        <v>51</v>
      </c>
      <c r="AD1221" t="s">
        <v>51</v>
      </c>
      <c r="AE1221" t="s">
        <v>51</v>
      </c>
      <c r="AF1221" t="s">
        <v>1133</v>
      </c>
    </row>
    <row r="1222" spans="1:32" ht="14.5" customHeight="1" x14ac:dyDescent="0.35">
      <c r="A1222" t="s">
        <v>498</v>
      </c>
      <c r="B1222" t="s">
        <v>652</v>
      </c>
      <c r="C1222" t="s">
        <v>47</v>
      </c>
      <c r="D1222">
        <v>3001223</v>
      </c>
      <c r="E1222">
        <v>3001223</v>
      </c>
      <c r="F1222" t="s">
        <v>1086</v>
      </c>
      <c r="G1222" t="s">
        <v>1086</v>
      </c>
      <c r="H1222" t="s">
        <v>54</v>
      </c>
      <c r="I1222">
        <v>6957642</v>
      </c>
      <c r="J1222" s="12">
        <v>46111</v>
      </c>
      <c r="K1222" s="12">
        <v>46111</v>
      </c>
      <c r="L1222" s="12">
        <v>46111</v>
      </c>
      <c r="M1222">
        <v>21</v>
      </c>
      <c r="N1222">
        <v>-284999</v>
      </c>
      <c r="O1222">
        <v>-284999</v>
      </c>
      <c r="P1222">
        <v>0</v>
      </c>
      <c r="Q1222">
        <v>-284999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 t="s">
        <v>47</v>
      </c>
      <c r="AA1222" t="s">
        <v>1087</v>
      </c>
      <c r="AB1222" t="s">
        <v>51</v>
      </c>
      <c r="AC1222" t="s">
        <v>51</v>
      </c>
      <c r="AD1222" t="s">
        <v>51</v>
      </c>
      <c r="AE1222" t="s">
        <v>51</v>
      </c>
      <c r="AF1222" t="s">
        <v>1134</v>
      </c>
    </row>
    <row r="1223" spans="1:32" ht="14.5" customHeight="1" x14ac:dyDescent="0.35">
      <c r="A1223" t="s">
        <v>498</v>
      </c>
      <c r="B1223" t="s">
        <v>652</v>
      </c>
      <c r="C1223" t="s">
        <v>47</v>
      </c>
      <c r="D1223">
        <v>3001223</v>
      </c>
      <c r="E1223">
        <v>3001223</v>
      </c>
      <c r="F1223" t="s">
        <v>1086</v>
      </c>
      <c r="G1223" t="s">
        <v>1086</v>
      </c>
      <c r="H1223" t="s">
        <v>54</v>
      </c>
      <c r="I1223">
        <v>6957643</v>
      </c>
      <c r="J1223" s="12">
        <v>46111</v>
      </c>
      <c r="K1223" s="12">
        <v>46111</v>
      </c>
      <c r="L1223" s="12">
        <v>46111</v>
      </c>
      <c r="M1223">
        <v>21</v>
      </c>
      <c r="N1223">
        <v>-824908</v>
      </c>
      <c r="O1223">
        <v>-824908</v>
      </c>
      <c r="P1223">
        <v>0</v>
      </c>
      <c r="Q1223">
        <v>-824908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 t="s">
        <v>47</v>
      </c>
      <c r="AA1223" t="s">
        <v>1087</v>
      </c>
      <c r="AB1223" t="s">
        <v>51</v>
      </c>
      <c r="AC1223" t="s">
        <v>51</v>
      </c>
      <c r="AD1223" t="s">
        <v>51</v>
      </c>
      <c r="AE1223" t="s">
        <v>51</v>
      </c>
      <c r="AF1223" t="s">
        <v>393</v>
      </c>
    </row>
    <row r="1224" spans="1:32" ht="14.5" customHeight="1" x14ac:dyDescent="0.35">
      <c r="A1224" t="s">
        <v>498</v>
      </c>
      <c r="B1224" t="s">
        <v>652</v>
      </c>
      <c r="C1224" t="s">
        <v>47</v>
      </c>
      <c r="D1224">
        <v>3001223</v>
      </c>
      <c r="E1224">
        <v>3001223</v>
      </c>
      <c r="F1224" t="s">
        <v>1086</v>
      </c>
      <c r="G1224" t="s">
        <v>1086</v>
      </c>
      <c r="H1224" t="s">
        <v>54</v>
      </c>
      <c r="I1224">
        <v>6957644</v>
      </c>
      <c r="J1224" s="12">
        <v>46111</v>
      </c>
      <c r="K1224" s="12">
        <v>46111</v>
      </c>
      <c r="L1224" s="12">
        <v>46111</v>
      </c>
      <c r="M1224">
        <v>21</v>
      </c>
      <c r="N1224">
        <v>-826333</v>
      </c>
      <c r="O1224">
        <v>-826333</v>
      </c>
      <c r="P1224">
        <v>0</v>
      </c>
      <c r="Q1224">
        <v>-826333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 t="s">
        <v>47</v>
      </c>
      <c r="AA1224" t="s">
        <v>1087</v>
      </c>
      <c r="AB1224" t="s">
        <v>51</v>
      </c>
      <c r="AC1224" t="s">
        <v>51</v>
      </c>
      <c r="AD1224" t="s">
        <v>51</v>
      </c>
      <c r="AE1224" t="s">
        <v>51</v>
      </c>
      <c r="AF1224" t="s">
        <v>283</v>
      </c>
    </row>
    <row r="1225" spans="1:32" ht="14.5" customHeight="1" x14ac:dyDescent="0.35">
      <c r="A1225" t="s">
        <v>498</v>
      </c>
      <c r="B1225" t="s">
        <v>652</v>
      </c>
      <c r="C1225" t="s">
        <v>47</v>
      </c>
      <c r="D1225">
        <v>3001223</v>
      </c>
      <c r="E1225">
        <v>3001223</v>
      </c>
      <c r="F1225" t="s">
        <v>1086</v>
      </c>
      <c r="G1225" t="s">
        <v>1086</v>
      </c>
      <c r="H1225" t="s">
        <v>54</v>
      </c>
      <c r="I1225">
        <v>6957645</v>
      </c>
      <c r="J1225" s="12">
        <v>46111</v>
      </c>
      <c r="K1225" s="12">
        <v>46111</v>
      </c>
      <c r="L1225" s="12">
        <v>46111</v>
      </c>
      <c r="M1225">
        <v>21</v>
      </c>
      <c r="N1225">
        <v>-553748</v>
      </c>
      <c r="O1225">
        <v>-553748</v>
      </c>
      <c r="P1225">
        <v>0</v>
      </c>
      <c r="Q1225">
        <v>-553748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 t="s">
        <v>47</v>
      </c>
      <c r="AA1225" t="s">
        <v>1087</v>
      </c>
      <c r="AB1225" t="s">
        <v>51</v>
      </c>
      <c r="AC1225" t="s">
        <v>51</v>
      </c>
      <c r="AD1225" t="s">
        <v>51</v>
      </c>
      <c r="AE1225" t="s">
        <v>51</v>
      </c>
      <c r="AF1225" t="s">
        <v>1135</v>
      </c>
    </row>
    <row r="1226" spans="1:32" ht="14.5" customHeight="1" x14ac:dyDescent="0.35">
      <c r="A1226" t="s">
        <v>498</v>
      </c>
      <c r="B1226" t="s">
        <v>652</v>
      </c>
      <c r="C1226" t="s">
        <v>47</v>
      </c>
      <c r="D1226">
        <v>3001223</v>
      </c>
      <c r="E1226">
        <v>3001223</v>
      </c>
      <c r="F1226" t="s">
        <v>1086</v>
      </c>
      <c r="G1226" t="s">
        <v>1086</v>
      </c>
      <c r="H1226" t="s">
        <v>54</v>
      </c>
      <c r="I1226">
        <v>6957646</v>
      </c>
      <c r="J1226" s="12">
        <v>46111</v>
      </c>
      <c r="K1226" s="12">
        <v>46111</v>
      </c>
      <c r="L1226" s="12">
        <v>46111</v>
      </c>
      <c r="M1226">
        <v>21</v>
      </c>
      <c r="N1226">
        <v>-387070</v>
      </c>
      <c r="O1226">
        <v>-387070</v>
      </c>
      <c r="P1226">
        <v>0</v>
      </c>
      <c r="Q1226">
        <v>-387070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 t="s">
        <v>47</v>
      </c>
      <c r="AA1226" t="s">
        <v>1087</v>
      </c>
      <c r="AB1226" t="s">
        <v>51</v>
      </c>
      <c r="AC1226" t="s">
        <v>51</v>
      </c>
      <c r="AD1226" t="s">
        <v>51</v>
      </c>
      <c r="AE1226" t="s">
        <v>51</v>
      </c>
      <c r="AF1226" t="s">
        <v>1136</v>
      </c>
    </row>
    <row r="1227" spans="1:32" ht="14.5" customHeight="1" x14ac:dyDescent="0.35">
      <c r="A1227" t="s">
        <v>498</v>
      </c>
      <c r="B1227" t="s">
        <v>652</v>
      </c>
      <c r="C1227" t="s">
        <v>47</v>
      </c>
      <c r="D1227">
        <v>3001223</v>
      </c>
      <c r="E1227">
        <v>3001223</v>
      </c>
      <c r="F1227" t="s">
        <v>1086</v>
      </c>
      <c r="G1227" t="s">
        <v>1086</v>
      </c>
      <c r="H1227" t="s">
        <v>54</v>
      </c>
      <c r="I1227">
        <v>6957647</v>
      </c>
      <c r="J1227" s="12">
        <v>46111</v>
      </c>
      <c r="K1227" s="12">
        <v>46111</v>
      </c>
      <c r="L1227" s="12">
        <v>46111</v>
      </c>
      <c r="M1227">
        <v>21</v>
      </c>
      <c r="N1227">
        <v>-694338</v>
      </c>
      <c r="O1227">
        <v>-694338</v>
      </c>
      <c r="P1227">
        <v>0</v>
      </c>
      <c r="Q1227">
        <v>-694338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 t="s">
        <v>47</v>
      </c>
      <c r="AA1227" t="s">
        <v>1087</v>
      </c>
      <c r="AB1227" t="s">
        <v>51</v>
      </c>
      <c r="AC1227" t="s">
        <v>51</v>
      </c>
      <c r="AD1227" t="s">
        <v>51</v>
      </c>
      <c r="AE1227" t="s">
        <v>51</v>
      </c>
      <c r="AF1227" t="s">
        <v>393</v>
      </c>
    </row>
    <row r="1228" spans="1:32" ht="14.5" customHeight="1" x14ac:dyDescent="0.35">
      <c r="A1228" t="s">
        <v>498</v>
      </c>
      <c r="B1228" t="s">
        <v>652</v>
      </c>
      <c r="C1228" t="s">
        <v>47</v>
      </c>
      <c r="D1228">
        <v>3001223</v>
      </c>
      <c r="E1228">
        <v>3001223</v>
      </c>
      <c r="F1228" t="s">
        <v>1086</v>
      </c>
      <c r="G1228" t="s">
        <v>1086</v>
      </c>
      <c r="H1228" t="s">
        <v>54</v>
      </c>
      <c r="I1228">
        <v>6957648</v>
      </c>
      <c r="J1228" s="12">
        <v>46111</v>
      </c>
      <c r="K1228" s="12">
        <v>46111</v>
      </c>
      <c r="L1228" s="12">
        <v>46111</v>
      </c>
      <c r="M1228">
        <v>21</v>
      </c>
      <c r="N1228">
        <v>-437275</v>
      </c>
      <c r="O1228">
        <v>-437275</v>
      </c>
      <c r="P1228">
        <v>0</v>
      </c>
      <c r="Q1228">
        <v>-437275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 t="s">
        <v>47</v>
      </c>
      <c r="AA1228" t="s">
        <v>1087</v>
      </c>
      <c r="AB1228" t="s">
        <v>51</v>
      </c>
      <c r="AC1228" t="s">
        <v>51</v>
      </c>
      <c r="AD1228" t="s">
        <v>51</v>
      </c>
      <c r="AE1228" t="s">
        <v>51</v>
      </c>
      <c r="AF1228" t="s">
        <v>1137</v>
      </c>
    </row>
    <row r="1229" spans="1:32" ht="14.5" customHeight="1" x14ac:dyDescent="0.35">
      <c r="A1229" t="s">
        <v>498</v>
      </c>
      <c r="B1229" t="s">
        <v>652</v>
      </c>
      <c r="C1229" t="s">
        <v>47</v>
      </c>
      <c r="D1229">
        <v>3001223</v>
      </c>
      <c r="E1229">
        <v>3001223</v>
      </c>
      <c r="F1229" t="s">
        <v>1086</v>
      </c>
      <c r="G1229" t="s">
        <v>1086</v>
      </c>
      <c r="H1229" t="s">
        <v>54</v>
      </c>
      <c r="I1229">
        <v>6957649</v>
      </c>
      <c r="J1229" s="12">
        <v>46111</v>
      </c>
      <c r="K1229" s="12">
        <v>46111</v>
      </c>
      <c r="L1229" s="12">
        <v>46111</v>
      </c>
      <c r="M1229">
        <v>21</v>
      </c>
      <c r="N1229">
        <v>-533154</v>
      </c>
      <c r="O1229">
        <v>-533154</v>
      </c>
      <c r="P1229">
        <v>0</v>
      </c>
      <c r="Q1229">
        <v>-533154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 t="s">
        <v>47</v>
      </c>
      <c r="AA1229" t="s">
        <v>1087</v>
      </c>
      <c r="AB1229" t="s">
        <v>51</v>
      </c>
      <c r="AC1229" t="s">
        <v>51</v>
      </c>
      <c r="AD1229" t="s">
        <v>51</v>
      </c>
      <c r="AE1229" t="s">
        <v>51</v>
      </c>
      <c r="AF1229" t="s">
        <v>940</v>
      </c>
    </row>
    <row r="1230" spans="1:32" ht="14.5" customHeight="1" x14ac:dyDescent="0.35">
      <c r="A1230" t="s">
        <v>498</v>
      </c>
      <c r="B1230" t="s">
        <v>652</v>
      </c>
      <c r="C1230" t="s">
        <v>47</v>
      </c>
      <c r="D1230">
        <v>3001223</v>
      </c>
      <c r="E1230">
        <v>3001223</v>
      </c>
      <c r="F1230" t="s">
        <v>1086</v>
      </c>
      <c r="G1230" t="s">
        <v>1086</v>
      </c>
      <c r="H1230" t="s">
        <v>54</v>
      </c>
      <c r="I1230">
        <v>6957663</v>
      </c>
      <c r="J1230" s="12">
        <v>46111</v>
      </c>
      <c r="K1230" s="12">
        <v>46111</v>
      </c>
      <c r="L1230" s="12">
        <v>46111</v>
      </c>
      <c r="M1230">
        <v>21</v>
      </c>
      <c r="N1230">
        <v>-41854194</v>
      </c>
      <c r="O1230">
        <v>-41854194</v>
      </c>
      <c r="P1230">
        <v>0</v>
      </c>
      <c r="Q1230">
        <v>-41854194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 t="s">
        <v>47</v>
      </c>
      <c r="AA1230" t="s">
        <v>1087</v>
      </c>
      <c r="AB1230" t="s">
        <v>51</v>
      </c>
      <c r="AC1230" t="s">
        <v>51</v>
      </c>
      <c r="AD1230" t="s">
        <v>51</v>
      </c>
      <c r="AE1230" t="s">
        <v>51</v>
      </c>
      <c r="AF1230" t="s">
        <v>593</v>
      </c>
    </row>
    <row r="1231" spans="1:32" ht="14.5" customHeight="1" x14ac:dyDescent="0.35">
      <c r="A1231" t="s">
        <v>498</v>
      </c>
      <c r="B1231" t="s">
        <v>652</v>
      </c>
      <c r="C1231" t="s">
        <v>47</v>
      </c>
      <c r="D1231">
        <v>3001223</v>
      </c>
      <c r="E1231">
        <v>3001223</v>
      </c>
      <c r="F1231" t="s">
        <v>1086</v>
      </c>
      <c r="G1231" t="s">
        <v>1086</v>
      </c>
      <c r="H1231" t="s">
        <v>54</v>
      </c>
      <c r="I1231">
        <v>6957695</v>
      </c>
      <c r="J1231" s="12">
        <v>46112</v>
      </c>
      <c r="K1231" s="12">
        <v>46112</v>
      </c>
      <c r="L1231" s="12">
        <v>46112</v>
      </c>
      <c r="M1231">
        <v>20</v>
      </c>
      <c r="N1231">
        <v>-72591543</v>
      </c>
      <c r="O1231">
        <v>-72591543</v>
      </c>
      <c r="P1231">
        <v>0</v>
      </c>
      <c r="Q1231">
        <v>-72591543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 t="s">
        <v>47</v>
      </c>
      <c r="AA1231" t="s">
        <v>1087</v>
      </c>
      <c r="AB1231" t="s">
        <v>51</v>
      </c>
      <c r="AC1231" t="s">
        <v>51</v>
      </c>
      <c r="AD1231" t="s">
        <v>51</v>
      </c>
      <c r="AE1231" t="s">
        <v>51</v>
      </c>
      <c r="AF1231" t="s">
        <v>1138</v>
      </c>
    </row>
    <row r="1232" spans="1:32" ht="14.5" customHeight="1" x14ac:dyDescent="0.35">
      <c r="A1232" t="s">
        <v>498</v>
      </c>
      <c r="B1232" t="s">
        <v>652</v>
      </c>
      <c r="C1232" t="s">
        <v>47</v>
      </c>
      <c r="D1232">
        <v>3001223</v>
      </c>
      <c r="E1232">
        <v>3001223</v>
      </c>
      <c r="F1232" t="s">
        <v>1086</v>
      </c>
      <c r="G1232" t="s">
        <v>1086</v>
      </c>
      <c r="H1232" t="s">
        <v>54</v>
      </c>
      <c r="I1232">
        <v>6957990</v>
      </c>
      <c r="J1232" s="12">
        <v>46118</v>
      </c>
      <c r="K1232" s="12">
        <v>46118</v>
      </c>
      <c r="L1232" s="12">
        <v>46118</v>
      </c>
      <c r="M1232">
        <v>14</v>
      </c>
      <c r="N1232">
        <v>-205574</v>
      </c>
      <c r="O1232">
        <v>-205574</v>
      </c>
      <c r="P1232">
        <v>0</v>
      </c>
      <c r="Q1232">
        <v>-205574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 t="s">
        <v>47</v>
      </c>
      <c r="AA1232" t="s">
        <v>1087</v>
      </c>
      <c r="AB1232" t="s">
        <v>51</v>
      </c>
      <c r="AC1232" t="s">
        <v>51</v>
      </c>
      <c r="AD1232" t="s">
        <v>51</v>
      </c>
      <c r="AE1232" t="s">
        <v>51</v>
      </c>
      <c r="AF1232" t="s">
        <v>1089</v>
      </c>
    </row>
    <row r="1233" spans="1:32" ht="14.5" customHeight="1" x14ac:dyDescent="0.35">
      <c r="A1233" t="s">
        <v>498</v>
      </c>
      <c r="B1233" t="s">
        <v>652</v>
      </c>
      <c r="C1233" t="s">
        <v>47</v>
      </c>
      <c r="D1233">
        <v>3001223</v>
      </c>
      <c r="E1233">
        <v>3001223</v>
      </c>
      <c r="F1233" t="s">
        <v>1086</v>
      </c>
      <c r="G1233" t="s">
        <v>1086</v>
      </c>
      <c r="H1233" t="s">
        <v>54</v>
      </c>
      <c r="I1233">
        <v>6957991</v>
      </c>
      <c r="J1233" s="12">
        <v>46118</v>
      </c>
      <c r="K1233" s="12">
        <v>46118</v>
      </c>
      <c r="L1233" s="12">
        <v>46118</v>
      </c>
      <c r="M1233">
        <v>14</v>
      </c>
      <c r="N1233">
        <v>-252444</v>
      </c>
      <c r="O1233">
        <v>-252444</v>
      </c>
      <c r="P1233">
        <v>0</v>
      </c>
      <c r="Q1233">
        <v>-252444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 t="s">
        <v>47</v>
      </c>
      <c r="AA1233" t="s">
        <v>1087</v>
      </c>
      <c r="AB1233" t="s">
        <v>51</v>
      </c>
      <c r="AC1233" t="s">
        <v>51</v>
      </c>
      <c r="AD1233" t="s">
        <v>51</v>
      </c>
      <c r="AE1233" t="s">
        <v>51</v>
      </c>
      <c r="AF1233" t="s">
        <v>1089</v>
      </c>
    </row>
    <row r="1234" spans="1:32" ht="14.5" customHeight="1" x14ac:dyDescent="0.35">
      <c r="A1234" t="s">
        <v>498</v>
      </c>
      <c r="B1234" t="s">
        <v>652</v>
      </c>
      <c r="C1234" t="s">
        <v>47</v>
      </c>
      <c r="D1234">
        <v>3001223</v>
      </c>
      <c r="E1234">
        <v>3001223</v>
      </c>
      <c r="F1234" t="s">
        <v>1086</v>
      </c>
      <c r="G1234" t="s">
        <v>1086</v>
      </c>
      <c r="H1234" t="s">
        <v>54</v>
      </c>
      <c r="I1234">
        <v>6957992</v>
      </c>
      <c r="J1234" s="12">
        <v>46118</v>
      </c>
      <c r="K1234" s="12">
        <v>46118</v>
      </c>
      <c r="L1234" s="12">
        <v>46118</v>
      </c>
      <c r="M1234">
        <v>14</v>
      </c>
      <c r="N1234">
        <v>-231353</v>
      </c>
      <c r="O1234">
        <v>-231353</v>
      </c>
      <c r="P1234">
        <v>0</v>
      </c>
      <c r="Q1234">
        <v>-231353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 t="s">
        <v>47</v>
      </c>
      <c r="AA1234" t="s">
        <v>1087</v>
      </c>
      <c r="AB1234" t="s">
        <v>51</v>
      </c>
      <c r="AC1234" t="s">
        <v>51</v>
      </c>
      <c r="AD1234" t="s">
        <v>51</v>
      </c>
      <c r="AE1234" t="s">
        <v>51</v>
      </c>
      <c r="AF1234" t="s">
        <v>1089</v>
      </c>
    </row>
    <row r="1235" spans="1:32" ht="14.5" customHeight="1" x14ac:dyDescent="0.35">
      <c r="A1235" t="s">
        <v>498</v>
      </c>
      <c r="B1235" t="s">
        <v>652</v>
      </c>
      <c r="C1235" t="s">
        <v>47</v>
      </c>
      <c r="D1235">
        <v>3001223</v>
      </c>
      <c r="E1235">
        <v>3001223</v>
      </c>
      <c r="F1235" t="s">
        <v>1086</v>
      </c>
      <c r="G1235" t="s">
        <v>1086</v>
      </c>
      <c r="H1235" t="s">
        <v>54</v>
      </c>
      <c r="I1235">
        <v>6958095</v>
      </c>
      <c r="J1235" s="12">
        <v>46119</v>
      </c>
      <c r="K1235" s="12">
        <v>46119</v>
      </c>
      <c r="L1235" s="12">
        <v>46119</v>
      </c>
      <c r="M1235">
        <v>13</v>
      </c>
      <c r="N1235">
        <v>-8080000</v>
      </c>
      <c r="O1235">
        <v>-8080000</v>
      </c>
      <c r="P1235">
        <v>0</v>
      </c>
      <c r="Q1235">
        <v>-8080000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 t="s">
        <v>47</v>
      </c>
      <c r="AA1235" t="s">
        <v>1087</v>
      </c>
      <c r="AB1235" t="s">
        <v>51</v>
      </c>
      <c r="AC1235" t="s">
        <v>51</v>
      </c>
      <c r="AD1235" t="s">
        <v>51</v>
      </c>
      <c r="AE1235" t="s">
        <v>51</v>
      </c>
      <c r="AF1235" t="s">
        <v>1139</v>
      </c>
    </row>
    <row r="1236" spans="1:32" ht="14.5" customHeight="1" x14ac:dyDescent="0.35">
      <c r="A1236" t="s">
        <v>498</v>
      </c>
      <c r="B1236" t="s">
        <v>652</v>
      </c>
      <c r="C1236" t="s">
        <v>47</v>
      </c>
      <c r="D1236">
        <v>3001223</v>
      </c>
      <c r="E1236">
        <v>3001223</v>
      </c>
      <c r="F1236" t="s">
        <v>1086</v>
      </c>
      <c r="G1236" t="s">
        <v>1086</v>
      </c>
      <c r="H1236" t="s">
        <v>54</v>
      </c>
      <c r="I1236">
        <v>6958096</v>
      </c>
      <c r="J1236" s="12">
        <v>46119</v>
      </c>
      <c r="K1236" s="12">
        <v>46119</v>
      </c>
      <c r="L1236" s="12">
        <v>46119</v>
      </c>
      <c r="M1236">
        <v>13</v>
      </c>
      <c r="N1236">
        <v>-1090000</v>
      </c>
      <c r="O1236">
        <v>-1090000</v>
      </c>
      <c r="P1236">
        <v>0</v>
      </c>
      <c r="Q1236">
        <v>-1090000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 t="s">
        <v>47</v>
      </c>
      <c r="AA1236" t="s">
        <v>1087</v>
      </c>
      <c r="AB1236" t="s">
        <v>51</v>
      </c>
      <c r="AC1236" t="s">
        <v>51</v>
      </c>
      <c r="AD1236" t="s">
        <v>51</v>
      </c>
      <c r="AE1236" t="s">
        <v>51</v>
      </c>
      <c r="AF1236" t="s">
        <v>1140</v>
      </c>
    </row>
    <row r="1237" spans="1:32" ht="14.5" customHeight="1" x14ac:dyDescent="0.35">
      <c r="A1237" t="s">
        <v>498</v>
      </c>
      <c r="B1237" t="s">
        <v>652</v>
      </c>
      <c r="C1237" t="s">
        <v>47</v>
      </c>
      <c r="D1237">
        <v>3001223</v>
      </c>
      <c r="E1237">
        <v>3001223</v>
      </c>
      <c r="F1237" t="s">
        <v>1086</v>
      </c>
      <c r="G1237" t="s">
        <v>1086</v>
      </c>
      <c r="H1237" t="s">
        <v>54</v>
      </c>
      <c r="I1237">
        <v>6958097</v>
      </c>
      <c r="J1237" s="12">
        <v>46119</v>
      </c>
      <c r="K1237" s="12">
        <v>46119</v>
      </c>
      <c r="L1237" s="12">
        <v>46119</v>
      </c>
      <c r="M1237">
        <v>13</v>
      </c>
      <c r="N1237">
        <v>-1500000</v>
      </c>
      <c r="O1237">
        <v>-1500000</v>
      </c>
      <c r="P1237">
        <v>0</v>
      </c>
      <c r="Q1237">
        <v>-1500000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 t="s">
        <v>47</v>
      </c>
      <c r="AA1237" t="s">
        <v>1087</v>
      </c>
      <c r="AB1237" t="s">
        <v>51</v>
      </c>
      <c r="AC1237" t="s">
        <v>51</v>
      </c>
      <c r="AD1237" t="s">
        <v>51</v>
      </c>
      <c r="AE1237" t="s">
        <v>51</v>
      </c>
      <c r="AF1237" t="s">
        <v>1141</v>
      </c>
    </row>
    <row r="1238" spans="1:32" ht="14.5" customHeight="1" x14ac:dyDescent="0.35">
      <c r="A1238" t="s">
        <v>498</v>
      </c>
      <c r="B1238" t="s">
        <v>652</v>
      </c>
      <c r="C1238" t="s">
        <v>47</v>
      </c>
      <c r="D1238">
        <v>3001223</v>
      </c>
      <c r="E1238">
        <v>3001223</v>
      </c>
      <c r="F1238" t="s">
        <v>1086</v>
      </c>
      <c r="G1238" t="s">
        <v>1086</v>
      </c>
      <c r="H1238" t="s">
        <v>54</v>
      </c>
      <c r="I1238">
        <v>6958295</v>
      </c>
      <c r="J1238" s="12">
        <v>46120</v>
      </c>
      <c r="K1238" s="12">
        <v>46120</v>
      </c>
      <c r="L1238" s="12">
        <v>46120</v>
      </c>
      <c r="M1238">
        <v>12</v>
      </c>
      <c r="N1238">
        <v>-184503928</v>
      </c>
      <c r="O1238">
        <v>-184503928</v>
      </c>
      <c r="P1238">
        <v>0</v>
      </c>
      <c r="Q1238">
        <v>-184503928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 t="s">
        <v>47</v>
      </c>
      <c r="AA1238" t="s">
        <v>1087</v>
      </c>
      <c r="AB1238" t="s">
        <v>51</v>
      </c>
      <c r="AC1238" t="s">
        <v>51</v>
      </c>
      <c r="AD1238" t="s">
        <v>51</v>
      </c>
      <c r="AE1238" t="s">
        <v>51</v>
      </c>
      <c r="AF1238" t="s">
        <v>64</v>
      </c>
    </row>
    <row r="1239" spans="1:32" ht="14.5" customHeight="1" x14ac:dyDescent="0.35">
      <c r="A1239" t="s">
        <v>498</v>
      </c>
      <c r="B1239" t="s">
        <v>652</v>
      </c>
      <c r="C1239" t="s">
        <v>47</v>
      </c>
      <c r="D1239">
        <v>3001223</v>
      </c>
      <c r="E1239">
        <v>3001223</v>
      </c>
      <c r="F1239" t="s">
        <v>1086</v>
      </c>
      <c r="G1239" t="s">
        <v>1086</v>
      </c>
      <c r="H1239" t="s">
        <v>54</v>
      </c>
      <c r="I1239">
        <v>6958296</v>
      </c>
      <c r="J1239" s="12">
        <v>46120</v>
      </c>
      <c r="K1239" s="12">
        <v>46120</v>
      </c>
      <c r="L1239" s="12">
        <v>46120</v>
      </c>
      <c r="M1239">
        <v>12</v>
      </c>
      <c r="N1239">
        <v>-137831889</v>
      </c>
      <c r="O1239">
        <v>-137831889</v>
      </c>
      <c r="P1239">
        <v>0</v>
      </c>
      <c r="Q1239">
        <v>-137831889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 t="s">
        <v>47</v>
      </c>
      <c r="AA1239" t="s">
        <v>1087</v>
      </c>
      <c r="AB1239" t="s">
        <v>51</v>
      </c>
      <c r="AC1239" t="s">
        <v>51</v>
      </c>
      <c r="AD1239" t="s">
        <v>51</v>
      </c>
      <c r="AE1239" t="s">
        <v>51</v>
      </c>
      <c r="AF1239" t="s">
        <v>56</v>
      </c>
    </row>
    <row r="1240" spans="1:32" ht="14.5" customHeight="1" x14ac:dyDescent="0.35">
      <c r="A1240" t="s">
        <v>498</v>
      </c>
      <c r="B1240" t="s">
        <v>652</v>
      </c>
      <c r="C1240" t="s">
        <v>47</v>
      </c>
      <c r="D1240">
        <v>3001223</v>
      </c>
      <c r="E1240">
        <v>3001223</v>
      </c>
      <c r="F1240" t="s">
        <v>1086</v>
      </c>
      <c r="G1240" t="s">
        <v>1086</v>
      </c>
      <c r="H1240" t="s">
        <v>54</v>
      </c>
      <c r="I1240">
        <v>6958310</v>
      </c>
      <c r="J1240" s="12">
        <v>46120</v>
      </c>
      <c r="K1240" s="12">
        <v>46120</v>
      </c>
      <c r="L1240" s="12">
        <v>46120</v>
      </c>
      <c r="M1240">
        <v>12</v>
      </c>
      <c r="N1240">
        <v>-2180000</v>
      </c>
      <c r="O1240">
        <v>-2180000</v>
      </c>
      <c r="P1240">
        <v>0</v>
      </c>
      <c r="Q1240">
        <v>-2180000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 t="s">
        <v>47</v>
      </c>
      <c r="AA1240" t="s">
        <v>1087</v>
      </c>
      <c r="AB1240" t="s">
        <v>51</v>
      </c>
      <c r="AC1240" t="s">
        <v>51</v>
      </c>
      <c r="AD1240" t="s">
        <v>51</v>
      </c>
      <c r="AE1240" t="s">
        <v>51</v>
      </c>
      <c r="AF1240" t="s">
        <v>1142</v>
      </c>
    </row>
    <row r="1241" spans="1:32" ht="14.5" customHeight="1" x14ac:dyDescent="0.35">
      <c r="A1241" t="s">
        <v>498</v>
      </c>
      <c r="B1241" t="s">
        <v>652</v>
      </c>
      <c r="C1241" t="s">
        <v>47</v>
      </c>
      <c r="D1241">
        <v>3001223</v>
      </c>
      <c r="E1241">
        <v>3001223</v>
      </c>
      <c r="F1241" t="s">
        <v>1086</v>
      </c>
      <c r="G1241" t="s">
        <v>1086</v>
      </c>
      <c r="H1241" t="s">
        <v>54</v>
      </c>
      <c r="I1241">
        <v>6958340</v>
      </c>
      <c r="J1241" s="12">
        <v>46120</v>
      </c>
      <c r="K1241" s="12">
        <v>46120</v>
      </c>
      <c r="L1241" s="12">
        <v>46120</v>
      </c>
      <c r="M1241">
        <v>12</v>
      </c>
      <c r="N1241">
        <v>-2180000</v>
      </c>
      <c r="O1241">
        <v>-2180000</v>
      </c>
      <c r="P1241">
        <v>0</v>
      </c>
      <c r="Q1241">
        <v>-2180000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 t="s">
        <v>47</v>
      </c>
      <c r="AA1241" t="s">
        <v>1087</v>
      </c>
      <c r="AB1241" t="s">
        <v>51</v>
      </c>
      <c r="AC1241" t="s">
        <v>51</v>
      </c>
      <c r="AD1241" t="s">
        <v>51</v>
      </c>
      <c r="AE1241" t="s">
        <v>51</v>
      </c>
      <c r="AF1241" t="s">
        <v>1143</v>
      </c>
    </row>
    <row r="1242" spans="1:32" ht="14.5" customHeight="1" x14ac:dyDescent="0.35">
      <c r="A1242" t="s">
        <v>498</v>
      </c>
      <c r="B1242" t="s">
        <v>652</v>
      </c>
      <c r="C1242" t="s">
        <v>47</v>
      </c>
      <c r="D1242">
        <v>3001223</v>
      </c>
      <c r="E1242">
        <v>3001223</v>
      </c>
      <c r="F1242" t="s">
        <v>1086</v>
      </c>
      <c r="G1242" t="s">
        <v>1086</v>
      </c>
      <c r="H1242" t="s">
        <v>54</v>
      </c>
      <c r="I1242">
        <v>6958341</v>
      </c>
      <c r="J1242" s="12">
        <v>46120</v>
      </c>
      <c r="K1242" s="12">
        <v>46120</v>
      </c>
      <c r="L1242" s="12">
        <v>46120</v>
      </c>
      <c r="M1242">
        <v>12</v>
      </c>
      <c r="N1242">
        <v>-2289000</v>
      </c>
      <c r="O1242">
        <v>-2289000</v>
      </c>
      <c r="P1242">
        <v>0</v>
      </c>
      <c r="Q1242">
        <v>-2289000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 t="s">
        <v>47</v>
      </c>
      <c r="AA1242" t="s">
        <v>1087</v>
      </c>
      <c r="AB1242" t="s">
        <v>51</v>
      </c>
      <c r="AC1242" t="s">
        <v>51</v>
      </c>
      <c r="AD1242" t="s">
        <v>51</v>
      </c>
      <c r="AE1242" t="s">
        <v>51</v>
      </c>
      <c r="AF1242" t="s">
        <v>1097</v>
      </c>
    </row>
    <row r="1243" spans="1:32" ht="14.5" customHeight="1" x14ac:dyDescent="0.35">
      <c r="A1243" t="s">
        <v>498</v>
      </c>
      <c r="B1243" t="s">
        <v>652</v>
      </c>
      <c r="C1243" t="s">
        <v>47</v>
      </c>
      <c r="D1243">
        <v>3001223</v>
      </c>
      <c r="E1243">
        <v>3001223</v>
      </c>
      <c r="F1243" t="s">
        <v>1086</v>
      </c>
      <c r="G1243" t="s">
        <v>1086</v>
      </c>
      <c r="H1243" t="s">
        <v>54</v>
      </c>
      <c r="I1243">
        <v>6958342</v>
      </c>
      <c r="J1243" s="12">
        <v>46120</v>
      </c>
      <c r="K1243" s="12">
        <v>46120</v>
      </c>
      <c r="L1243" s="12">
        <v>46120</v>
      </c>
      <c r="M1243">
        <v>12</v>
      </c>
      <c r="N1243">
        <v>-1090000</v>
      </c>
      <c r="O1243">
        <v>-1090000</v>
      </c>
      <c r="P1243">
        <v>0</v>
      </c>
      <c r="Q1243">
        <v>-1090000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 t="s">
        <v>47</v>
      </c>
      <c r="AA1243" t="s">
        <v>1087</v>
      </c>
      <c r="AB1243" t="s">
        <v>51</v>
      </c>
      <c r="AC1243" t="s">
        <v>51</v>
      </c>
      <c r="AD1243" t="s">
        <v>51</v>
      </c>
      <c r="AE1243" t="s">
        <v>51</v>
      </c>
      <c r="AF1243" t="s">
        <v>1122</v>
      </c>
    </row>
    <row r="1244" spans="1:32" ht="14.5" customHeight="1" x14ac:dyDescent="0.35">
      <c r="A1244" t="s">
        <v>498</v>
      </c>
      <c r="B1244" t="s">
        <v>652</v>
      </c>
      <c r="C1244" t="s">
        <v>47</v>
      </c>
      <c r="D1244">
        <v>3001223</v>
      </c>
      <c r="E1244">
        <v>3001223</v>
      </c>
      <c r="F1244" t="s">
        <v>1086</v>
      </c>
      <c r="G1244" t="s">
        <v>1086</v>
      </c>
      <c r="H1244" t="s">
        <v>54</v>
      </c>
      <c r="I1244">
        <v>6958343</v>
      </c>
      <c r="J1244" s="12">
        <v>46120</v>
      </c>
      <c r="K1244" s="12">
        <v>46120</v>
      </c>
      <c r="L1244" s="12">
        <v>46120</v>
      </c>
      <c r="M1244">
        <v>12</v>
      </c>
      <c r="N1244">
        <v>-2180000</v>
      </c>
      <c r="O1244">
        <v>-2180000</v>
      </c>
      <c r="P1244">
        <v>0</v>
      </c>
      <c r="Q1244">
        <v>-2180000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 t="s">
        <v>47</v>
      </c>
      <c r="AA1244" t="s">
        <v>1087</v>
      </c>
      <c r="AB1244" t="s">
        <v>51</v>
      </c>
      <c r="AC1244" t="s">
        <v>51</v>
      </c>
      <c r="AD1244" t="s">
        <v>51</v>
      </c>
      <c r="AE1244" t="s">
        <v>51</v>
      </c>
      <c r="AF1244" t="s">
        <v>1100</v>
      </c>
    </row>
    <row r="1245" spans="1:32" ht="14.5" customHeight="1" x14ac:dyDescent="0.35">
      <c r="A1245" t="s">
        <v>498</v>
      </c>
      <c r="B1245" t="s">
        <v>652</v>
      </c>
      <c r="C1245" t="s">
        <v>47</v>
      </c>
      <c r="D1245">
        <v>3001223</v>
      </c>
      <c r="E1245">
        <v>3001223</v>
      </c>
      <c r="F1245" t="s">
        <v>1086</v>
      </c>
      <c r="G1245" t="s">
        <v>1086</v>
      </c>
      <c r="H1245" t="s">
        <v>54</v>
      </c>
      <c r="I1245">
        <v>6958344</v>
      </c>
      <c r="J1245" s="12">
        <v>46120</v>
      </c>
      <c r="K1245" s="12">
        <v>46120</v>
      </c>
      <c r="L1245" s="12">
        <v>46120</v>
      </c>
      <c r="M1245">
        <v>12</v>
      </c>
      <c r="N1245">
        <v>-4360000</v>
      </c>
      <c r="O1245">
        <v>-4360000</v>
      </c>
      <c r="P1245">
        <v>0</v>
      </c>
      <c r="Q1245">
        <v>-4360000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 t="s">
        <v>47</v>
      </c>
      <c r="AA1245" t="s">
        <v>1087</v>
      </c>
      <c r="AB1245" t="s">
        <v>51</v>
      </c>
      <c r="AC1245" t="s">
        <v>51</v>
      </c>
      <c r="AD1245" t="s">
        <v>51</v>
      </c>
      <c r="AE1245" t="s">
        <v>51</v>
      </c>
      <c r="AF1245" t="s">
        <v>1144</v>
      </c>
    </row>
    <row r="1246" spans="1:32" ht="14.5" customHeight="1" x14ac:dyDescent="0.35">
      <c r="A1246" t="s">
        <v>498</v>
      </c>
      <c r="B1246" t="s">
        <v>652</v>
      </c>
      <c r="C1246" t="s">
        <v>47</v>
      </c>
      <c r="D1246">
        <v>3001223</v>
      </c>
      <c r="E1246">
        <v>3001223</v>
      </c>
      <c r="F1246" t="s">
        <v>1086</v>
      </c>
      <c r="G1246" t="s">
        <v>1086</v>
      </c>
      <c r="H1246" t="s">
        <v>54</v>
      </c>
      <c r="I1246">
        <v>6958351</v>
      </c>
      <c r="J1246" s="12">
        <v>46120</v>
      </c>
      <c r="K1246" s="12">
        <v>46120</v>
      </c>
      <c r="L1246" s="12">
        <v>46120</v>
      </c>
      <c r="M1246">
        <v>12</v>
      </c>
      <c r="N1246">
        <v>-4360000</v>
      </c>
      <c r="O1246">
        <v>-4360000</v>
      </c>
      <c r="P1246">
        <v>0</v>
      </c>
      <c r="Q1246">
        <v>-4360000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 t="s">
        <v>47</v>
      </c>
      <c r="AA1246" t="s">
        <v>1087</v>
      </c>
      <c r="AB1246" t="s">
        <v>51</v>
      </c>
      <c r="AC1246" t="s">
        <v>51</v>
      </c>
      <c r="AD1246" t="s">
        <v>51</v>
      </c>
      <c r="AE1246" t="s">
        <v>51</v>
      </c>
      <c r="AF1246" t="s">
        <v>1145</v>
      </c>
    </row>
    <row r="1247" spans="1:32" ht="14.5" customHeight="1" x14ac:dyDescent="0.35">
      <c r="A1247" t="s">
        <v>498</v>
      </c>
      <c r="B1247" t="s">
        <v>652</v>
      </c>
      <c r="C1247" t="s">
        <v>47</v>
      </c>
      <c r="D1247">
        <v>3001223</v>
      </c>
      <c r="E1247">
        <v>3001223</v>
      </c>
      <c r="F1247" t="s">
        <v>1086</v>
      </c>
      <c r="G1247" t="s">
        <v>1086</v>
      </c>
      <c r="H1247" t="s">
        <v>54</v>
      </c>
      <c r="I1247">
        <v>6958352</v>
      </c>
      <c r="J1247" s="12">
        <v>46120</v>
      </c>
      <c r="K1247" s="12">
        <v>46120</v>
      </c>
      <c r="L1247" s="12">
        <v>46120</v>
      </c>
      <c r="M1247">
        <v>12</v>
      </c>
      <c r="N1247">
        <v>-2180000</v>
      </c>
      <c r="O1247">
        <v>-2180000</v>
      </c>
      <c r="P1247">
        <v>0</v>
      </c>
      <c r="Q1247">
        <v>-2180000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 t="s">
        <v>47</v>
      </c>
      <c r="AA1247" t="s">
        <v>1087</v>
      </c>
      <c r="AB1247" t="s">
        <v>51</v>
      </c>
      <c r="AC1247" t="s">
        <v>51</v>
      </c>
      <c r="AD1247" t="s">
        <v>51</v>
      </c>
      <c r="AE1247" t="s">
        <v>51</v>
      </c>
      <c r="AF1247" t="s">
        <v>1122</v>
      </c>
    </row>
    <row r="1248" spans="1:32" ht="14.5" customHeight="1" x14ac:dyDescent="0.35">
      <c r="A1248" t="s">
        <v>498</v>
      </c>
      <c r="B1248" t="s">
        <v>652</v>
      </c>
      <c r="C1248" t="s">
        <v>47</v>
      </c>
      <c r="D1248">
        <v>3001223</v>
      </c>
      <c r="E1248">
        <v>3001223</v>
      </c>
      <c r="F1248" t="s">
        <v>1086</v>
      </c>
      <c r="G1248" t="s">
        <v>1086</v>
      </c>
      <c r="H1248" t="s">
        <v>54</v>
      </c>
      <c r="I1248">
        <v>6958353</v>
      </c>
      <c r="J1248" s="12">
        <v>46120</v>
      </c>
      <c r="K1248" s="12">
        <v>46120</v>
      </c>
      <c r="L1248" s="12">
        <v>46120</v>
      </c>
      <c r="M1248">
        <v>12</v>
      </c>
      <c r="N1248">
        <v>-1090000</v>
      </c>
      <c r="O1248">
        <v>-1090000</v>
      </c>
      <c r="P1248">
        <v>0</v>
      </c>
      <c r="Q1248">
        <v>-1090000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 t="s">
        <v>47</v>
      </c>
      <c r="AA1248" t="s">
        <v>1087</v>
      </c>
      <c r="AB1248" t="s">
        <v>51</v>
      </c>
      <c r="AC1248" t="s">
        <v>51</v>
      </c>
      <c r="AD1248" t="s">
        <v>51</v>
      </c>
      <c r="AE1248" t="s">
        <v>51</v>
      </c>
      <c r="AF1248" t="s">
        <v>1146</v>
      </c>
    </row>
    <row r="1249" spans="1:32" ht="14.5" customHeight="1" x14ac:dyDescent="0.35">
      <c r="A1249" t="s">
        <v>498</v>
      </c>
      <c r="B1249" t="s">
        <v>652</v>
      </c>
      <c r="C1249" t="s">
        <v>47</v>
      </c>
      <c r="D1249">
        <v>3001223</v>
      </c>
      <c r="E1249">
        <v>3001223</v>
      </c>
      <c r="F1249" t="s">
        <v>1086</v>
      </c>
      <c r="G1249" t="s">
        <v>1086</v>
      </c>
      <c r="H1249" t="s">
        <v>54</v>
      </c>
      <c r="I1249">
        <v>6958354</v>
      </c>
      <c r="J1249" s="12">
        <v>46120</v>
      </c>
      <c r="K1249" s="12">
        <v>46120</v>
      </c>
      <c r="L1249" s="12">
        <v>46120</v>
      </c>
      <c r="M1249">
        <v>12</v>
      </c>
      <c r="N1249">
        <v>-1090000</v>
      </c>
      <c r="O1249">
        <v>-1090000</v>
      </c>
      <c r="P1249">
        <v>0</v>
      </c>
      <c r="Q1249">
        <v>-1090000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 t="s">
        <v>47</v>
      </c>
      <c r="AA1249" t="s">
        <v>1087</v>
      </c>
      <c r="AB1249" t="s">
        <v>51</v>
      </c>
      <c r="AC1249" t="s">
        <v>51</v>
      </c>
      <c r="AD1249" t="s">
        <v>51</v>
      </c>
      <c r="AE1249" t="s">
        <v>51</v>
      </c>
      <c r="AF1249" t="s">
        <v>1125</v>
      </c>
    </row>
    <row r="1250" spans="1:32" ht="14.5" customHeight="1" x14ac:dyDescent="0.35">
      <c r="A1250" t="s">
        <v>498</v>
      </c>
      <c r="B1250" t="s">
        <v>652</v>
      </c>
      <c r="C1250" t="s">
        <v>47</v>
      </c>
      <c r="D1250">
        <v>3001223</v>
      </c>
      <c r="E1250">
        <v>3001223</v>
      </c>
      <c r="F1250" t="s">
        <v>1086</v>
      </c>
      <c r="G1250" t="s">
        <v>1086</v>
      </c>
      <c r="H1250" t="s">
        <v>54</v>
      </c>
      <c r="I1250">
        <v>6958355</v>
      </c>
      <c r="J1250" s="12">
        <v>46120</v>
      </c>
      <c r="K1250" s="12">
        <v>46120</v>
      </c>
      <c r="L1250" s="12">
        <v>46120</v>
      </c>
      <c r="M1250">
        <v>12</v>
      </c>
      <c r="N1250">
        <v>-1090000</v>
      </c>
      <c r="O1250">
        <v>-1090000</v>
      </c>
      <c r="P1250">
        <v>0</v>
      </c>
      <c r="Q1250">
        <v>-1090000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 t="s">
        <v>47</v>
      </c>
      <c r="AA1250" t="s">
        <v>1087</v>
      </c>
      <c r="AB1250" t="s">
        <v>51</v>
      </c>
      <c r="AC1250" t="s">
        <v>51</v>
      </c>
      <c r="AD1250" t="s">
        <v>51</v>
      </c>
      <c r="AE1250" t="s">
        <v>51</v>
      </c>
      <c r="AF1250" t="s">
        <v>1147</v>
      </c>
    </row>
    <row r="1251" spans="1:32" ht="14.5" customHeight="1" x14ac:dyDescent="0.35">
      <c r="A1251" t="s">
        <v>498</v>
      </c>
      <c r="B1251" t="s">
        <v>652</v>
      </c>
      <c r="C1251" t="s">
        <v>47</v>
      </c>
      <c r="D1251">
        <v>3001223</v>
      </c>
      <c r="E1251">
        <v>3001223</v>
      </c>
      <c r="F1251" t="s">
        <v>1086</v>
      </c>
      <c r="G1251" t="s">
        <v>1086</v>
      </c>
      <c r="H1251" t="s">
        <v>54</v>
      </c>
      <c r="I1251">
        <v>6958356</v>
      </c>
      <c r="J1251" s="12">
        <v>46120</v>
      </c>
      <c r="K1251" s="12">
        <v>46120</v>
      </c>
      <c r="L1251" s="12">
        <v>46120</v>
      </c>
      <c r="M1251">
        <v>12</v>
      </c>
      <c r="N1251">
        <v>-3270000</v>
      </c>
      <c r="O1251">
        <v>-3270000</v>
      </c>
      <c r="P1251">
        <v>0</v>
      </c>
      <c r="Q1251">
        <v>-3270000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 t="s">
        <v>47</v>
      </c>
      <c r="AA1251" t="s">
        <v>1087</v>
      </c>
      <c r="AB1251" t="s">
        <v>51</v>
      </c>
      <c r="AC1251" t="s">
        <v>51</v>
      </c>
      <c r="AD1251" t="s">
        <v>51</v>
      </c>
      <c r="AE1251" t="s">
        <v>51</v>
      </c>
      <c r="AF1251" t="s">
        <v>1146</v>
      </c>
    </row>
    <row r="1252" spans="1:32" ht="14.5" customHeight="1" x14ac:dyDescent="0.35">
      <c r="A1252" t="s">
        <v>498</v>
      </c>
      <c r="B1252" t="s">
        <v>652</v>
      </c>
      <c r="C1252" t="s">
        <v>47</v>
      </c>
      <c r="D1252">
        <v>3001223</v>
      </c>
      <c r="E1252">
        <v>3001223</v>
      </c>
      <c r="F1252" t="s">
        <v>1086</v>
      </c>
      <c r="G1252" t="s">
        <v>1086</v>
      </c>
      <c r="H1252" t="s">
        <v>54</v>
      </c>
      <c r="I1252">
        <v>6958357</v>
      </c>
      <c r="J1252" s="12">
        <v>46120</v>
      </c>
      <c r="K1252" s="12">
        <v>46120</v>
      </c>
      <c r="L1252" s="12">
        <v>46120</v>
      </c>
      <c r="M1252">
        <v>12</v>
      </c>
      <c r="N1252">
        <v>-3270000</v>
      </c>
      <c r="O1252">
        <v>-3270000</v>
      </c>
      <c r="P1252">
        <v>0</v>
      </c>
      <c r="Q1252">
        <v>-3270000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 t="s">
        <v>47</v>
      </c>
      <c r="AA1252" t="s">
        <v>1087</v>
      </c>
      <c r="AB1252" t="s">
        <v>51</v>
      </c>
      <c r="AC1252" t="s">
        <v>51</v>
      </c>
      <c r="AD1252" t="s">
        <v>51</v>
      </c>
      <c r="AE1252" t="s">
        <v>51</v>
      </c>
      <c r="AF1252" t="s">
        <v>1125</v>
      </c>
    </row>
    <row r="1253" spans="1:32" ht="14.5" customHeight="1" x14ac:dyDescent="0.35">
      <c r="A1253" t="s">
        <v>498</v>
      </c>
      <c r="B1253" t="s">
        <v>652</v>
      </c>
      <c r="C1253" t="s">
        <v>47</v>
      </c>
      <c r="D1253">
        <v>3001223</v>
      </c>
      <c r="E1253">
        <v>3001223</v>
      </c>
      <c r="F1253" t="s">
        <v>1086</v>
      </c>
      <c r="G1253" t="s">
        <v>1086</v>
      </c>
      <c r="H1253" t="s">
        <v>54</v>
      </c>
      <c r="I1253">
        <v>6958358</v>
      </c>
      <c r="J1253" s="12">
        <v>46120</v>
      </c>
      <c r="K1253" s="12">
        <v>46120</v>
      </c>
      <c r="L1253" s="12">
        <v>46120</v>
      </c>
      <c r="M1253">
        <v>12</v>
      </c>
      <c r="N1253">
        <v>-3270000</v>
      </c>
      <c r="O1253">
        <v>-3270000</v>
      </c>
      <c r="P1253">
        <v>0</v>
      </c>
      <c r="Q1253">
        <v>-3270000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 t="s">
        <v>47</v>
      </c>
      <c r="AA1253" t="s">
        <v>1087</v>
      </c>
      <c r="AB1253" t="s">
        <v>51</v>
      </c>
      <c r="AC1253" t="s">
        <v>51</v>
      </c>
      <c r="AD1253" t="s">
        <v>51</v>
      </c>
      <c r="AE1253" t="s">
        <v>51</v>
      </c>
      <c r="AF1253" t="s">
        <v>1147</v>
      </c>
    </row>
    <row r="1254" spans="1:32" ht="14.5" customHeight="1" x14ac:dyDescent="0.35">
      <c r="A1254" t="s">
        <v>498</v>
      </c>
      <c r="B1254" t="s">
        <v>652</v>
      </c>
      <c r="C1254" t="s">
        <v>47</v>
      </c>
      <c r="D1254">
        <v>3001223</v>
      </c>
      <c r="E1254">
        <v>3001223</v>
      </c>
      <c r="F1254" t="s">
        <v>1086</v>
      </c>
      <c r="G1254" t="s">
        <v>1086</v>
      </c>
      <c r="H1254" t="s">
        <v>54</v>
      </c>
      <c r="I1254">
        <v>6958359</v>
      </c>
      <c r="J1254" s="12">
        <v>46120</v>
      </c>
      <c r="K1254" s="12">
        <v>46120</v>
      </c>
      <c r="L1254" s="12">
        <v>46120</v>
      </c>
      <c r="M1254">
        <v>12</v>
      </c>
      <c r="N1254">
        <v>-3052000</v>
      </c>
      <c r="O1254">
        <v>-3052000</v>
      </c>
      <c r="P1254">
        <v>0</v>
      </c>
      <c r="Q1254">
        <v>-3052000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 t="s">
        <v>47</v>
      </c>
      <c r="AA1254" t="s">
        <v>1087</v>
      </c>
      <c r="AB1254" t="s">
        <v>51</v>
      </c>
      <c r="AC1254" t="s">
        <v>51</v>
      </c>
      <c r="AD1254" t="s">
        <v>51</v>
      </c>
      <c r="AE1254" t="s">
        <v>51</v>
      </c>
      <c r="AF1254" t="s">
        <v>1097</v>
      </c>
    </row>
    <row r="1255" spans="1:32" ht="14.5" customHeight="1" x14ac:dyDescent="0.35">
      <c r="A1255" t="s">
        <v>498</v>
      </c>
      <c r="B1255" t="s">
        <v>652</v>
      </c>
      <c r="C1255" t="s">
        <v>47</v>
      </c>
      <c r="D1255">
        <v>3001223</v>
      </c>
      <c r="E1255">
        <v>3001223</v>
      </c>
      <c r="F1255" t="s">
        <v>1086</v>
      </c>
      <c r="G1255" t="s">
        <v>1086</v>
      </c>
      <c r="H1255" t="s">
        <v>54</v>
      </c>
      <c r="I1255">
        <v>6958360</v>
      </c>
      <c r="J1255" s="12">
        <v>46120</v>
      </c>
      <c r="K1255" s="12">
        <v>46120</v>
      </c>
      <c r="L1255" s="12">
        <v>46120</v>
      </c>
      <c r="M1255">
        <v>12</v>
      </c>
      <c r="N1255">
        <v>-3052000</v>
      </c>
      <c r="O1255">
        <v>-3052000</v>
      </c>
      <c r="P1255">
        <v>0</v>
      </c>
      <c r="Q1255">
        <v>-3052000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 t="s">
        <v>47</v>
      </c>
      <c r="AA1255" t="s">
        <v>1087</v>
      </c>
      <c r="AB1255" t="s">
        <v>51</v>
      </c>
      <c r="AC1255" t="s">
        <v>51</v>
      </c>
      <c r="AD1255" t="s">
        <v>51</v>
      </c>
      <c r="AE1255" t="s">
        <v>51</v>
      </c>
      <c r="AF1255" t="s">
        <v>1141</v>
      </c>
    </row>
    <row r="1256" spans="1:32" ht="14.5" customHeight="1" x14ac:dyDescent="0.35">
      <c r="A1256" t="s">
        <v>498</v>
      </c>
      <c r="B1256" t="s">
        <v>652</v>
      </c>
      <c r="C1256" t="s">
        <v>47</v>
      </c>
      <c r="D1256">
        <v>3001223</v>
      </c>
      <c r="E1256">
        <v>3001223</v>
      </c>
      <c r="F1256" t="s">
        <v>1086</v>
      </c>
      <c r="G1256" t="s">
        <v>1086</v>
      </c>
      <c r="H1256" t="s">
        <v>54</v>
      </c>
      <c r="I1256">
        <v>6958361</v>
      </c>
      <c r="J1256" s="12">
        <v>46120</v>
      </c>
      <c r="K1256" s="12">
        <v>46120</v>
      </c>
      <c r="L1256" s="12">
        <v>46120</v>
      </c>
      <c r="M1256">
        <v>12</v>
      </c>
      <c r="N1256">
        <v>-2180000</v>
      </c>
      <c r="O1256">
        <v>-2180000</v>
      </c>
      <c r="P1256">
        <v>0</v>
      </c>
      <c r="Q1256">
        <v>-2180000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 t="s">
        <v>47</v>
      </c>
      <c r="AA1256" t="s">
        <v>1087</v>
      </c>
      <c r="AB1256" t="s">
        <v>51</v>
      </c>
      <c r="AC1256" t="s">
        <v>51</v>
      </c>
      <c r="AD1256" t="s">
        <v>51</v>
      </c>
      <c r="AE1256" t="s">
        <v>51</v>
      </c>
      <c r="AF1256" t="s">
        <v>1148</v>
      </c>
    </row>
    <row r="1257" spans="1:32" ht="14.5" customHeight="1" x14ac:dyDescent="0.35">
      <c r="A1257" t="s">
        <v>498</v>
      </c>
      <c r="B1257" t="s">
        <v>652</v>
      </c>
      <c r="C1257" t="s">
        <v>47</v>
      </c>
      <c r="D1257">
        <v>3001223</v>
      </c>
      <c r="E1257">
        <v>3001223</v>
      </c>
      <c r="F1257" t="s">
        <v>1086</v>
      </c>
      <c r="G1257" t="s">
        <v>1086</v>
      </c>
      <c r="H1257" t="s">
        <v>54</v>
      </c>
      <c r="I1257">
        <v>6958481</v>
      </c>
      <c r="J1257" s="12">
        <v>46121</v>
      </c>
      <c r="K1257" s="12">
        <v>46121</v>
      </c>
      <c r="L1257" s="12">
        <v>46121</v>
      </c>
      <c r="M1257">
        <v>11</v>
      </c>
      <c r="N1257">
        <v>-94640</v>
      </c>
      <c r="O1257">
        <v>-94640</v>
      </c>
      <c r="P1257">
        <v>0</v>
      </c>
      <c r="Q1257">
        <v>-94640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 t="s">
        <v>47</v>
      </c>
      <c r="AA1257" t="s">
        <v>1087</v>
      </c>
      <c r="AB1257" t="s">
        <v>51</v>
      </c>
      <c r="AC1257" t="s">
        <v>51</v>
      </c>
      <c r="AD1257" t="s">
        <v>51</v>
      </c>
      <c r="AE1257" t="s">
        <v>51</v>
      </c>
      <c r="AF1257" t="s">
        <v>1089</v>
      </c>
    </row>
    <row r="1258" spans="1:32" ht="14.5" customHeight="1" x14ac:dyDescent="0.35">
      <c r="A1258" t="s">
        <v>498</v>
      </c>
      <c r="B1258" t="s">
        <v>652</v>
      </c>
      <c r="C1258" t="s">
        <v>47</v>
      </c>
      <c r="D1258">
        <v>3001223</v>
      </c>
      <c r="E1258">
        <v>3001223</v>
      </c>
      <c r="F1258" t="s">
        <v>1086</v>
      </c>
      <c r="G1258" t="s">
        <v>1086</v>
      </c>
      <c r="H1258" t="s">
        <v>54</v>
      </c>
      <c r="I1258">
        <v>6958482</v>
      </c>
      <c r="J1258" s="12">
        <v>46121</v>
      </c>
      <c r="K1258" s="12">
        <v>46121</v>
      </c>
      <c r="L1258" s="12">
        <v>46121</v>
      </c>
      <c r="M1258">
        <v>11</v>
      </c>
      <c r="N1258">
        <v>-70672</v>
      </c>
      <c r="O1258">
        <v>-70672</v>
      </c>
      <c r="P1258">
        <v>0</v>
      </c>
      <c r="Q1258">
        <v>-70672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 t="s">
        <v>47</v>
      </c>
      <c r="AA1258" t="s">
        <v>1087</v>
      </c>
      <c r="AB1258" t="s">
        <v>51</v>
      </c>
      <c r="AC1258" t="s">
        <v>51</v>
      </c>
      <c r="AD1258" t="s">
        <v>51</v>
      </c>
      <c r="AE1258" t="s">
        <v>51</v>
      </c>
      <c r="AF1258" t="s">
        <v>1089</v>
      </c>
    </row>
    <row r="1259" spans="1:32" ht="14.5" customHeight="1" x14ac:dyDescent="0.35">
      <c r="A1259" t="s">
        <v>498</v>
      </c>
      <c r="B1259" t="s">
        <v>652</v>
      </c>
      <c r="C1259" t="s">
        <v>47</v>
      </c>
      <c r="D1259">
        <v>3001223</v>
      </c>
      <c r="E1259">
        <v>3001223</v>
      </c>
      <c r="F1259" t="s">
        <v>1086</v>
      </c>
      <c r="G1259" t="s">
        <v>1086</v>
      </c>
      <c r="H1259" t="s">
        <v>54</v>
      </c>
      <c r="I1259">
        <v>6958515</v>
      </c>
      <c r="J1259" s="12">
        <v>46121</v>
      </c>
      <c r="K1259" s="12">
        <v>46121</v>
      </c>
      <c r="L1259" s="12">
        <v>46121</v>
      </c>
      <c r="M1259">
        <v>11</v>
      </c>
      <c r="N1259">
        <v>-20648928</v>
      </c>
      <c r="O1259">
        <v>-20648928</v>
      </c>
      <c r="P1259">
        <v>0</v>
      </c>
      <c r="Q1259">
        <v>-20648928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 t="s">
        <v>47</v>
      </c>
      <c r="AA1259" t="s">
        <v>1087</v>
      </c>
      <c r="AB1259" t="s">
        <v>51</v>
      </c>
      <c r="AC1259" t="s">
        <v>51</v>
      </c>
      <c r="AD1259" t="s">
        <v>51</v>
      </c>
      <c r="AE1259" t="s">
        <v>51</v>
      </c>
      <c r="AF1259" t="s">
        <v>1149</v>
      </c>
    </row>
    <row r="1260" spans="1:32" ht="14.5" customHeight="1" x14ac:dyDescent="0.35">
      <c r="A1260" t="s">
        <v>498</v>
      </c>
      <c r="B1260" t="s">
        <v>652</v>
      </c>
      <c r="C1260" t="s">
        <v>47</v>
      </c>
      <c r="D1260">
        <v>3001223</v>
      </c>
      <c r="E1260">
        <v>3001223</v>
      </c>
      <c r="F1260" t="s">
        <v>1086</v>
      </c>
      <c r="G1260" t="s">
        <v>1086</v>
      </c>
      <c r="H1260" t="s">
        <v>54</v>
      </c>
      <c r="I1260">
        <v>6958624</v>
      </c>
      <c r="J1260" s="12">
        <v>46121</v>
      </c>
      <c r="K1260" s="12">
        <v>46121</v>
      </c>
      <c r="L1260" s="12">
        <v>46121</v>
      </c>
      <c r="M1260">
        <v>11</v>
      </c>
      <c r="N1260">
        <v>-77825</v>
      </c>
      <c r="O1260">
        <v>-77825</v>
      </c>
      <c r="P1260">
        <v>0</v>
      </c>
      <c r="Q1260">
        <v>-77825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 t="s">
        <v>47</v>
      </c>
      <c r="AA1260" t="s">
        <v>1087</v>
      </c>
      <c r="AB1260" t="s">
        <v>51</v>
      </c>
      <c r="AC1260" t="s">
        <v>51</v>
      </c>
      <c r="AD1260" t="s">
        <v>51</v>
      </c>
      <c r="AE1260" t="s">
        <v>51</v>
      </c>
      <c r="AF1260" t="s">
        <v>1089</v>
      </c>
    </row>
    <row r="1261" spans="1:32" ht="14.5" customHeight="1" x14ac:dyDescent="0.35">
      <c r="A1261" t="s">
        <v>498</v>
      </c>
      <c r="B1261" t="s">
        <v>652</v>
      </c>
      <c r="C1261" t="s">
        <v>47</v>
      </c>
      <c r="D1261">
        <v>3001223</v>
      </c>
      <c r="E1261">
        <v>3001223</v>
      </c>
      <c r="F1261" t="s">
        <v>1086</v>
      </c>
      <c r="G1261" t="s">
        <v>1086</v>
      </c>
      <c r="H1261" t="s">
        <v>54</v>
      </c>
      <c r="I1261">
        <v>6958706</v>
      </c>
      <c r="J1261" s="12">
        <v>46122</v>
      </c>
      <c r="K1261" s="12">
        <v>46122</v>
      </c>
      <c r="L1261" s="12">
        <v>46122</v>
      </c>
      <c r="M1261">
        <v>10</v>
      </c>
      <c r="N1261">
        <v>-8720000</v>
      </c>
      <c r="O1261">
        <v>-8720000</v>
      </c>
      <c r="P1261">
        <v>0</v>
      </c>
      <c r="Q1261">
        <v>-8720000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 t="s">
        <v>47</v>
      </c>
      <c r="AA1261" t="s">
        <v>1087</v>
      </c>
      <c r="AB1261" t="s">
        <v>51</v>
      </c>
      <c r="AC1261" t="s">
        <v>51</v>
      </c>
      <c r="AD1261" t="s">
        <v>51</v>
      </c>
      <c r="AE1261" t="s">
        <v>51</v>
      </c>
      <c r="AF1261" t="s">
        <v>1150</v>
      </c>
    </row>
    <row r="1262" spans="1:32" ht="14.5" customHeight="1" x14ac:dyDescent="0.35">
      <c r="A1262" t="s">
        <v>498</v>
      </c>
      <c r="B1262" t="s">
        <v>652</v>
      </c>
      <c r="C1262" t="s">
        <v>47</v>
      </c>
      <c r="D1262">
        <v>3001223</v>
      </c>
      <c r="E1262">
        <v>3001223</v>
      </c>
      <c r="F1262" t="s">
        <v>1086</v>
      </c>
      <c r="G1262" t="s">
        <v>1086</v>
      </c>
      <c r="H1262" t="s">
        <v>54</v>
      </c>
      <c r="I1262">
        <v>6958905</v>
      </c>
      <c r="J1262" s="12">
        <v>46125</v>
      </c>
      <c r="K1262" s="12">
        <v>46125</v>
      </c>
      <c r="L1262" s="12">
        <v>46125</v>
      </c>
      <c r="M1262">
        <v>7</v>
      </c>
      <c r="N1262">
        <v>-182700</v>
      </c>
      <c r="O1262">
        <v>-182700</v>
      </c>
      <c r="P1262">
        <v>0</v>
      </c>
      <c r="Q1262">
        <v>-182700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 t="s">
        <v>47</v>
      </c>
      <c r="AA1262" t="s">
        <v>1087</v>
      </c>
      <c r="AB1262" t="s">
        <v>51</v>
      </c>
      <c r="AC1262" t="s">
        <v>51</v>
      </c>
      <c r="AD1262" t="s">
        <v>51</v>
      </c>
      <c r="AE1262" t="s">
        <v>51</v>
      </c>
      <c r="AF1262" t="s">
        <v>1102</v>
      </c>
    </row>
    <row r="1263" spans="1:32" ht="14.5" customHeight="1" x14ac:dyDescent="0.35">
      <c r="A1263" t="s">
        <v>498</v>
      </c>
      <c r="B1263" t="s">
        <v>652</v>
      </c>
      <c r="C1263" t="s">
        <v>47</v>
      </c>
      <c r="D1263">
        <v>3001223</v>
      </c>
      <c r="E1263">
        <v>3001223</v>
      </c>
      <c r="F1263" t="s">
        <v>1086</v>
      </c>
      <c r="G1263" t="s">
        <v>1086</v>
      </c>
      <c r="H1263" t="s">
        <v>54</v>
      </c>
      <c r="I1263">
        <v>6958910</v>
      </c>
      <c r="J1263" s="12">
        <v>46125</v>
      </c>
      <c r="K1263" s="12">
        <v>46125</v>
      </c>
      <c r="L1263" s="12">
        <v>46125</v>
      </c>
      <c r="M1263">
        <v>7</v>
      </c>
      <c r="N1263">
        <v>-1635000</v>
      </c>
      <c r="O1263">
        <v>-1635000</v>
      </c>
      <c r="P1263">
        <v>0</v>
      </c>
      <c r="Q1263">
        <v>-1635000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 t="s">
        <v>47</v>
      </c>
      <c r="AA1263" t="s">
        <v>1087</v>
      </c>
      <c r="AB1263" t="s">
        <v>51</v>
      </c>
      <c r="AC1263" t="s">
        <v>51</v>
      </c>
      <c r="AD1263" t="s">
        <v>51</v>
      </c>
      <c r="AE1263" t="s">
        <v>51</v>
      </c>
      <c r="AF1263" t="s">
        <v>1151</v>
      </c>
    </row>
    <row r="1264" spans="1:32" ht="14.5" customHeight="1" x14ac:dyDescent="0.35">
      <c r="A1264" t="s">
        <v>498</v>
      </c>
      <c r="B1264" t="s">
        <v>652</v>
      </c>
      <c r="C1264" t="s">
        <v>47</v>
      </c>
      <c r="D1264">
        <v>3001223</v>
      </c>
      <c r="E1264">
        <v>3001223</v>
      </c>
      <c r="F1264" t="s">
        <v>1086</v>
      </c>
      <c r="G1264" t="s">
        <v>1086</v>
      </c>
      <c r="H1264" t="s">
        <v>54</v>
      </c>
      <c r="I1264">
        <v>6958986</v>
      </c>
      <c r="J1264" s="12">
        <v>46125</v>
      </c>
      <c r="K1264" s="12">
        <v>46125</v>
      </c>
      <c r="L1264" s="12">
        <v>46125</v>
      </c>
      <c r="M1264">
        <v>7</v>
      </c>
      <c r="N1264">
        <v>-925525</v>
      </c>
      <c r="O1264">
        <v>-925525</v>
      </c>
      <c r="P1264">
        <v>0</v>
      </c>
      <c r="Q1264">
        <v>-925525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 t="s">
        <v>47</v>
      </c>
      <c r="AA1264" t="s">
        <v>1087</v>
      </c>
      <c r="AB1264" t="s">
        <v>51</v>
      </c>
      <c r="AC1264" t="s">
        <v>51</v>
      </c>
      <c r="AD1264" t="s">
        <v>51</v>
      </c>
      <c r="AE1264" t="s">
        <v>51</v>
      </c>
      <c r="AF1264" t="s">
        <v>1121</v>
      </c>
    </row>
    <row r="1265" spans="1:32" ht="14.5" customHeight="1" x14ac:dyDescent="0.35">
      <c r="A1265" t="s">
        <v>498</v>
      </c>
      <c r="B1265" t="s">
        <v>652</v>
      </c>
      <c r="C1265" t="s">
        <v>47</v>
      </c>
      <c r="D1265">
        <v>3001223</v>
      </c>
      <c r="E1265">
        <v>3001223</v>
      </c>
      <c r="F1265" t="s">
        <v>1086</v>
      </c>
      <c r="G1265" t="s">
        <v>1086</v>
      </c>
      <c r="H1265" t="s">
        <v>54</v>
      </c>
      <c r="I1265">
        <v>6959258</v>
      </c>
      <c r="J1265" s="12">
        <v>46126</v>
      </c>
      <c r="K1265" s="12">
        <v>46126</v>
      </c>
      <c r="L1265" s="12">
        <v>46126</v>
      </c>
      <c r="M1265">
        <v>6</v>
      </c>
      <c r="N1265">
        <v>-47404147</v>
      </c>
      <c r="O1265">
        <v>-47404147</v>
      </c>
      <c r="P1265">
        <v>0</v>
      </c>
      <c r="Q1265">
        <v>-47404147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 t="s">
        <v>47</v>
      </c>
      <c r="AA1265" t="s">
        <v>1087</v>
      </c>
      <c r="AB1265" t="s">
        <v>51</v>
      </c>
      <c r="AC1265" t="s">
        <v>51</v>
      </c>
      <c r="AD1265" t="s">
        <v>51</v>
      </c>
      <c r="AE1265" t="s">
        <v>51</v>
      </c>
      <c r="AF1265" t="s">
        <v>1152</v>
      </c>
    </row>
    <row r="1266" spans="1:32" ht="14.5" customHeight="1" x14ac:dyDescent="0.35">
      <c r="A1266" t="s">
        <v>498</v>
      </c>
      <c r="B1266" t="s">
        <v>652</v>
      </c>
      <c r="C1266" t="s">
        <v>47</v>
      </c>
      <c r="D1266">
        <v>3001223</v>
      </c>
      <c r="E1266">
        <v>3001223</v>
      </c>
      <c r="F1266" t="s">
        <v>1086</v>
      </c>
      <c r="G1266" t="s">
        <v>1086</v>
      </c>
      <c r="H1266" t="s">
        <v>54</v>
      </c>
      <c r="I1266">
        <v>6960022</v>
      </c>
      <c r="J1266" s="12">
        <v>46130</v>
      </c>
      <c r="K1266" s="12">
        <v>46130</v>
      </c>
      <c r="L1266" s="12">
        <v>46130</v>
      </c>
      <c r="M1266">
        <v>2</v>
      </c>
      <c r="N1266">
        <v>-597690</v>
      </c>
      <c r="O1266">
        <v>-597690</v>
      </c>
      <c r="P1266">
        <v>0</v>
      </c>
      <c r="Q1266">
        <v>-597690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 t="s">
        <v>47</v>
      </c>
      <c r="AA1266" t="s">
        <v>1087</v>
      </c>
      <c r="AB1266" t="s">
        <v>51</v>
      </c>
      <c r="AC1266" t="s">
        <v>51</v>
      </c>
      <c r="AD1266" t="s">
        <v>51</v>
      </c>
      <c r="AE1266" t="s">
        <v>51</v>
      </c>
      <c r="AF1266" t="s">
        <v>1153</v>
      </c>
    </row>
    <row r="1267" spans="1:32" ht="14.5" customHeight="1" x14ac:dyDescent="0.35">
      <c r="A1267" t="s">
        <v>498</v>
      </c>
      <c r="B1267" t="s">
        <v>652</v>
      </c>
      <c r="C1267" t="s">
        <v>47</v>
      </c>
      <c r="D1267">
        <v>3001223</v>
      </c>
      <c r="E1267">
        <v>3001223</v>
      </c>
      <c r="F1267" t="s">
        <v>1086</v>
      </c>
      <c r="G1267" t="s">
        <v>1086</v>
      </c>
      <c r="H1267" t="s">
        <v>54</v>
      </c>
      <c r="I1267">
        <v>6960023</v>
      </c>
      <c r="J1267" s="12">
        <v>46130</v>
      </c>
      <c r="K1267" s="12">
        <v>46130</v>
      </c>
      <c r="L1267" s="12">
        <v>46130</v>
      </c>
      <c r="M1267">
        <v>2</v>
      </c>
      <c r="N1267">
        <v>-237259</v>
      </c>
      <c r="O1267">
        <v>-237259</v>
      </c>
      <c r="P1267">
        <v>0</v>
      </c>
      <c r="Q1267">
        <v>-237259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 t="s">
        <v>47</v>
      </c>
      <c r="AA1267" t="s">
        <v>1087</v>
      </c>
      <c r="AB1267" t="s">
        <v>51</v>
      </c>
      <c r="AC1267" t="s">
        <v>51</v>
      </c>
      <c r="AD1267" t="s">
        <v>51</v>
      </c>
      <c r="AE1267" t="s">
        <v>51</v>
      </c>
      <c r="AF1267" t="s">
        <v>1154</v>
      </c>
    </row>
    <row r="1268" spans="1:32" ht="14.5" customHeight="1" x14ac:dyDescent="0.35">
      <c r="A1268" t="s">
        <v>498</v>
      </c>
      <c r="B1268" t="s">
        <v>652</v>
      </c>
      <c r="C1268" t="s">
        <v>47</v>
      </c>
      <c r="D1268">
        <v>3001223</v>
      </c>
      <c r="E1268">
        <v>3001223</v>
      </c>
      <c r="F1268" t="s">
        <v>1086</v>
      </c>
      <c r="G1268" t="s">
        <v>1086</v>
      </c>
      <c r="H1268" t="s">
        <v>54</v>
      </c>
      <c r="I1268">
        <v>6960024</v>
      </c>
      <c r="J1268" s="12">
        <v>46130</v>
      </c>
      <c r="K1268" s="12">
        <v>46130</v>
      </c>
      <c r="L1268" s="12">
        <v>46130</v>
      </c>
      <c r="M1268">
        <v>2</v>
      </c>
      <c r="N1268">
        <v>-749076</v>
      </c>
      <c r="O1268">
        <v>-749076</v>
      </c>
      <c r="P1268">
        <v>0</v>
      </c>
      <c r="Q1268">
        <v>-749076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 t="s">
        <v>47</v>
      </c>
      <c r="AA1268" t="s">
        <v>1087</v>
      </c>
      <c r="AB1268" t="s">
        <v>51</v>
      </c>
      <c r="AC1268" t="s">
        <v>51</v>
      </c>
      <c r="AD1268" t="s">
        <v>51</v>
      </c>
      <c r="AE1268" t="s">
        <v>51</v>
      </c>
      <c r="AF1268" t="s">
        <v>1155</v>
      </c>
    </row>
    <row r="1269" spans="1:32" ht="14.5" customHeight="1" x14ac:dyDescent="0.35">
      <c r="A1269" t="s">
        <v>498</v>
      </c>
      <c r="B1269" t="s">
        <v>652</v>
      </c>
      <c r="C1269" t="s">
        <v>47</v>
      </c>
      <c r="D1269">
        <v>3001223</v>
      </c>
      <c r="E1269">
        <v>3001223</v>
      </c>
      <c r="F1269" t="s">
        <v>1086</v>
      </c>
      <c r="G1269" t="s">
        <v>1086</v>
      </c>
      <c r="H1269" t="s">
        <v>54</v>
      </c>
      <c r="I1269">
        <v>6960025</v>
      </c>
      <c r="J1269" s="12">
        <v>46130</v>
      </c>
      <c r="K1269" s="12">
        <v>46130</v>
      </c>
      <c r="L1269" s="12">
        <v>46130</v>
      </c>
      <c r="M1269">
        <v>2</v>
      </c>
      <c r="N1269">
        <v>-1692175</v>
      </c>
      <c r="O1269">
        <v>-1692175</v>
      </c>
      <c r="P1269">
        <v>0</v>
      </c>
      <c r="Q1269">
        <v>-1692175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 t="s">
        <v>47</v>
      </c>
      <c r="AA1269" t="s">
        <v>1087</v>
      </c>
      <c r="AB1269" t="s">
        <v>51</v>
      </c>
      <c r="AC1269" t="s">
        <v>51</v>
      </c>
      <c r="AD1269" t="s">
        <v>51</v>
      </c>
      <c r="AE1269" t="s">
        <v>51</v>
      </c>
      <c r="AF1269" t="s">
        <v>1156</v>
      </c>
    </row>
    <row r="1270" spans="1:32" ht="14.5" customHeight="1" x14ac:dyDescent="0.35">
      <c r="A1270" t="s">
        <v>498</v>
      </c>
      <c r="B1270" t="s">
        <v>652</v>
      </c>
      <c r="C1270" t="s">
        <v>47</v>
      </c>
      <c r="D1270">
        <v>3001223</v>
      </c>
      <c r="E1270">
        <v>3001223</v>
      </c>
      <c r="F1270" t="s">
        <v>1086</v>
      </c>
      <c r="G1270" t="s">
        <v>1086</v>
      </c>
      <c r="H1270" t="s">
        <v>54</v>
      </c>
      <c r="I1270">
        <v>6960041</v>
      </c>
      <c r="J1270" s="12">
        <v>46130</v>
      </c>
      <c r="K1270" s="12">
        <v>46130</v>
      </c>
      <c r="L1270" s="12">
        <v>46130</v>
      </c>
      <c r="M1270">
        <v>2</v>
      </c>
      <c r="N1270">
        <v>-1131088</v>
      </c>
      <c r="O1270">
        <v>-1131088</v>
      </c>
      <c r="P1270">
        <v>0</v>
      </c>
      <c r="Q1270">
        <v>-1131088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 t="s">
        <v>47</v>
      </c>
      <c r="AA1270" t="s">
        <v>1087</v>
      </c>
      <c r="AB1270" t="s">
        <v>51</v>
      </c>
      <c r="AC1270" t="s">
        <v>51</v>
      </c>
      <c r="AD1270" t="s">
        <v>51</v>
      </c>
      <c r="AE1270" t="s">
        <v>51</v>
      </c>
      <c r="AF1270" t="s">
        <v>1157</v>
      </c>
    </row>
    <row r="1271" spans="1:32" ht="14.5" customHeight="1" x14ac:dyDescent="0.35">
      <c r="A1271" t="s">
        <v>498</v>
      </c>
      <c r="B1271" t="s">
        <v>652</v>
      </c>
      <c r="C1271" t="s">
        <v>47</v>
      </c>
      <c r="D1271">
        <v>3001223</v>
      </c>
      <c r="E1271">
        <v>3001223</v>
      </c>
      <c r="F1271" t="s">
        <v>1086</v>
      </c>
      <c r="G1271" t="s">
        <v>1086</v>
      </c>
      <c r="H1271" t="s">
        <v>54</v>
      </c>
      <c r="I1271">
        <v>6960042</v>
      </c>
      <c r="J1271" s="12">
        <v>46130</v>
      </c>
      <c r="K1271" s="12">
        <v>46130</v>
      </c>
      <c r="L1271" s="12">
        <v>46130</v>
      </c>
      <c r="M1271">
        <v>2</v>
      </c>
      <c r="N1271">
        <v>-226120</v>
      </c>
      <c r="O1271">
        <v>-226120</v>
      </c>
      <c r="P1271">
        <v>0</v>
      </c>
      <c r="Q1271">
        <v>-226120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 t="s">
        <v>47</v>
      </c>
      <c r="AA1271" t="s">
        <v>1087</v>
      </c>
      <c r="AB1271" t="s">
        <v>51</v>
      </c>
      <c r="AC1271" t="s">
        <v>51</v>
      </c>
      <c r="AD1271" t="s">
        <v>51</v>
      </c>
      <c r="AE1271" t="s">
        <v>51</v>
      </c>
      <c r="AF1271" t="s">
        <v>1119</v>
      </c>
    </row>
    <row r="1272" spans="1:32" ht="14.5" customHeight="1" x14ac:dyDescent="0.35">
      <c r="A1272" t="s">
        <v>498</v>
      </c>
      <c r="B1272" t="s">
        <v>652</v>
      </c>
      <c r="C1272" t="s">
        <v>47</v>
      </c>
      <c r="D1272">
        <v>3001223</v>
      </c>
      <c r="E1272">
        <v>3001223</v>
      </c>
      <c r="F1272" t="s">
        <v>1086</v>
      </c>
      <c r="G1272" t="s">
        <v>1086</v>
      </c>
      <c r="H1272" t="s">
        <v>54</v>
      </c>
      <c r="I1272">
        <v>6960043</v>
      </c>
      <c r="J1272" s="12">
        <v>46130</v>
      </c>
      <c r="K1272" s="12">
        <v>46130</v>
      </c>
      <c r="L1272" s="12">
        <v>46130</v>
      </c>
      <c r="M1272">
        <v>2</v>
      </c>
      <c r="N1272">
        <v>-705680</v>
      </c>
      <c r="O1272">
        <v>-705680</v>
      </c>
      <c r="P1272">
        <v>0</v>
      </c>
      <c r="Q1272">
        <v>-705680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 t="s">
        <v>47</v>
      </c>
      <c r="AA1272" t="s">
        <v>1087</v>
      </c>
      <c r="AB1272" t="s">
        <v>51</v>
      </c>
      <c r="AC1272" t="s">
        <v>51</v>
      </c>
      <c r="AD1272" t="s">
        <v>51</v>
      </c>
      <c r="AE1272" t="s">
        <v>51</v>
      </c>
      <c r="AF1272" t="s">
        <v>1158</v>
      </c>
    </row>
    <row r="1273" spans="1:32" ht="14.5" customHeight="1" x14ac:dyDescent="0.35">
      <c r="A1273" t="s">
        <v>498</v>
      </c>
      <c r="B1273" t="s">
        <v>652</v>
      </c>
      <c r="C1273" t="s">
        <v>47</v>
      </c>
      <c r="D1273">
        <v>3001223</v>
      </c>
      <c r="E1273">
        <v>3001223</v>
      </c>
      <c r="F1273" t="s">
        <v>1086</v>
      </c>
      <c r="G1273" t="s">
        <v>1086</v>
      </c>
      <c r="H1273" t="s">
        <v>54</v>
      </c>
      <c r="I1273">
        <v>6960044</v>
      </c>
      <c r="J1273" s="12">
        <v>46130</v>
      </c>
      <c r="K1273" s="12">
        <v>46130</v>
      </c>
      <c r="L1273" s="12">
        <v>46130</v>
      </c>
      <c r="M1273">
        <v>2</v>
      </c>
      <c r="N1273">
        <v>-749031</v>
      </c>
      <c r="O1273">
        <v>-749031</v>
      </c>
      <c r="P1273">
        <v>0</v>
      </c>
      <c r="Q1273">
        <v>-749031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 t="s">
        <v>47</v>
      </c>
      <c r="AA1273" t="s">
        <v>1087</v>
      </c>
      <c r="AB1273" t="s">
        <v>51</v>
      </c>
      <c r="AC1273" t="s">
        <v>51</v>
      </c>
      <c r="AD1273" t="s">
        <v>51</v>
      </c>
      <c r="AE1273" t="s">
        <v>51</v>
      </c>
      <c r="AF1273" t="s">
        <v>1159</v>
      </c>
    </row>
    <row r="1274" spans="1:32" ht="14.5" customHeight="1" x14ac:dyDescent="0.35">
      <c r="A1274" t="s">
        <v>498</v>
      </c>
      <c r="B1274" t="s">
        <v>652</v>
      </c>
      <c r="C1274" t="s">
        <v>47</v>
      </c>
      <c r="D1274">
        <v>3001223</v>
      </c>
      <c r="E1274">
        <v>3001223</v>
      </c>
      <c r="F1274" t="s">
        <v>1086</v>
      </c>
      <c r="G1274" t="s">
        <v>1086</v>
      </c>
      <c r="H1274" t="s">
        <v>54</v>
      </c>
      <c r="I1274">
        <v>6960045</v>
      </c>
      <c r="J1274" s="12">
        <v>46130</v>
      </c>
      <c r="K1274" s="12">
        <v>46130</v>
      </c>
      <c r="L1274" s="12">
        <v>46130</v>
      </c>
      <c r="M1274">
        <v>2</v>
      </c>
      <c r="N1274">
        <v>-930084</v>
      </c>
      <c r="O1274">
        <v>-930084</v>
      </c>
      <c r="P1274">
        <v>0</v>
      </c>
      <c r="Q1274">
        <v>-930084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 t="s">
        <v>47</v>
      </c>
      <c r="AA1274" t="s">
        <v>1087</v>
      </c>
      <c r="AB1274" t="s">
        <v>51</v>
      </c>
      <c r="AC1274" t="s">
        <v>51</v>
      </c>
      <c r="AD1274" t="s">
        <v>51</v>
      </c>
      <c r="AE1274" t="s">
        <v>51</v>
      </c>
      <c r="AF1274" t="s">
        <v>1160</v>
      </c>
    </row>
    <row r="1275" spans="1:32" ht="14.5" customHeight="1" x14ac:dyDescent="0.35">
      <c r="A1275" t="s">
        <v>498</v>
      </c>
      <c r="B1275" t="s">
        <v>652</v>
      </c>
      <c r="C1275" t="s">
        <v>47</v>
      </c>
      <c r="D1275">
        <v>3001223</v>
      </c>
      <c r="E1275">
        <v>3001223</v>
      </c>
      <c r="F1275" t="s">
        <v>1086</v>
      </c>
      <c r="G1275" t="s">
        <v>1086</v>
      </c>
      <c r="H1275" t="s">
        <v>54</v>
      </c>
      <c r="I1275">
        <v>6960046</v>
      </c>
      <c r="J1275" s="12">
        <v>46130</v>
      </c>
      <c r="K1275" s="12">
        <v>46130</v>
      </c>
      <c r="L1275" s="12">
        <v>46130</v>
      </c>
      <c r="M1275">
        <v>2</v>
      </c>
      <c r="N1275">
        <v>-1312946</v>
      </c>
      <c r="O1275">
        <v>-1312946</v>
      </c>
      <c r="P1275">
        <v>0</v>
      </c>
      <c r="Q1275">
        <v>-1312946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 t="s">
        <v>47</v>
      </c>
      <c r="AA1275" t="s">
        <v>1087</v>
      </c>
      <c r="AB1275" t="s">
        <v>51</v>
      </c>
      <c r="AC1275" t="s">
        <v>51</v>
      </c>
      <c r="AD1275" t="s">
        <v>51</v>
      </c>
      <c r="AE1275" t="s">
        <v>51</v>
      </c>
      <c r="AF1275" t="s">
        <v>1161</v>
      </c>
    </row>
    <row r="1276" spans="1:32" ht="14.5" customHeight="1" x14ac:dyDescent="0.35">
      <c r="A1276" t="s">
        <v>498</v>
      </c>
      <c r="B1276" t="s">
        <v>652</v>
      </c>
      <c r="C1276" t="s">
        <v>47</v>
      </c>
      <c r="D1276">
        <v>3001223</v>
      </c>
      <c r="E1276">
        <v>3001223</v>
      </c>
      <c r="F1276" t="s">
        <v>1086</v>
      </c>
      <c r="G1276" t="s">
        <v>1086</v>
      </c>
      <c r="H1276" t="s">
        <v>54</v>
      </c>
      <c r="I1276">
        <v>6960047</v>
      </c>
      <c r="J1276" s="12">
        <v>46130</v>
      </c>
      <c r="K1276" s="12">
        <v>46130</v>
      </c>
      <c r="L1276" s="12">
        <v>46130</v>
      </c>
      <c r="M1276">
        <v>2</v>
      </c>
      <c r="N1276">
        <v>-369897</v>
      </c>
      <c r="O1276">
        <v>-369897</v>
      </c>
      <c r="P1276">
        <v>0</v>
      </c>
      <c r="Q1276">
        <v>-369897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 t="s">
        <v>47</v>
      </c>
      <c r="AA1276" t="s">
        <v>1087</v>
      </c>
      <c r="AB1276" t="s">
        <v>51</v>
      </c>
      <c r="AC1276" t="s">
        <v>51</v>
      </c>
      <c r="AD1276" t="s">
        <v>51</v>
      </c>
      <c r="AE1276" t="s">
        <v>51</v>
      </c>
      <c r="AF1276" t="s">
        <v>1162</v>
      </c>
    </row>
    <row r="1277" spans="1:32" ht="14.5" customHeight="1" x14ac:dyDescent="0.35">
      <c r="A1277" t="s">
        <v>498</v>
      </c>
      <c r="B1277" t="s">
        <v>652</v>
      </c>
      <c r="C1277" t="s">
        <v>47</v>
      </c>
      <c r="D1277">
        <v>3001223</v>
      </c>
      <c r="E1277">
        <v>3001223</v>
      </c>
      <c r="F1277" t="s">
        <v>1086</v>
      </c>
      <c r="G1277" t="s">
        <v>1086</v>
      </c>
      <c r="H1277" t="s">
        <v>54</v>
      </c>
      <c r="I1277">
        <v>6960048</v>
      </c>
      <c r="J1277" s="12">
        <v>46130</v>
      </c>
      <c r="K1277" s="12">
        <v>46130</v>
      </c>
      <c r="L1277" s="12">
        <v>46130</v>
      </c>
      <c r="M1277">
        <v>2</v>
      </c>
      <c r="N1277">
        <v>-247585</v>
      </c>
      <c r="O1277">
        <v>-247585</v>
      </c>
      <c r="P1277">
        <v>0</v>
      </c>
      <c r="Q1277">
        <v>-247585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 t="s">
        <v>47</v>
      </c>
      <c r="AA1277" t="s">
        <v>1087</v>
      </c>
      <c r="AB1277" t="s">
        <v>51</v>
      </c>
      <c r="AC1277" t="s">
        <v>51</v>
      </c>
      <c r="AD1277" t="s">
        <v>51</v>
      </c>
      <c r="AE1277" t="s">
        <v>51</v>
      </c>
      <c r="AF1277" t="s">
        <v>1163</v>
      </c>
    </row>
    <row r="1278" spans="1:32" ht="14.5" customHeight="1" x14ac:dyDescent="0.35">
      <c r="A1278" t="s">
        <v>498</v>
      </c>
      <c r="B1278" t="s">
        <v>652</v>
      </c>
      <c r="C1278" t="s">
        <v>47</v>
      </c>
      <c r="D1278">
        <v>3001223</v>
      </c>
      <c r="E1278">
        <v>3001223</v>
      </c>
      <c r="F1278" t="s">
        <v>1086</v>
      </c>
      <c r="G1278" t="s">
        <v>1086</v>
      </c>
      <c r="H1278" t="s">
        <v>54</v>
      </c>
      <c r="I1278">
        <v>6960049</v>
      </c>
      <c r="J1278" s="12">
        <v>46130</v>
      </c>
      <c r="K1278" s="12">
        <v>46130</v>
      </c>
      <c r="L1278" s="12">
        <v>46130</v>
      </c>
      <c r="M1278">
        <v>2</v>
      </c>
      <c r="N1278">
        <v>-202173</v>
      </c>
      <c r="O1278">
        <v>-202173</v>
      </c>
      <c r="P1278">
        <v>0</v>
      </c>
      <c r="Q1278">
        <v>-202173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 t="s">
        <v>47</v>
      </c>
      <c r="AA1278" t="s">
        <v>1087</v>
      </c>
      <c r="AB1278" t="s">
        <v>51</v>
      </c>
      <c r="AC1278" t="s">
        <v>51</v>
      </c>
      <c r="AD1278" t="s">
        <v>51</v>
      </c>
      <c r="AE1278" t="s">
        <v>51</v>
      </c>
      <c r="AF1278" t="s">
        <v>1164</v>
      </c>
    </row>
    <row r="1279" spans="1:32" ht="14.5" customHeight="1" x14ac:dyDescent="0.35">
      <c r="A1279" t="s">
        <v>498</v>
      </c>
      <c r="B1279" t="s">
        <v>652</v>
      </c>
      <c r="C1279" t="s">
        <v>47</v>
      </c>
      <c r="D1279">
        <v>3001223</v>
      </c>
      <c r="E1279">
        <v>3001223</v>
      </c>
      <c r="F1279" t="s">
        <v>1086</v>
      </c>
      <c r="G1279" t="s">
        <v>1086</v>
      </c>
      <c r="H1279" t="s">
        <v>54</v>
      </c>
      <c r="I1279">
        <v>6960050</v>
      </c>
      <c r="J1279" s="12">
        <v>46130</v>
      </c>
      <c r="K1279" s="12">
        <v>46130</v>
      </c>
      <c r="L1279" s="12">
        <v>46130</v>
      </c>
      <c r="M1279">
        <v>2</v>
      </c>
      <c r="N1279">
        <v>-171303</v>
      </c>
      <c r="O1279">
        <v>-171303</v>
      </c>
      <c r="P1279">
        <v>0</v>
      </c>
      <c r="Q1279">
        <v>-171303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 t="s">
        <v>47</v>
      </c>
      <c r="AA1279" t="s">
        <v>1087</v>
      </c>
      <c r="AB1279" t="s">
        <v>51</v>
      </c>
      <c r="AC1279" t="s">
        <v>51</v>
      </c>
      <c r="AD1279" t="s">
        <v>51</v>
      </c>
      <c r="AE1279" t="s">
        <v>51</v>
      </c>
      <c r="AF1279" t="s">
        <v>1165</v>
      </c>
    </row>
    <row r="1280" spans="1:32" ht="14.5" customHeight="1" x14ac:dyDescent="0.35">
      <c r="A1280" t="s">
        <v>498</v>
      </c>
      <c r="B1280" t="s">
        <v>652</v>
      </c>
      <c r="C1280" t="s">
        <v>47</v>
      </c>
      <c r="D1280">
        <v>3001223</v>
      </c>
      <c r="E1280">
        <v>3001223</v>
      </c>
      <c r="F1280" t="s">
        <v>1086</v>
      </c>
      <c r="G1280" t="s">
        <v>1086</v>
      </c>
      <c r="H1280" t="s">
        <v>54</v>
      </c>
      <c r="I1280">
        <v>6960051</v>
      </c>
      <c r="J1280" s="12">
        <v>46130</v>
      </c>
      <c r="K1280" s="12">
        <v>46130</v>
      </c>
      <c r="L1280" s="12">
        <v>46130</v>
      </c>
      <c r="M1280">
        <v>2</v>
      </c>
      <c r="N1280">
        <v>-386415</v>
      </c>
      <c r="O1280">
        <v>-386415</v>
      </c>
      <c r="P1280">
        <v>0</v>
      </c>
      <c r="Q1280">
        <v>-386415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 t="s">
        <v>47</v>
      </c>
      <c r="AA1280" t="s">
        <v>1087</v>
      </c>
      <c r="AB1280" t="s">
        <v>51</v>
      </c>
      <c r="AC1280" t="s">
        <v>51</v>
      </c>
      <c r="AD1280" t="s">
        <v>51</v>
      </c>
      <c r="AE1280" t="s">
        <v>51</v>
      </c>
      <c r="AF1280" t="s">
        <v>1166</v>
      </c>
    </row>
    <row r="1281" spans="1:32" ht="14.5" customHeight="1" x14ac:dyDescent="0.35">
      <c r="A1281" t="s">
        <v>498</v>
      </c>
      <c r="B1281" t="s">
        <v>652</v>
      </c>
      <c r="C1281" t="s">
        <v>47</v>
      </c>
      <c r="D1281">
        <v>3001223</v>
      </c>
      <c r="E1281">
        <v>3001223</v>
      </c>
      <c r="F1281" t="s">
        <v>1086</v>
      </c>
      <c r="G1281" t="s">
        <v>1086</v>
      </c>
      <c r="H1281" t="s">
        <v>54</v>
      </c>
      <c r="I1281">
        <v>9905185</v>
      </c>
      <c r="J1281" s="12">
        <v>46070</v>
      </c>
      <c r="K1281" s="12">
        <v>46070</v>
      </c>
      <c r="L1281" s="12">
        <v>46129</v>
      </c>
      <c r="M1281">
        <v>3</v>
      </c>
      <c r="N1281">
        <v>226914339</v>
      </c>
      <c r="O1281">
        <v>0</v>
      </c>
      <c r="P1281">
        <v>0</v>
      </c>
      <c r="Q1281">
        <v>226914339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 t="s">
        <v>47</v>
      </c>
      <c r="AA1281" t="s">
        <v>1087</v>
      </c>
      <c r="AB1281" t="s">
        <v>51</v>
      </c>
      <c r="AC1281" t="s">
        <v>51</v>
      </c>
      <c r="AD1281" t="s">
        <v>51</v>
      </c>
      <c r="AE1281" t="s">
        <v>51</v>
      </c>
      <c r="AF1281" t="s">
        <v>1167</v>
      </c>
    </row>
    <row r="1282" spans="1:32" ht="14.5" customHeight="1" x14ac:dyDescent="0.35">
      <c r="A1282" t="s">
        <v>498</v>
      </c>
      <c r="B1282" t="s">
        <v>652</v>
      </c>
      <c r="C1282" t="s">
        <v>47</v>
      </c>
      <c r="D1282">
        <v>3001223</v>
      </c>
      <c r="E1282">
        <v>3001223</v>
      </c>
      <c r="F1282" t="s">
        <v>1086</v>
      </c>
      <c r="G1282" t="s">
        <v>1086</v>
      </c>
      <c r="H1282" t="s">
        <v>54</v>
      </c>
      <c r="I1282">
        <v>9905186</v>
      </c>
      <c r="J1282" s="12">
        <v>46070</v>
      </c>
      <c r="K1282" s="12">
        <v>46070</v>
      </c>
      <c r="L1282" s="12">
        <v>46129</v>
      </c>
      <c r="M1282">
        <v>3</v>
      </c>
      <c r="N1282">
        <v>398326721</v>
      </c>
      <c r="O1282">
        <v>0</v>
      </c>
      <c r="P1282">
        <v>0</v>
      </c>
      <c r="Q1282">
        <v>398326721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 t="s">
        <v>47</v>
      </c>
      <c r="AA1282" t="s">
        <v>1087</v>
      </c>
      <c r="AB1282" t="s">
        <v>51</v>
      </c>
      <c r="AC1282" t="s">
        <v>51</v>
      </c>
      <c r="AD1282" t="s">
        <v>51</v>
      </c>
      <c r="AE1282" t="s">
        <v>51</v>
      </c>
      <c r="AF1282" t="s">
        <v>1168</v>
      </c>
    </row>
    <row r="1283" spans="1:32" ht="14.5" customHeight="1" x14ac:dyDescent="0.35">
      <c r="A1283" t="s">
        <v>498</v>
      </c>
      <c r="B1283" t="s">
        <v>652</v>
      </c>
      <c r="C1283" t="s">
        <v>47</v>
      </c>
      <c r="D1283">
        <v>3001223</v>
      </c>
      <c r="E1283">
        <v>3001223</v>
      </c>
      <c r="F1283" t="s">
        <v>1086</v>
      </c>
      <c r="G1283" t="s">
        <v>1086</v>
      </c>
      <c r="H1283" t="s">
        <v>54</v>
      </c>
      <c r="I1283">
        <v>9905193</v>
      </c>
      <c r="J1283" s="12">
        <v>46070</v>
      </c>
      <c r="K1283" s="12">
        <v>46070</v>
      </c>
      <c r="L1283" s="12">
        <v>46129</v>
      </c>
      <c r="M1283">
        <v>3</v>
      </c>
      <c r="N1283">
        <v>429912217</v>
      </c>
      <c r="O1283">
        <v>0</v>
      </c>
      <c r="P1283">
        <v>0</v>
      </c>
      <c r="Q1283">
        <v>429912217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 t="s">
        <v>47</v>
      </c>
      <c r="AA1283" t="s">
        <v>1087</v>
      </c>
      <c r="AB1283" t="s">
        <v>51</v>
      </c>
      <c r="AC1283" t="s">
        <v>51</v>
      </c>
      <c r="AD1283" t="s">
        <v>51</v>
      </c>
      <c r="AE1283" t="s">
        <v>51</v>
      </c>
      <c r="AF1283" t="s">
        <v>1169</v>
      </c>
    </row>
    <row r="1284" spans="1:32" ht="14.5" customHeight="1" x14ac:dyDescent="0.35">
      <c r="A1284" t="s">
        <v>498</v>
      </c>
      <c r="B1284" t="s">
        <v>652</v>
      </c>
      <c r="C1284" t="s">
        <v>47</v>
      </c>
      <c r="D1284">
        <v>3001223</v>
      </c>
      <c r="E1284">
        <v>3001223</v>
      </c>
      <c r="F1284" t="s">
        <v>1086</v>
      </c>
      <c r="G1284" t="s">
        <v>1086</v>
      </c>
      <c r="H1284" t="s">
        <v>54</v>
      </c>
      <c r="I1284">
        <v>9905194</v>
      </c>
      <c r="J1284" s="12">
        <v>46070</v>
      </c>
      <c r="K1284" s="12">
        <v>46070</v>
      </c>
      <c r="L1284" s="12">
        <v>46129</v>
      </c>
      <c r="M1284">
        <v>3</v>
      </c>
      <c r="N1284">
        <v>11718936</v>
      </c>
      <c r="O1284">
        <v>0</v>
      </c>
      <c r="P1284">
        <v>0</v>
      </c>
      <c r="Q1284">
        <v>11718936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 t="s">
        <v>47</v>
      </c>
      <c r="AA1284" t="s">
        <v>1087</v>
      </c>
      <c r="AB1284" t="s">
        <v>51</v>
      </c>
      <c r="AC1284" t="s">
        <v>51</v>
      </c>
      <c r="AD1284" t="s">
        <v>51</v>
      </c>
      <c r="AE1284" t="s">
        <v>51</v>
      </c>
      <c r="AF1284" t="s">
        <v>64</v>
      </c>
    </row>
    <row r="1285" spans="1:32" ht="14.5" customHeight="1" x14ac:dyDescent="0.35">
      <c r="A1285" t="s">
        <v>498</v>
      </c>
      <c r="B1285" t="s">
        <v>652</v>
      </c>
      <c r="C1285" t="s">
        <v>47</v>
      </c>
      <c r="D1285">
        <v>3001223</v>
      </c>
      <c r="E1285">
        <v>3001223</v>
      </c>
      <c r="F1285" t="s">
        <v>1086</v>
      </c>
      <c r="G1285" t="s">
        <v>1086</v>
      </c>
      <c r="H1285" t="s">
        <v>54</v>
      </c>
      <c r="I1285">
        <v>9905779</v>
      </c>
      <c r="J1285" s="12">
        <v>46072</v>
      </c>
      <c r="K1285" s="12">
        <v>46072</v>
      </c>
      <c r="L1285" s="12">
        <v>46131</v>
      </c>
      <c r="M1285">
        <v>1</v>
      </c>
      <c r="N1285">
        <v>288498313</v>
      </c>
      <c r="O1285">
        <v>0</v>
      </c>
      <c r="P1285">
        <v>0</v>
      </c>
      <c r="Q1285">
        <v>288498313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 t="s">
        <v>47</v>
      </c>
      <c r="AA1285" t="s">
        <v>1087</v>
      </c>
      <c r="AB1285" t="s">
        <v>51</v>
      </c>
      <c r="AC1285" t="s">
        <v>51</v>
      </c>
      <c r="AD1285" t="s">
        <v>51</v>
      </c>
      <c r="AE1285" t="s">
        <v>51</v>
      </c>
      <c r="AF1285" t="s">
        <v>172</v>
      </c>
    </row>
    <row r="1286" spans="1:32" ht="14.5" customHeight="1" x14ac:dyDescent="0.35">
      <c r="A1286" t="s">
        <v>498</v>
      </c>
      <c r="B1286" t="s">
        <v>652</v>
      </c>
      <c r="C1286" t="s">
        <v>47</v>
      </c>
      <c r="D1286">
        <v>3001223</v>
      </c>
      <c r="E1286">
        <v>3001223</v>
      </c>
      <c r="F1286" t="s">
        <v>1086</v>
      </c>
      <c r="G1286" t="s">
        <v>1086</v>
      </c>
      <c r="H1286" t="s">
        <v>54</v>
      </c>
      <c r="I1286">
        <v>9906637</v>
      </c>
      <c r="J1286" s="12">
        <v>46073</v>
      </c>
      <c r="K1286" s="12">
        <v>46073</v>
      </c>
      <c r="L1286" s="12">
        <v>46132</v>
      </c>
      <c r="M1286">
        <v>0</v>
      </c>
      <c r="N1286">
        <v>379967894</v>
      </c>
      <c r="O1286">
        <v>0</v>
      </c>
      <c r="P1286">
        <v>379967894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 t="s">
        <v>47</v>
      </c>
      <c r="AA1286" t="s">
        <v>1087</v>
      </c>
      <c r="AB1286" t="s">
        <v>1170</v>
      </c>
      <c r="AC1286" t="s">
        <v>51</v>
      </c>
      <c r="AD1286" t="s">
        <v>51</v>
      </c>
      <c r="AE1286" t="s">
        <v>51</v>
      </c>
      <c r="AF1286" t="s">
        <v>1171</v>
      </c>
    </row>
    <row r="1287" spans="1:32" ht="14.5" customHeight="1" x14ac:dyDescent="0.35">
      <c r="A1287" t="s">
        <v>498</v>
      </c>
      <c r="B1287" t="s">
        <v>652</v>
      </c>
      <c r="C1287" t="s">
        <v>47</v>
      </c>
      <c r="D1287">
        <v>3001223</v>
      </c>
      <c r="E1287">
        <v>3001223</v>
      </c>
      <c r="F1287" t="s">
        <v>1086</v>
      </c>
      <c r="G1287" t="s">
        <v>1086</v>
      </c>
      <c r="H1287" t="s">
        <v>54</v>
      </c>
      <c r="I1287">
        <v>9907337</v>
      </c>
      <c r="J1287" s="12">
        <v>46075</v>
      </c>
      <c r="K1287" s="12">
        <v>46075</v>
      </c>
      <c r="L1287" s="12">
        <v>46134</v>
      </c>
      <c r="M1287">
        <v>-2</v>
      </c>
      <c r="N1287">
        <v>375500390</v>
      </c>
      <c r="O1287">
        <v>0</v>
      </c>
      <c r="P1287">
        <v>375500390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 t="s">
        <v>47</v>
      </c>
      <c r="AA1287" t="s">
        <v>1087</v>
      </c>
      <c r="AB1287" t="s">
        <v>51</v>
      </c>
      <c r="AC1287" t="s">
        <v>1172</v>
      </c>
      <c r="AD1287" t="s">
        <v>51</v>
      </c>
      <c r="AE1287" t="s">
        <v>51</v>
      </c>
      <c r="AF1287" t="s">
        <v>189</v>
      </c>
    </row>
    <row r="1288" spans="1:32" ht="14.5" customHeight="1" x14ac:dyDescent="0.35">
      <c r="A1288" t="s">
        <v>498</v>
      </c>
      <c r="B1288" t="s">
        <v>652</v>
      </c>
      <c r="C1288" t="s">
        <v>47</v>
      </c>
      <c r="D1288">
        <v>3001223</v>
      </c>
      <c r="E1288">
        <v>3001223</v>
      </c>
      <c r="F1288" t="s">
        <v>1086</v>
      </c>
      <c r="G1288" t="s">
        <v>1086</v>
      </c>
      <c r="H1288" t="s">
        <v>54</v>
      </c>
      <c r="I1288">
        <v>9907647</v>
      </c>
      <c r="J1288" s="12">
        <v>46076</v>
      </c>
      <c r="K1288" s="12">
        <v>46076</v>
      </c>
      <c r="L1288" s="12">
        <v>46135</v>
      </c>
      <c r="M1288">
        <v>-3</v>
      </c>
      <c r="N1288">
        <v>394921656</v>
      </c>
      <c r="O1288">
        <v>0</v>
      </c>
      <c r="P1288">
        <v>394921656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 t="s">
        <v>47</v>
      </c>
      <c r="AA1288" t="s">
        <v>1087</v>
      </c>
      <c r="AB1288" t="s">
        <v>51</v>
      </c>
      <c r="AC1288" t="s">
        <v>1173</v>
      </c>
      <c r="AD1288" t="s">
        <v>51</v>
      </c>
      <c r="AE1288" t="s">
        <v>51</v>
      </c>
      <c r="AF1288" t="s">
        <v>172</v>
      </c>
    </row>
    <row r="1289" spans="1:32" ht="14.5" customHeight="1" x14ac:dyDescent="0.35">
      <c r="A1289" t="s">
        <v>498</v>
      </c>
      <c r="B1289" t="s">
        <v>652</v>
      </c>
      <c r="C1289" t="s">
        <v>47</v>
      </c>
      <c r="D1289">
        <v>3001223</v>
      </c>
      <c r="E1289">
        <v>3001223</v>
      </c>
      <c r="F1289" t="s">
        <v>1086</v>
      </c>
      <c r="G1289" t="s">
        <v>1086</v>
      </c>
      <c r="H1289" t="s">
        <v>54</v>
      </c>
      <c r="I1289">
        <v>9908980</v>
      </c>
      <c r="J1289" s="12">
        <v>46079</v>
      </c>
      <c r="K1289" s="12">
        <v>46079</v>
      </c>
      <c r="L1289" s="12">
        <v>46138</v>
      </c>
      <c r="M1289">
        <v>-6</v>
      </c>
      <c r="N1289">
        <v>452180547</v>
      </c>
      <c r="O1289">
        <v>0</v>
      </c>
      <c r="P1289">
        <v>452180547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 t="s">
        <v>47</v>
      </c>
      <c r="AA1289" t="s">
        <v>1087</v>
      </c>
      <c r="AB1289" t="s">
        <v>51</v>
      </c>
      <c r="AC1289" t="s">
        <v>1174</v>
      </c>
      <c r="AD1289" t="s">
        <v>51</v>
      </c>
      <c r="AE1289" t="s">
        <v>51</v>
      </c>
      <c r="AF1289" t="s">
        <v>521</v>
      </c>
    </row>
    <row r="1290" spans="1:32" ht="14.5" customHeight="1" x14ac:dyDescent="0.35">
      <c r="A1290" t="s">
        <v>498</v>
      </c>
      <c r="B1290" t="s">
        <v>652</v>
      </c>
      <c r="C1290" t="s">
        <v>47</v>
      </c>
      <c r="D1290">
        <v>3001223</v>
      </c>
      <c r="E1290">
        <v>3001223</v>
      </c>
      <c r="F1290" t="s">
        <v>1086</v>
      </c>
      <c r="G1290" t="s">
        <v>1086</v>
      </c>
      <c r="H1290" t="s">
        <v>54</v>
      </c>
      <c r="I1290">
        <v>9908981</v>
      </c>
      <c r="J1290" s="12">
        <v>46079</v>
      </c>
      <c r="K1290" s="12">
        <v>46079</v>
      </c>
      <c r="L1290" s="12">
        <v>46138</v>
      </c>
      <c r="M1290">
        <v>-6</v>
      </c>
      <c r="N1290">
        <v>428079186</v>
      </c>
      <c r="O1290">
        <v>0</v>
      </c>
      <c r="P1290">
        <v>428079186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 t="s">
        <v>47</v>
      </c>
      <c r="AA1290" t="s">
        <v>1087</v>
      </c>
      <c r="AB1290" t="s">
        <v>51</v>
      </c>
      <c r="AC1290" t="s">
        <v>1175</v>
      </c>
      <c r="AD1290" t="s">
        <v>51</v>
      </c>
      <c r="AE1290" t="s">
        <v>51</v>
      </c>
      <c r="AF1290" t="s">
        <v>521</v>
      </c>
    </row>
    <row r="1291" spans="1:32" ht="14.5" customHeight="1" x14ac:dyDescent="0.35">
      <c r="A1291" t="s">
        <v>498</v>
      </c>
      <c r="B1291" t="s">
        <v>652</v>
      </c>
      <c r="C1291" t="s">
        <v>47</v>
      </c>
      <c r="D1291">
        <v>3001223</v>
      </c>
      <c r="E1291">
        <v>3001223</v>
      </c>
      <c r="F1291" t="s">
        <v>1086</v>
      </c>
      <c r="G1291" t="s">
        <v>1086</v>
      </c>
      <c r="H1291" t="s">
        <v>54</v>
      </c>
      <c r="I1291">
        <v>9910511</v>
      </c>
      <c r="J1291" s="12">
        <v>46081</v>
      </c>
      <c r="K1291" s="12">
        <v>46081</v>
      </c>
      <c r="L1291" s="12">
        <v>46140</v>
      </c>
      <c r="M1291">
        <v>-8</v>
      </c>
      <c r="N1291">
        <v>341506392</v>
      </c>
      <c r="O1291">
        <v>0</v>
      </c>
      <c r="P1291">
        <v>341506392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 t="s">
        <v>47</v>
      </c>
      <c r="AA1291" t="s">
        <v>1087</v>
      </c>
      <c r="AB1291" t="s">
        <v>51</v>
      </c>
      <c r="AC1291" t="s">
        <v>51</v>
      </c>
      <c r="AD1291" t="s">
        <v>1176</v>
      </c>
      <c r="AE1291" t="s">
        <v>51</v>
      </c>
      <c r="AF1291" t="s">
        <v>294</v>
      </c>
    </row>
    <row r="1292" spans="1:32" ht="14.5" customHeight="1" x14ac:dyDescent="0.35">
      <c r="A1292" t="s">
        <v>498</v>
      </c>
      <c r="B1292" t="s">
        <v>652</v>
      </c>
      <c r="C1292" t="s">
        <v>47</v>
      </c>
      <c r="D1292">
        <v>3001223</v>
      </c>
      <c r="E1292">
        <v>3001223</v>
      </c>
      <c r="F1292" t="s">
        <v>1086</v>
      </c>
      <c r="G1292" t="s">
        <v>1086</v>
      </c>
      <c r="H1292" t="s">
        <v>54</v>
      </c>
      <c r="I1292">
        <v>9912791</v>
      </c>
      <c r="J1292" s="12">
        <v>46090</v>
      </c>
      <c r="K1292" s="12">
        <v>46090</v>
      </c>
      <c r="L1292" s="12">
        <v>46149</v>
      </c>
      <c r="M1292">
        <v>-17</v>
      </c>
      <c r="N1292">
        <v>448042276</v>
      </c>
      <c r="O1292">
        <v>0</v>
      </c>
      <c r="P1292">
        <v>448042276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 t="s">
        <v>47</v>
      </c>
      <c r="AA1292" t="s">
        <v>1087</v>
      </c>
      <c r="AB1292" t="s">
        <v>51</v>
      </c>
      <c r="AC1292" t="s">
        <v>51</v>
      </c>
      <c r="AD1292" t="s">
        <v>51</v>
      </c>
      <c r="AE1292" t="s">
        <v>1177</v>
      </c>
      <c r="AF1292" t="s">
        <v>195</v>
      </c>
    </row>
    <row r="1293" spans="1:32" ht="14.5" customHeight="1" x14ac:dyDescent="0.35">
      <c r="A1293" t="s">
        <v>498</v>
      </c>
      <c r="B1293" t="s">
        <v>652</v>
      </c>
      <c r="C1293" t="s">
        <v>47</v>
      </c>
      <c r="D1293">
        <v>3001223</v>
      </c>
      <c r="E1293">
        <v>3001223</v>
      </c>
      <c r="F1293" t="s">
        <v>1086</v>
      </c>
      <c r="G1293" t="s">
        <v>1086</v>
      </c>
      <c r="H1293" t="s">
        <v>54</v>
      </c>
      <c r="I1293">
        <v>9912792</v>
      </c>
      <c r="J1293" s="12">
        <v>46090</v>
      </c>
      <c r="K1293" s="12">
        <v>46090</v>
      </c>
      <c r="L1293" s="12">
        <v>46149</v>
      </c>
      <c r="M1293">
        <v>-17</v>
      </c>
      <c r="N1293">
        <v>463638770</v>
      </c>
      <c r="O1293">
        <v>0</v>
      </c>
      <c r="P1293">
        <v>463638770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 t="s">
        <v>47</v>
      </c>
      <c r="AA1293" t="s">
        <v>1087</v>
      </c>
      <c r="AB1293" t="s">
        <v>51</v>
      </c>
      <c r="AC1293" t="s">
        <v>51</v>
      </c>
      <c r="AD1293" t="s">
        <v>51</v>
      </c>
      <c r="AE1293" t="s">
        <v>1178</v>
      </c>
      <c r="AF1293" t="s">
        <v>195</v>
      </c>
    </row>
    <row r="1294" spans="1:32" ht="14.5" customHeight="1" x14ac:dyDescent="0.35">
      <c r="A1294" t="s">
        <v>498</v>
      </c>
      <c r="B1294" t="s">
        <v>652</v>
      </c>
      <c r="C1294" t="s">
        <v>47</v>
      </c>
      <c r="D1294">
        <v>3001223</v>
      </c>
      <c r="E1294">
        <v>3001223</v>
      </c>
      <c r="F1294" t="s">
        <v>1086</v>
      </c>
      <c r="G1294" t="s">
        <v>1086</v>
      </c>
      <c r="H1294" t="s">
        <v>54</v>
      </c>
      <c r="I1294">
        <v>9912793</v>
      </c>
      <c r="J1294" s="12">
        <v>46090</v>
      </c>
      <c r="K1294" s="12">
        <v>46090</v>
      </c>
      <c r="L1294" s="12">
        <v>46149</v>
      </c>
      <c r="M1294">
        <v>-17</v>
      </c>
      <c r="N1294">
        <v>5595030</v>
      </c>
      <c r="O1294">
        <v>0</v>
      </c>
      <c r="P1294">
        <v>5595030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 t="s">
        <v>47</v>
      </c>
      <c r="AA1294" t="s">
        <v>1087</v>
      </c>
      <c r="AB1294" t="s">
        <v>51</v>
      </c>
      <c r="AC1294" t="s">
        <v>51</v>
      </c>
      <c r="AD1294" t="s">
        <v>51</v>
      </c>
      <c r="AE1294" t="s">
        <v>1179</v>
      </c>
      <c r="AF1294" t="s">
        <v>163</v>
      </c>
    </row>
    <row r="1295" spans="1:32" ht="14.5" customHeight="1" x14ac:dyDescent="0.35">
      <c r="A1295" t="s">
        <v>498</v>
      </c>
      <c r="B1295" t="s">
        <v>652</v>
      </c>
      <c r="C1295" t="s">
        <v>47</v>
      </c>
      <c r="D1295">
        <v>3001223</v>
      </c>
      <c r="E1295">
        <v>3001223</v>
      </c>
      <c r="F1295" t="s">
        <v>1086</v>
      </c>
      <c r="G1295" t="s">
        <v>1086</v>
      </c>
      <c r="H1295" t="s">
        <v>54</v>
      </c>
      <c r="I1295">
        <v>9912963</v>
      </c>
      <c r="J1295" s="12">
        <v>46090</v>
      </c>
      <c r="K1295" s="12">
        <v>46090</v>
      </c>
      <c r="L1295" s="12">
        <v>46149</v>
      </c>
      <c r="M1295">
        <v>-17</v>
      </c>
      <c r="N1295">
        <v>447758580</v>
      </c>
      <c r="O1295">
        <v>0</v>
      </c>
      <c r="P1295">
        <v>447758580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 t="s">
        <v>47</v>
      </c>
      <c r="AA1295" t="s">
        <v>1087</v>
      </c>
      <c r="AB1295" t="s">
        <v>51</v>
      </c>
      <c r="AC1295" t="s">
        <v>51</v>
      </c>
      <c r="AD1295" t="s">
        <v>51</v>
      </c>
      <c r="AE1295" t="s">
        <v>1180</v>
      </c>
      <c r="AF1295" t="s">
        <v>195</v>
      </c>
    </row>
    <row r="1296" spans="1:32" ht="14.5" customHeight="1" x14ac:dyDescent="0.35">
      <c r="A1296" t="s">
        <v>498</v>
      </c>
      <c r="B1296" t="s">
        <v>652</v>
      </c>
      <c r="C1296" t="s">
        <v>47</v>
      </c>
      <c r="D1296">
        <v>3001223</v>
      </c>
      <c r="E1296">
        <v>3001223</v>
      </c>
      <c r="F1296" t="s">
        <v>1086</v>
      </c>
      <c r="G1296" t="s">
        <v>1086</v>
      </c>
      <c r="H1296" t="s">
        <v>54</v>
      </c>
      <c r="I1296">
        <v>9914388</v>
      </c>
      <c r="J1296" s="12">
        <v>46094</v>
      </c>
      <c r="K1296" s="12">
        <v>46094</v>
      </c>
      <c r="L1296" s="12">
        <v>46153</v>
      </c>
      <c r="M1296">
        <v>-21</v>
      </c>
      <c r="N1296">
        <v>444975126</v>
      </c>
      <c r="O1296">
        <v>0</v>
      </c>
      <c r="P1296">
        <v>444975126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 t="s">
        <v>47</v>
      </c>
      <c r="AA1296" t="s">
        <v>1087</v>
      </c>
      <c r="AB1296" t="s">
        <v>51</v>
      </c>
      <c r="AC1296" t="s">
        <v>51</v>
      </c>
      <c r="AD1296" t="s">
        <v>51</v>
      </c>
      <c r="AE1296" t="s">
        <v>1181</v>
      </c>
      <c r="AF1296" t="s">
        <v>1182</v>
      </c>
    </row>
    <row r="1297" spans="1:32" ht="14.5" customHeight="1" x14ac:dyDescent="0.35">
      <c r="A1297" t="s">
        <v>498</v>
      </c>
      <c r="B1297" t="s">
        <v>652</v>
      </c>
      <c r="C1297" t="s">
        <v>47</v>
      </c>
      <c r="D1297">
        <v>3001223</v>
      </c>
      <c r="E1297">
        <v>3001223</v>
      </c>
      <c r="F1297" t="s">
        <v>1086</v>
      </c>
      <c r="G1297" t="s">
        <v>1086</v>
      </c>
      <c r="H1297" t="s">
        <v>54</v>
      </c>
      <c r="I1297">
        <v>9914792</v>
      </c>
      <c r="J1297" s="12">
        <v>46094</v>
      </c>
      <c r="K1297" s="12">
        <v>46094</v>
      </c>
      <c r="L1297" s="12">
        <v>46153</v>
      </c>
      <c r="M1297">
        <v>-21</v>
      </c>
      <c r="N1297">
        <v>279958748</v>
      </c>
      <c r="O1297">
        <v>0</v>
      </c>
      <c r="P1297">
        <v>279958748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 t="s">
        <v>47</v>
      </c>
      <c r="AA1297" t="s">
        <v>1087</v>
      </c>
      <c r="AB1297" t="s">
        <v>51</v>
      </c>
      <c r="AC1297" t="s">
        <v>51</v>
      </c>
      <c r="AD1297" t="s">
        <v>51</v>
      </c>
      <c r="AE1297" t="s">
        <v>1183</v>
      </c>
      <c r="AF1297" t="s">
        <v>285</v>
      </c>
    </row>
    <row r="1298" spans="1:32" ht="14.5" customHeight="1" x14ac:dyDescent="0.35">
      <c r="A1298" t="s">
        <v>498</v>
      </c>
      <c r="B1298" t="s">
        <v>652</v>
      </c>
      <c r="C1298" t="s">
        <v>47</v>
      </c>
      <c r="D1298">
        <v>3001223</v>
      </c>
      <c r="E1298">
        <v>3001223</v>
      </c>
      <c r="F1298" t="s">
        <v>1086</v>
      </c>
      <c r="G1298" t="s">
        <v>1086</v>
      </c>
      <c r="H1298" t="s">
        <v>54</v>
      </c>
      <c r="I1298">
        <v>9916426</v>
      </c>
      <c r="J1298" s="12">
        <v>46098</v>
      </c>
      <c r="K1298" s="12">
        <v>46098</v>
      </c>
      <c r="L1298" s="12">
        <v>46157</v>
      </c>
      <c r="M1298">
        <v>-25</v>
      </c>
      <c r="N1298">
        <v>369188402</v>
      </c>
      <c r="O1298">
        <v>0</v>
      </c>
      <c r="P1298">
        <v>369188402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 t="s">
        <v>47</v>
      </c>
      <c r="AA1298" t="s">
        <v>1087</v>
      </c>
      <c r="AB1298" t="s">
        <v>51</v>
      </c>
      <c r="AC1298" t="s">
        <v>51</v>
      </c>
      <c r="AD1298" t="s">
        <v>51</v>
      </c>
      <c r="AE1298" t="s">
        <v>1184</v>
      </c>
      <c r="AF1298" t="s">
        <v>281</v>
      </c>
    </row>
    <row r="1299" spans="1:32" ht="14.5" customHeight="1" x14ac:dyDescent="0.35">
      <c r="A1299" t="s">
        <v>498</v>
      </c>
      <c r="B1299" t="s">
        <v>652</v>
      </c>
      <c r="C1299" t="s">
        <v>47</v>
      </c>
      <c r="D1299">
        <v>3001223</v>
      </c>
      <c r="E1299">
        <v>3001223</v>
      </c>
      <c r="F1299" t="s">
        <v>1086</v>
      </c>
      <c r="G1299" t="s">
        <v>1086</v>
      </c>
      <c r="H1299" t="s">
        <v>54</v>
      </c>
      <c r="I1299">
        <v>9916427</v>
      </c>
      <c r="J1299" s="12">
        <v>46098</v>
      </c>
      <c r="K1299" s="12">
        <v>46098</v>
      </c>
      <c r="L1299" s="12">
        <v>46157</v>
      </c>
      <c r="M1299">
        <v>-25</v>
      </c>
      <c r="N1299">
        <v>300504168</v>
      </c>
      <c r="O1299">
        <v>0</v>
      </c>
      <c r="P1299">
        <v>300504168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 t="s">
        <v>47</v>
      </c>
      <c r="AA1299" t="s">
        <v>1087</v>
      </c>
      <c r="AB1299" t="s">
        <v>51</v>
      </c>
      <c r="AC1299" t="s">
        <v>51</v>
      </c>
      <c r="AD1299" t="s">
        <v>51</v>
      </c>
      <c r="AE1299" t="s">
        <v>1185</v>
      </c>
      <c r="AF1299" t="s">
        <v>1076</v>
      </c>
    </row>
    <row r="1300" spans="1:32" ht="14.5" customHeight="1" x14ac:dyDescent="0.35">
      <c r="A1300" t="s">
        <v>498</v>
      </c>
      <c r="B1300" t="s">
        <v>652</v>
      </c>
      <c r="C1300" t="s">
        <v>47</v>
      </c>
      <c r="D1300">
        <v>3001223</v>
      </c>
      <c r="E1300">
        <v>3001223</v>
      </c>
      <c r="F1300" t="s">
        <v>1086</v>
      </c>
      <c r="G1300" t="s">
        <v>1086</v>
      </c>
      <c r="H1300" t="s">
        <v>54</v>
      </c>
      <c r="I1300">
        <v>9918844</v>
      </c>
      <c r="J1300" s="12">
        <v>46108</v>
      </c>
      <c r="K1300" s="12">
        <v>46108</v>
      </c>
      <c r="L1300" s="12">
        <v>46167</v>
      </c>
      <c r="M1300">
        <v>-35</v>
      </c>
      <c r="N1300">
        <v>322528662</v>
      </c>
      <c r="O1300">
        <v>0</v>
      </c>
      <c r="P1300">
        <v>322528662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 t="s">
        <v>47</v>
      </c>
      <c r="AA1300" t="s">
        <v>1087</v>
      </c>
      <c r="AB1300" t="s">
        <v>51</v>
      </c>
      <c r="AC1300" t="s">
        <v>51</v>
      </c>
      <c r="AD1300" t="s">
        <v>51</v>
      </c>
      <c r="AE1300" t="s">
        <v>1186</v>
      </c>
      <c r="AF1300" t="s">
        <v>660</v>
      </c>
    </row>
    <row r="1301" spans="1:32" ht="14.5" customHeight="1" x14ac:dyDescent="0.35">
      <c r="A1301" t="s">
        <v>498</v>
      </c>
      <c r="B1301" t="s">
        <v>652</v>
      </c>
      <c r="C1301" t="s">
        <v>47</v>
      </c>
      <c r="D1301">
        <v>3001223</v>
      </c>
      <c r="E1301">
        <v>3001223</v>
      </c>
      <c r="F1301" t="s">
        <v>1086</v>
      </c>
      <c r="G1301" t="s">
        <v>1086</v>
      </c>
      <c r="H1301" t="s">
        <v>54</v>
      </c>
      <c r="I1301">
        <v>9919926</v>
      </c>
      <c r="J1301" s="12">
        <v>46110</v>
      </c>
      <c r="K1301" s="12">
        <v>46110</v>
      </c>
      <c r="L1301" s="12">
        <v>46169</v>
      </c>
      <c r="M1301">
        <v>-37</v>
      </c>
      <c r="N1301">
        <v>360281838</v>
      </c>
      <c r="O1301">
        <v>0</v>
      </c>
      <c r="P1301">
        <v>360281838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 t="s">
        <v>47</v>
      </c>
      <c r="AA1301" t="s">
        <v>1087</v>
      </c>
      <c r="AB1301" t="s">
        <v>51</v>
      </c>
      <c r="AC1301" t="s">
        <v>51</v>
      </c>
      <c r="AD1301" t="s">
        <v>51</v>
      </c>
      <c r="AE1301" t="s">
        <v>1187</v>
      </c>
      <c r="AF1301" t="s">
        <v>72</v>
      </c>
    </row>
    <row r="1302" spans="1:32" ht="14.5" customHeight="1" x14ac:dyDescent="0.35">
      <c r="A1302" t="s">
        <v>498</v>
      </c>
      <c r="B1302" t="s">
        <v>652</v>
      </c>
      <c r="C1302" t="s">
        <v>47</v>
      </c>
      <c r="D1302">
        <v>3001223</v>
      </c>
      <c r="E1302">
        <v>3001223</v>
      </c>
      <c r="F1302" t="s">
        <v>1086</v>
      </c>
      <c r="G1302" t="s">
        <v>1086</v>
      </c>
      <c r="H1302" t="s">
        <v>140</v>
      </c>
      <c r="I1302">
        <v>9922950</v>
      </c>
      <c r="J1302" s="12">
        <v>46120</v>
      </c>
      <c r="K1302" s="12">
        <v>46120</v>
      </c>
      <c r="L1302" s="12">
        <v>46165</v>
      </c>
      <c r="M1302">
        <v>-33</v>
      </c>
      <c r="N1302">
        <v>461414</v>
      </c>
      <c r="O1302">
        <v>0</v>
      </c>
      <c r="P1302">
        <v>461414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 t="s">
        <v>47</v>
      </c>
      <c r="AA1302" t="s">
        <v>1087</v>
      </c>
      <c r="AB1302" t="s">
        <v>51</v>
      </c>
      <c r="AC1302" t="s">
        <v>51</v>
      </c>
      <c r="AD1302" t="s">
        <v>51</v>
      </c>
      <c r="AE1302" t="s">
        <v>1188</v>
      </c>
      <c r="AF1302" t="s">
        <v>493</v>
      </c>
    </row>
    <row r="1303" spans="1:32" ht="14.5" customHeight="1" x14ac:dyDescent="0.35">
      <c r="A1303" t="s">
        <v>498</v>
      </c>
      <c r="B1303" t="s">
        <v>652</v>
      </c>
      <c r="C1303" t="s">
        <v>596</v>
      </c>
      <c r="D1303">
        <v>3001223</v>
      </c>
      <c r="E1303">
        <v>3100568</v>
      </c>
      <c r="F1303" t="s">
        <v>1086</v>
      </c>
      <c r="G1303" t="s">
        <v>1086</v>
      </c>
      <c r="H1303" t="s">
        <v>54</v>
      </c>
      <c r="I1303">
        <v>9923235</v>
      </c>
      <c r="J1303" s="12">
        <v>46121</v>
      </c>
      <c r="K1303" s="12">
        <v>46121</v>
      </c>
      <c r="L1303" s="12">
        <v>46167</v>
      </c>
      <c r="M1303">
        <v>-35</v>
      </c>
      <c r="N1303">
        <v>18015540</v>
      </c>
      <c r="O1303">
        <v>0</v>
      </c>
      <c r="P1303">
        <v>18015540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 t="s">
        <v>596</v>
      </c>
      <c r="AA1303" t="s">
        <v>1087</v>
      </c>
      <c r="AB1303" t="s">
        <v>51</v>
      </c>
      <c r="AC1303" t="s">
        <v>51</v>
      </c>
      <c r="AD1303" t="s">
        <v>51</v>
      </c>
      <c r="AE1303" t="s">
        <v>1189</v>
      </c>
      <c r="AF1303" t="s">
        <v>898</v>
      </c>
    </row>
    <row r="1304" spans="1:32" ht="14.5" customHeight="1" x14ac:dyDescent="0.35">
      <c r="A1304" t="s">
        <v>498</v>
      </c>
      <c r="B1304" t="s">
        <v>652</v>
      </c>
      <c r="C1304" t="s">
        <v>47</v>
      </c>
      <c r="D1304">
        <v>3001223</v>
      </c>
      <c r="E1304">
        <v>3001223</v>
      </c>
      <c r="F1304" t="s">
        <v>1086</v>
      </c>
      <c r="G1304" t="s">
        <v>1086</v>
      </c>
      <c r="H1304" t="s">
        <v>54</v>
      </c>
      <c r="I1304">
        <v>9925041</v>
      </c>
      <c r="J1304" s="12">
        <v>46126</v>
      </c>
      <c r="K1304" s="12">
        <v>46126</v>
      </c>
      <c r="L1304" s="12">
        <v>46185</v>
      </c>
      <c r="M1304">
        <v>-53</v>
      </c>
      <c r="N1304">
        <v>534970601</v>
      </c>
      <c r="O1304">
        <v>0</v>
      </c>
      <c r="P1304">
        <v>534970601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 t="s">
        <v>47</v>
      </c>
      <c r="AA1304" t="s">
        <v>1087</v>
      </c>
      <c r="AB1304" t="s">
        <v>51</v>
      </c>
      <c r="AC1304" t="s">
        <v>51</v>
      </c>
      <c r="AD1304" t="s">
        <v>51</v>
      </c>
      <c r="AE1304" t="s">
        <v>1190</v>
      </c>
      <c r="AF1304" t="s">
        <v>62</v>
      </c>
    </row>
    <row r="1305" spans="1:32" ht="14.5" customHeight="1" x14ac:dyDescent="0.35">
      <c r="A1305" t="s">
        <v>498</v>
      </c>
      <c r="B1305" t="s">
        <v>652</v>
      </c>
      <c r="C1305" t="s">
        <v>47</v>
      </c>
      <c r="D1305">
        <v>3001223</v>
      </c>
      <c r="E1305">
        <v>3001223</v>
      </c>
      <c r="F1305" t="s">
        <v>1086</v>
      </c>
      <c r="G1305" t="s">
        <v>1086</v>
      </c>
      <c r="H1305" t="s">
        <v>54</v>
      </c>
      <c r="I1305">
        <v>9925043</v>
      </c>
      <c r="J1305" s="12">
        <v>46126</v>
      </c>
      <c r="K1305" s="12">
        <v>46126</v>
      </c>
      <c r="L1305" s="12">
        <v>46185</v>
      </c>
      <c r="M1305">
        <v>-53</v>
      </c>
      <c r="N1305">
        <v>1645597</v>
      </c>
      <c r="O1305">
        <v>0</v>
      </c>
      <c r="P1305">
        <v>1645597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 t="s">
        <v>47</v>
      </c>
      <c r="AA1305" t="s">
        <v>1087</v>
      </c>
      <c r="AB1305" t="s">
        <v>51</v>
      </c>
      <c r="AC1305" t="s">
        <v>51</v>
      </c>
      <c r="AD1305" t="s">
        <v>51</v>
      </c>
      <c r="AE1305" t="s">
        <v>1191</v>
      </c>
      <c r="AF1305" t="s">
        <v>163</v>
      </c>
    </row>
    <row r="1306" spans="1:32" ht="14.5" customHeight="1" x14ac:dyDescent="0.35">
      <c r="A1306" t="s">
        <v>498</v>
      </c>
      <c r="B1306" t="s">
        <v>652</v>
      </c>
      <c r="C1306" t="s">
        <v>47</v>
      </c>
      <c r="D1306">
        <v>3001223</v>
      </c>
      <c r="E1306">
        <v>3001223</v>
      </c>
      <c r="F1306" t="s">
        <v>1086</v>
      </c>
      <c r="G1306" t="s">
        <v>1086</v>
      </c>
      <c r="H1306" t="s">
        <v>54</v>
      </c>
      <c r="I1306">
        <v>9926544</v>
      </c>
      <c r="J1306" s="12">
        <v>46128</v>
      </c>
      <c r="K1306" s="12">
        <v>46128</v>
      </c>
      <c r="L1306" s="12">
        <v>46187</v>
      </c>
      <c r="M1306">
        <v>-55</v>
      </c>
      <c r="N1306">
        <v>506953532</v>
      </c>
      <c r="O1306">
        <v>0</v>
      </c>
      <c r="P1306">
        <v>506953532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 t="s">
        <v>47</v>
      </c>
      <c r="AA1306" t="s">
        <v>1087</v>
      </c>
      <c r="AB1306" t="s">
        <v>51</v>
      </c>
      <c r="AC1306" t="s">
        <v>51</v>
      </c>
      <c r="AD1306" t="s">
        <v>51</v>
      </c>
      <c r="AE1306" t="s">
        <v>1192</v>
      </c>
      <c r="AF1306" t="s">
        <v>1134</v>
      </c>
    </row>
    <row r="1307" spans="1:32" ht="14.5" customHeight="1" x14ac:dyDescent="0.35">
      <c r="A1307" t="s">
        <v>774</v>
      </c>
      <c r="B1307" t="s">
        <v>1193</v>
      </c>
      <c r="C1307" t="s">
        <v>47</v>
      </c>
      <c r="D1307">
        <v>3001227</v>
      </c>
      <c r="E1307">
        <v>3001227</v>
      </c>
      <c r="F1307" t="s">
        <v>1194</v>
      </c>
      <c r="G1307" t="s">
        <v>1194</v>
      </c>
      <c r="H1307" t="s">
        <v>54</v>
      </c>
      <c r="I1307">
        <v>9915570</v>
      </c>
      <c r="J1307" s="12">
        <v>46096</v>
      </c>
      <c r="K1307" s="12">
        <v>46096</v>
      </c>
      <c r="L1307" s="12">
        <v>46132</v>
      </c>
      <c r="M1307">
        <v>0</v>
      </c>
      <c r="N1307">
        <v>216733729</v>
      </c>
      <c r="O1307">
        <v>0</v>
      </c>
      <c r="P1307">
        <v>216733729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 t="s">
        <v>47</v>
      </c>
      <c r="AA1307" t="s">
        <v>76</v>
      </c>
      <c r="AB1307" t="s">
        <v>1195</v>
      </c>
      <c r="AC1307" t="s">
        <v>51</v>
      </c>
      <c r="AD1307" t="s">
        <v>51</v>
      </c>
      <c r="AE1307" t="s">
        <v>51</v>
      </c>
      <c r="AF1307" t="s">
        <v>413</v>
      </c>
    </row>
    <row r="1308" spans="1:32" ht="14.5" customHeight="1" x14ac:dyDescent="0.35">
      <c r="A1308" t="s">
        <v>774</v>
      </c>
      <c r="B1308" t="s">
        <v>1193</v>
      </c>
      <c r="C1308" t="s">
        <v>47</v>
      </c>
      <c r="D1308">
        <v>3001227</v>
      </c>
      <c r="E1308">
        <v>3001227</v>
      </c>
      <c r="F1308" t="s">
        <v>1194</v>
      </c>
      <c r="G1308" t="s">
        <v>1194</v>
      </c>
      <c r="H1308" t="s">
        <v>54</v>
      </c>
      <c r="I1308">
        <v>9915571</v>
      </c>
      <c r="J1308" s="12">
        <v>46096</v>
      </c>
      <c r="K1308" s="12">
        <v>46096</v>
      </c>
      <c r="L1308" s="12">
        <v>46132</v>
      </c>
      <c r="M1308">
        <v>0</v>
      </c>
      <c r="N1308">
        <v>131128087</v>
      </c>
      <c r="O1308">
        <v>0</v>
      </c>
      <c r="P1308">
        <v>131128087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 t="s">
        <v>47</v>
      </c>
      <c r="AA1308" t="s">
        <v>76</v>
      </c>
      <c r="AB1308" t="s">
        <v>1196</v>
      </c>
      <c r="AC1308" t="s">
        <v>51</v>
      </c>
      <c r="AD1308" t="s">
        <v>51</v>
      </c>
      <c r="AE1308" t="s">
        <v>51</v>
      </c>
      <c r="AF1308" t="s">
        <v>408</v>
      </c>
    </row>
    <row r="1309" spans="1:32" ht="14.5" customHeight="1" x14ac:dyDescent="0.35">
      <c r="A1309" t="s">
        <v>774</v>
      </c>
      <c r="B1309" t="s">
        <v>1193</v>
      </c>
      <c r="C1309" t="s">
        <v>47</v>
      </c>
      <c r="D1309">
        <v>3001227</v>
      </c>
      <c r="E1309">
        <v>3001227</v>
      </c>
      <c r="F1309" t="s">
        <v>1194</v>
      </c>
      <c r="G1309" t="s">
        <v>1194</v>
      </c>
      <c r="H1309" t="s">
        <v>140</v>
      </c>
      <c r="I1309">
        <v>9915610</v>
      </c>
      <c r="J1309" s="12">
        <v>46096</v>
      </c>
      <c r="K1309" s="12">
        <v>46096</v>
      </c>
      <c r="L1309" s="12">
        <v>46131</v>
      </c>
      <c r="M1309">
        <v>1</v>
      </c>
      <c r="N1309">
        <v>2002749</v>
      </c>
      <c r="O1309">
        <v>0</v>
      </c>
      <c r="P1309">
        <v>0</v>
      </c>
      <c r="Q1309">
        <v>2002749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 t="s">
        <v>47</v>
      </c>
      <c r="AA1309" t="s">
        <v>76</v>
      </c>
      <c r="AB1309" t="s">
        <v>51</v>
      </c>
      <c r="AC1309" t="s">
        <v>51</v>
      </c>
      <c r="AD1309" t="s">
        <v>51</v>
      </c>
      <c r="AE1309" t="s">
        <v>51</v>
      </c>
      <c r="AF1309" t="s">
        <v>106</v>
      </c>
    </row>
    <row r="1310" spans="1:32" ht="14.5" customHeight="1" x14ac:dyDescent="0.35">
      <c r="A1310" t="s">
        <v>774</v>
      </c>
      <c r="B1310" t="s">
        <v>1193</v>
      </c>
      <c r="C1310" t="s">
        <v>47</v>
      </c>
      <c r="D1310">
        <v>3001227</v>
      </c>
      <c r="E1310">
        <v>3001227</v>
      </c>
      <c r="F1310" t="s">
        <v>1194</v>
      </c>
      <c r="G1310" t="s">
        <v>1194</v>
      </c>
      <c r="H1310" t="s">
        <v>54</v>
      </c>
      <c r="I1310">
        <v>9918746</v>
      </c>
      <c r="J1310" s="12">
        <v>46108</v>
      </c>
      <c r="K1310" s="12">
        <v>46108</v>
      </c>
      <c r="L1310" s="12">
        <v>46144</v>
      </c>
      <c r="M1310">
        <v>-12</v>
      </c>
      <c r="N1310">
        <v>232613867</v>
      </c>
      <c r="O1310">
        <v>0</v>
      </c>
      <c r="P1310">
        <v>232613867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 t="s">
        <v>47</v>
      </c>
      <c r="AA1310" t="s">
        <v>76</v>
      </c>
      <c r="AB1310" t="s">
        <v>51</v>
      </c>
      <c r="AC1310" t="s">
        <v>51</v>
      </c>
      <c r="AD1310" t="s">
        <v>1197</v>
      </c>
      <c r="AE1310" t="s">
        <v>51</v>
      </c>
      <c r="AF1310" t="s">
        <v>62</v>
      </c>
    </row>
    <row r="1311" spans="1:32" ht="14.5" customHeight="1" x14ac:dyDescent="0.35">
      <c r="A1311" t="s">
        <v>774</v>
      </c>
      <c r="B1311" t="s">
        <v>1193</v>
      </c>
      <c r="C1311" t="s">
        <v>47</v>
      </c>
      <c r="D1311">
        <v>3001227</v>
      </c>
      <c r="E1311">
        <v>3001227</v>
      </c>
      <c r="F1311" t="s">
        <v>1194</v>
      </c>
      <c r="G1311" t="s">
        <v>1194</v>
      </c>
      <c r="H1311" t="s">
        <v>54</v>
      </c>
      <c r="I1311">
        <v>9918747</v>
      </c>
      <c r="J1311" s="12">
        <v>46108</v>
      </c>
      <c r="K1311" s="12">
        <v>46108</v>
      </c>
      <c r="L1311" s="12">
        <v>46144</v>
      </c>
      <c r="M1311">
        <v>-12</v>
      </c>
      <c r="N1311">
        <v>658239</v>
      </c>
      <c r="O1311">
        <v>0</v>
      </c>
      <c r="P1311">
        <v>658239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 t="s">
        <v>47</v>
      </c>
      <c r="AA1311" t="s">
        <v>76</v>
      </c>
      <c r="AB1311" t="s">
        <v>51</v>
      </c>
      <c r="AC1311" t="s">
        <v>51</v>
      </c>
      <c r="AD1311" t="s">
        <v>1198</v>
      </c>
      <c r="AE1311" t="s">
        <v>51</v>
      </c>
      <c r="AF1311" t="s">
        <v>163</v>
      </c>
    </row>
    <row r="1312" spans="1:32" ht="14.5" customHeight="1" x14ac:dyDescent="0.35">
      <c r="A1312" t="s">
        <v>774</v>
      </c>
      <c r="B1312" t="s">
        <v>1193</v>
      </c>
      <c r="C1312" t="s">
        <v>47</v>
      </c>
      <c r="D1312">
        <v>3001227</v>
      </c>
      <c r="E1312">
        <v>3001227</v>
      </c>
      <c r="F1312" t="s">
        <v>1194</v>
      </c>
      <c r="G1312" t="s">
        <v>1194</v>
      </c>
      <c r="H1312" t="s">
        <v>54</v>
      </c>
      <c r="I1312">
        <v>9920026</v>
      </c>
      <c r="J1312" s="12">
        <v>46110</v>
      </c>
      <c r="K1312" s="12">
        <v>46110</v>
      </c>
      <c r="L1312" s="12">
        <v>46146</v>
      </c>
      <c r="M1312">
        <v>-14</v>
      </c>
      <c r="N1312">
        <v>116070480</v>
      </c>
      <c r="O1312">
        <v>0</v>
      </c>
      <c r="P1312">
        <v>116070480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 t="s">
        <v>47</v>
      </c>
      <c r="AA1312" t="s">
        <v>76</v>
      </c>
      <c r="AB1312" t="s">
        <v>51</v>
      </c>
      <c r="AC1312" t="s">
        <v>51</v>
      </c>
      <c r="AD1312" t="s">
        <v>1199</v>
      </c>
      <c r="AE1312" t="s">
        <v>51</v>
      </c>
      <c r="AF1312" t="s">
        <v>107</v>
      </c>
    </row>
    <row r="1313" spans="1:32" ht="14.5" customHeight="1" x14ac:dyDescent="0.35">
      <c r="A1313" t="s">
        <v>774</v>
      </c>
      <c r="B1313" t="s">
        <v>1193</v>
      </c>
      <c r="C1313" t="s">
        <v>47</v>
      </c>
      <c r="D1313">
        <v>3001227</v>
      </c>
      <c r="E1313">
        <v>3001227</v>
      </c>
      <c r="F1313" t="s">
        <v>1194</v>
      </c>
      <c r="G1313" t="s">
        <v>1194</v>
      </c>
      <c r="H1313" t="s">
        <v>54</v>
      </c>
      <c r="I1313">
        <v>9921427</v>
      </c>
      <c r="J1313" s="12">
        <v>46112</v>
      </c>
      <c r="K1313" s="12">
        <v>46112</v>
      </c>
      <c r="L1313" s="12">
        <v>46148</v>
      </c>
      <c r="M1313">
        <v>-16</v>
      </c>
      <c r="N1313">
        <v>248306265</v>
      </c>
      <c r="O1313">
        <v>0</v>
      </c>
      <c r="P1313">
        <v>248306265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 t="s">
        <v>47</v>
      </c>
      <c r="AA1313" t="s">
        <v>76</v>
      </c>
      <c r="AB1313" t="s">
        <v>51</v>
      </c>
      <c r="AC1313" t="s">
        <v>51</v>
      </c>
      <c r="AD1313" t="s">
        <v>51</v>
      </c>
      <c r="AE1313" t="s">
        <v>1200</v>
      </c>
      <c r="AF1313" t="s">
        <v>72</v>
      </c>
    </row>
    <row r="1314" spans="1:32" ht="14.5" customHeight="1" x14ac:dyDescent="0.35">
      <c r="A1314" t="s">
        <v>774</v>
      </c>
      <c r="B1314" t="s">
        <v>1193</v>
      </c>
      <c r="C1314" t="s">
        <v>47</v>
      </c>
      <c r="D1314">
        <v>3001227</v>
      </c>
      <c r="E1314">
        <v>3001227</v>
      </c>
      <c r="F1314" t="s">
        <v>1194</v>
      </c>
      <c r="G1314" t="s">
        <v>1194</v>
      </c>
      <c r="H1314" t="s">
        <v>54</v>
      </c>
      <c r="I1314">
        <v>9923379</v>
      </c>
      <c r="J1314" s="12">
        <v>46121</v>
      </c>
      <c r="K1314" s="12">
        <v>46121</v>
      </c>
      <c r="L1314" s="12">
        <v>46157</v>
      </c>
      <c r="M1314">
        <v>-25</v>
      </c>
      <c r="N1314">
        <v>118066455</v>
      </c>
      <c r="O1314">
        <v>0</v>
      </c>
      <c r="P1314">
        <v>118066455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 t="s">
        <v>47</v>
      </c>
      <c r="AA1314" t="s">
        <v>76</v>
      </c>
      <c r="AB1314" t="s">
        <v>51</v>
      </c>
      <c r="AC1314" t="s">
        <v>51</v>
      </c>
      <c r="AD1314" t="s">
        <v>51</v>
      </c>
      <c r="AE1314" t="s">
        <v>1201</v>
      </c>
      <c r="AF1314" t="s">
        <v>787</v>
      </c>
    </row>
    <row r="1315" spans="1:32" ht="14.5" customHeight="1" x14ac:dyDescent="0.35">
      <c r="A1315" t="s">
        <v>774</v>
      </c>
      <c r="B1315" t="s">
        <v>1193</v>
      </c>
      <c r="C1315" t="s">
        <v>47</v>
      </c>
      <c r="D1315">
        <v>3001227</v>
      </c>
      <c r="E1315">
        <v>3001227</v>
      </c>
      <c r="F1315" t="s">
        <v>1194</v>
      </c>
      <c r="G1315" t="s">
        <v>1194</v>
      </c>
      <c r="H1315" t="s">
        <v>54</v>
      </c>
      <c r="I1315">
        <v>9923392</v>
      </c>
      <c r="J1315" s="12">
        <v>46121</v>
      </c>
      <c r="K1315" s="12">
        <v>46121</v>
      </c>
      <c r="L1315" s="12">
        <v>46157</v>
      </c>
      <c r="M1315">
        <v>-25</v>
      </c>
      <c r="N1315">
        <v>621814470</v>
      </c>
      <c r="O1315">
        <v>0</v>
      </c>
      <c r="P1315">
        <v>621814470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 t="s">
        <v>47</v>
      </c>
      <c r="AA1315" t="s">
        <v>76</v>
      </c>
      <c r="AB1315" t="s">
        <v>51</v>
      </c>
      <c r="AC1315" t="s">
        <v>51</v>
      </c>
      <c r="AD1315" t="s">
        <v>51</v>
      </c>
      <c r="AE1315" t="s">
        <v>1202</v>
      </c>
      <c r="AF1315" t="s">
        <v>354</v>
      </c>
    </row>
    <row r="1316" spans="1:32" ht="14.5" customHeight="1" x14ac:dyDescent="0.35">
      <c r="A1316" t="s">
        <v>774</v>
      </c>
      <c r="B1316" t="s">
        <v>1193</v>
      </c>
      <c r="C1316" t="s">
        <v>47</v>
      </c>
      <c r="D1316">
        <v>3001227</v>
      </c>
      <c r="E1316">
        <v>3001227</v>
      </c>
      <c r="F1316" t="s">
        <v>1194</v>
      </c>
      <c r="G1316" t="s">
        <v>1194</v>
      </c>
      <c r="H1316" t="s">
        <v>54</v>
      </c>
      <c r="I1316">
        <v>9926134</v>
      </c>
      <c r="J1316" s="12">
        <v>46128</v>
      </c>
      <c r="K1316" s="12">
        <v>46128</v>
      </c>
      <c r="L1316" s="12">
        <v>46164</v>
      </c>
      <c r="M1316">
        <v>-32</v>
      </c>
      <c r="N1316">
        <v>588647870</v>
      </c>
      <c r="O1316">
        <v>0</v>
      </c>
      <c r="P1316">
        <v>588647870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 t="s">
        <v>47</v>
      </c>
      <c r="AA1316" t="s">
        <v>76</v>
      </c>
      <c r="AB1316" t="s">
        <v>51</v>
      </c>
      <c r="AC1316" t="s">
        <v>51</v>
      </c>
      <c r="AD1316" t="s">
        <v>51</v>
      </c>
      <c r="AE1316" t="s">
        <v>1203</v>
      </c>
      <c r="AF1316" t="s">
        <v>627</v>
      </c>
    </row>
    <row r="1317" spans="1:32" ht="14.5" customHeight="1" x14ac:dyDescent="0.35">
      <c r="A1317" t="s">
        <v>774</v>
      </c>
      <c r="B1317" t="s">
        <v>1193</v>
      </c>
      <c r="C1317" t="s">
        <v>47</v>
      </c>
      <c r="D1317">
        <v>3001227</v>
      </c>
      <c r="E1317">
        <v>3001227</v>
      </c>
      <c r="F1317" t="s">
        <v>1194</v>
      </c>
      <c r="G1317" t="s">
        <v>1194</v>
      </c>
      <c r="H1317" t="s">
        <v>54</v>
      </c>
      <c r="I1317">
        <v>9926135</v>
      </c>
      <c r="J1317" s="12">
        <v>46128</v>
      </c>
      <c r="K1317" s="12">
        <v>46128</v>
      </c>
      <c r="L1317" s="12">
        <v>46164</v>
      </c>
      <c r="M1317">
        <v>-32</v>
      </c>
      <c r="N1317">
        <v>329119</v>
      </c>
      <c r="O1317">
        <v>0</v>
      </c>
      <c r="P1317">
        <v>329119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 t="s">
        <v>47</v>
      </c>
      <c r="AA1317" t="s">
        <v>76</v>
      </c>
      <c r="AB1317" t="s">
        <v>51</v>
      </c>
      <c r="AC1317" t="s">
        <v>51</v>
      </c>
      <c r="AD1317" t="s">
        <v>51</v>
      </c>
      <c r="AE1317" t="s">
        <v>1204</v>
      </c>
      <c r="AF1317" t="s">
        <v>163</v>
      </c>
    </row>
    <row r="1318" spans="1:32" ht="14.5" customHeight="1" x14ac:dyDescent="0.35">
      <c r="A1318" t="s">
        <v>73</v>
      </c>
      <c r="B1318" t="s">
        <v>74</v>
      </c>
      <c r="C1318" t="s">
        <v>47</v>
      </c>
      <c r="D1318">
        <v>3001235</v>
      </c>
      <c r="E1318">
        <v>3001235</v>
      </c>
      <c r="F1318" t="s">
        <v>1205</v>
      </c>
      <c r="G1318" t="s">
        <v>1205</v>
      </c>
      <c r="H1318" t="s">
        <v>54</v>
      </c>
      <c r="I1318">
        <v>6959034</v>
      </c>
      <c r="J1318" s="12">
        <v>46125</v>
      </c>
      <c r="K1318" s="12">
        <v>46125</v>
      </c>
      <c r="L1318" s="12">
        <v>46125</v>
      </c>
      <c r="M1318">
        <v>7</v>
      </c>
      <c r="N1318">
        <v>-80108</v>
      </c>
      <c r="O1318">
        <v>-80108</v>
      </c>
      <c r="P1318">
        <v>0</v>
      </c>
      <c r="Q1318">
        <v>-80108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 t="s">
        <v>47</v>
      </c>
      <c r="AA1318" t="s">
        <v>76</v>
      </c>
      <c r="AB1318" t="s">
        <v>51</v>
      </c>
      <c r="AC1318" t="s">
        <v>51</v>
      </c>
      <c r="AD1318" t="s">
        <v>51</v>
      </c>
      <c r="AE1318" t="s">
        <v>51</v>
      </c>
      <c r="AF1318" t="s">
        <v>1206</v>
      </c>
    </row>
    <row r="1319" spans="1:32" ht="14.5" customHeight="1" x14ac:dyDescent="0.35">
      <c r="A1319" t="s">
        <v>73</v>
      </c>
      <c r="B1319" t="s">
        <v>74</v>
      </c>
      <c r="C1319" t="s">
        <v>47</v>
      </c>
      <c r="D1319">
        <v>3001235</v>
      </c>
      <c r="E1319">
        <v>3001235</v>
      </c>
      <c r="F1319" t="s">
        <v>1205</v>
      </c>
      <c r="G1319" t="s">
        <v>1205</v>
      </c>
      <c r="H1319" t="s">
        <v>54</v>
      </c>
      <c r="I1319">
        <v>6959164</v>
      </c>
      <c r="J1319" s="12">
        <v>46125</v>
      </c>
      <c r="K1319" s="12">
        <v>46125</v>
      </c>
      <c r="L1319" s="12">
        <v>46125</v>
      </c>
      <c r="M1319">
        <v>7</v>
      </c>
      <c r="N1319">
        <v>-100000</v>
      </c>
      <c r="O1319">
        <v>-100000</v>
      </c>
      <c r="P1319">
        <v>0</v>
      </c>
      <c r="Q1319">
        <v>-100000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 t="s">
        <v>47</v>
      </c>
      <c r="AA1319" t="s">
        <v>76</v>
      </c>
      <c r="AB1319" t="s">
        <v>51</v>
      </c>
      <c r="AC1319" t="s">
        <v>51</v>
      </c>
      <c r="AD1319" t="s">
        <v>51</v>
      </c>
      <c r="AE1319" t="s">
        <v>51</v>
      </c>
      <c r="AF1319" t="s">
        <v>1207</v>
      </c>
    </row>
    <row r="1320" spans="1:32" ht="14.5" customHeight="1" x14ac:dyDescent="0.35">
      <c r="A1320" t="s">
        <v>73</v>
      </c>
      <c r="B1320" t="s">
        <v>74</v>
      </c>
      <c r="C1320" t="s">
        <v>47</v>
      </c>
      <c r="D1320">
        <v>3001235</v>
      </c>
      <c r="E1320">
        <v>3001235</v>
      </c>
      <c r="F1320" t="s">
        <v>1205</v>
      </c>
      <c r="G1320" t="s">
        <v>1205</v>
      </c>
      <c r="H1320" t="s">
        <v>54</v>
      </c>
      <c r="I1320">
        <v>6959169</v>
      </c>
      <c r="J1320" s="12">
        <v>46125</v>
      </c>
      <c r="K1320" s="12">
        <v>46125</v>
      </c>
      <c r="L1320" s="12">
        <v>46125</v>
      </c>
      <c r="M1320">
        <v>7</v>
      </c>
      <c r="N1320">
        <v>-6095360</v>
      </c>
      <c r="O1320">
        <v>-6095360</v>
      </c>
      <c r="P1320">
        <v>0</v>
      </c>
      <c r="Q1320">
        <v>-6095360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 t="s">
        <v>47</v>
      </c>
      <c r="AA1320" t="s">
        <v>76</v>
      </c>
      <c r="AB1320" t="s">
        <v>51</v>
      </c>
      <c r="AC1320" t="s">
        <v>51</v>
      </c>
      <c r="AD1320" t="s">
        <v>51</v>
      </c>
      <c r="AE1320" t="s">
        <v>51</v>
      </c>
      <c r="AF1320" t="s">
        <v>1208</v>
      </c>
    </row>
    <row r="1321" spans="1:32" ht="14.5" customHeight="1" x14ac:dyDescent="0.35">
      <c r="A1321" t="s">
        <v>73</v>
      </c>
      <c r="B1321" t="s">
        <v>74</v>
      </c>
      <c r="C1321" t="s">
        <v>47</v>
      </c>
      <c r="D1321">
        <v>3001235</v>
      </c>
      <c r="E1321">
        <v>3001235</v>
      </c>
      <c r="F1321" t="s">
        <v>1205</v>
      </c>
      <c r="G1321" t="s">
        <v>1205</v>
      </c>
      <c r="H1321" t="s">
        <v>54</v>
      </c>
      <c r="I1321">
        <v>6959250</v>
      </c>
      <c r="J1321" s="12">
        <v>46126</v>
      </c>
      <c r="K1321" s="12">
        <v>46126</v>
      </c>
      <c r="L1321" s="12">
        <v>46126</v>
      </c>
      <c r="M1321">
        <v>6</v>
      </c>
      <c r="N1321">
        <v>-1830103</v>
      </c>
      <c r="O1321">
        <v>-1830103</v>
      </c>
      <c r="P1321">
        <v>0</v>
      </c>
      <c r="Q1321">
        <v>-1830103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 t="s">
        <v>47</v>
      </c>
      <c r="AA1321" t="s">
        <v>76</v>
      </c>
      <c r="AB1321" t="s">
        <v>51</v>
      </c>
      <c r="AC1321" t="s">
        <v>51</v>
      </c>
      <c r="AD1321" t="s">
        <v>51</v>
      </c>
      <c r="AE1321" t="s">
        <v>51</v>
      </c>
      <c r="AF1321" t="s">
        <v>1209</v>
      </c>
    </row>
    <row r="1322" spans="1:32" ht="14.5" customHeight="1" x14ac:dyDescent="0.35">
      <c r="A1322" t="s">
        <v>73</v>
      </c>
      <c r="B1322" t="s">
        <v>74</v>
      </c>
      <c r="C1322" t="s">
        <v>47</v>
      </c>
      <c r="D1322">
        <v>3001235</v>
      </c>
      <c r="E1322">
        <v>3001235</v>
      </c>
      <c r="F1322" t="s">
        <v>1205</v>
      </c>
      <c r="G1322" t="s">
        <v>1205</v>
      </c>
      <c r="H1322" t="s">
        <v>54</v>
      </c>
      <c r="I1322">
        <v>6959251</v>
      </c>
      <c r="J1322" s="12">
        <v>46126</v>
      </c>
      <c r="K1322" s="12">
        <v>46126</v>
      </c>
      <c r="L1322" s="12">
        <v>46126</v>
      </c>
      <c r="M1322">
        <v>6</v>
      </c>
      <c r="N1322">
        <v>-9000000</v>
      </c>
      <c r="O1322">
        <v>-9000000</v>
      </c>
      <c r="P1322">
        <v>0</v>
      </c>
      <c r="Q1322">
        <v>-9000000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 t="s">
        <v>47</v>
      </c>
      <c r="AA1322" t="s">
        <v>76</v>
      </c>
      <c r="AB1322" t="s">
        <v>51</v>
      </c>
      <c r="AC1322" t="s">
        <v>51</v>
      </c>
      <c r="AD1322" t="s">
        <v>51</v>
      </c>
      <c r="AE1322" t="s">
        <v>51</v>
      </c>
      <c r="AF1322" t="s">
        <v>1210</v>
      </c>
    </row>
    <row r="1323" spans="1:32" ht="14.5" customHeight="1" x14ac:dyDescent="0.35">
      <c r="A1323" t="s">
        <v>73</v>
      </c>
      <c r="B1323" t="s">
        <v>74</v>
      </c>
      <c r="C1323" t="s">
        <v>47</v>
      </c>
      <c r="D1323">
        <v>3001235</v>
      </c>
      <c r="E1323">
        <v>3001235</v>
      </c>
      <c r="F1323" t="s">
        <v>1205</v>
      </c>
      <c r="G1323" t="s">
        <v>1205</v>
      </c>
      <c r="H1323" t="s">
        <v>54</v>
      </c>
      <c r="I1323">
        <v>6959252</v>
      </c>
      <c r="J1323" s="12">
        <v>46126</v>
      </c>
      <c r="K1323" s="12">
        <v>46126</v>
      </c>
      <c r="L1323" s="12">
        <v>46126</v>
      </c>
      <c r="M1323">
        <v>6</v>
      </c>
      <c r="N1323">
        <v>-12589500</v>
      </c>
      <c r="O1323">
        <v>-12589500</v>
      </c>
      <c r="P1323">
        <v>0</v>
      </c>
      <c r="Q1323">
        <v>-12589500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 t="s">
        <v>47</v>
      </c>
      <c r="AA1323" t="s">
        <v>76</v>
      </c>
      <c r="AB1323" t="s">
        <v>51</v>
      </c>
      <c r="AC1323" t="s">
        <v>51</v>
      </c>
      <c r="AD1323" t="s">
        <v>51</v>
      </c>
      <c r="AE1323" t="s">
        <v>51</v>
      </c>
      <c r="AF1323" t="s">
        <v>1211</v>
      </c>
    </row>
    <row r="1324" spans="1:32" ht="14.5" customHeight="1" x14ac:dyDescent="0.35">
      <c r="A1324" t="s">
        <v>73</v>
      </c>
      <c r="B1324" t="s">
        <v>74</v>
      </c>
      <c r="C1324" t="s">
        <v>47</v>
      </c>
      <c r="D1324">
        <v>3001235</v>
      </c>
      <c r="E1324">
        <v>3001235</v>
      </c>
      <c r="F1324" t="s">
        <v>1205</v>
      </c>
      <c r="G1324" t="s">
        <v>1205</v>
      </c>
      <c r="H1324" t="s">
        <v>54</v>
      </c>
      <c r="I1324">
        <v>6959253</v>
      </c>
      <c r="J1324" s="12">
        <v>46126</v>
      </c>
      <c r="K1324" s="12">
        <v>46126</v>
      </c>
      <c r="L1324" s="12">
        <v>46126</v>
      </c>
      <c r="M1324">
        <v>6</v>
      </c>
      <c r="N1324">
        <v>-50000</v>
      </c>
      <c r="O1324">
        <v>-50000</v>
      </c>
      <c r="P1324">
        <v>0</v>
      </c>
      <c r="Q1324">
        <v>-50000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 t="s">
        <v>47</v>
      </c>
      <c r="AA1324" t="s">
        <v>76</v>
      </c>
      <c r="AB1324" t="s">
        <v>51</v>
      </c>
      <c r="AC1324" t="s">
        <v>51</v>
      </c>
      <c r="AD1324" t="s">
        <v>51</v>
      </c>
      <c r="AE1324" t="s">
        <v>51</v>
      </c>
      <c r="AF1324" t="s">
        <v>1212</v>
      </c>
    </row>
    <row r="1325" spans="1:32" ht="14.5" customHeight="1" x14ac:dyDescent="0.35">
      <c r="A1325" t="s">
        <v>73</v>
      </c>
      <c r="B1325" t="s">
        <v>74</v>
      </c>
      <c r="C1325" t="s">
        <v>47</v>
      </c>
      <c r="D1325">
        <v>3001235</v>
      </c>
      <c r="E1325">
        <v>3001235</v>
      </c>
      <c r="F1325" t="s">
        <v>1205</v>
      </c>
      <c r="G1325" t="s">
        <v>1205</v>
      </c>
      <c r="H1325" t="s">
        <v>54</v>
      </c>
      <c r="I1325">
        <v>6959254</v>
      </c>
      <c r="J1325" s="12">
        <v>46126</v>
      </c>
      <c r="K1325" s="12">
        <v>46126</v>
      </c>
      <c r="L1325" s="12">
        <v>46126</v>
      </c>
      <c r="M1325">
        <v>6</v>
      </c>
      <c r="N1325">
        <v>-3910381</v>
      </c>
      <c r="O1325">
        <v>-3910381</v>
      </c>
      <c r="P1325">
        <v>0</v>
      </c>
      <c r="Q1325">
        <v>-3910381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 t="s">
        <v>47</v>
      </c>
      <c r="AA1325" t="s">
        <v>76</v>
      </c>
      <c r="AB1325" t="s">
        <v>51</v>
      </c>
      <c r="AC1325" t="s">
        <v>51</v>
      </c>
      <c r="AD1325" t="s">
        <v>51</v>
      </c>
      <c r="AE1325" t="s">
        <v>51</v>
      </c>
      <c r="AF1325" t="s">
        <v>1213</v>
      </c>
    </row>
    <row r="1326" spans="1:32" ht="14.5" customHeight="1" x14ac:dyDescent="0.35">
      <c r="A1326" t="s">
        <v>73</v>
      </c>
      <c r="B1326" t="s">
        <v>74</v>
      </c>
      <c r="C1326" t="s">
        <v>47</v>
      </c>
      <c r="D1326">
        <v>3001235</v>
      </c>
      <c r="E1326">
        <v>3001235</v>
      </c>
      <c r="F1326" t="s">
        <v>1205</v>
      </c>
      <c r="G1326" t="s">
        <v>1205</v>
      </c>
      <c r="H1326" t="s">
        <v>54</v>
      </c>
      <c r="I1326">
        <v>6959259</v>
      </c>
      <c r="J1326" s="12">
        <v>46126</v>
      </c>
      <c r="K1326" s="12">
        <v>46126</v>
      </c>
      <c r="L1326" s="12">
        <v>46126</v>
      </c>
      <c r="M1326">
        <v>6</v>
      </c>
      <c r="N1326">
        <v>-57854</v>
      </c>
      <c r="O1326">
        <v>-57854</v>
      </c>
      <c r="P1326">
        <v>0</v>
      </c>
      <c r="Q1326">
        <v>-57854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 t="s">
        <v>47</v>
      </c>
      <c r="AA1326" t="s">
        <v>76</v>
      </c>
      <c r="AB1326" t="s">
        <v>51</v>
      </c>
      <c r="AC1326" t="s">
        <v>51</v>
      </c>
      <c r="AD1326" t="s">
        <v>51</v>
      </c>
      <c r="AE1326" t="s">
        <v>51</v>
      </c>
      <c r="AF1326" t="s">
        <v>1214</v>
      </c>
    </row>
    <row r="1327" spans="1:32" ht="14.5" customHeight="1" x14ac:dyDescent="0.35">
      <c r="A1327" t="s">
        <v>73</v>
      </c>
      <c r="B1327" t="s">
        <v>74</v>
      </c>
      <c r="C1327" t="s">
        <v>47</v>
      </c>
      <c r="D1327">
        <v>3001235</v>
      </c>
      <c r="E1327">
        <v>3001235</v>
      </c>
      <c r="F1327" t="s">
        <v>1205</v>
      </c>
      <c r="G1327" t="s">
        <v>1205</v>
      </c>
      <c r="H1327" t="s">
        <v>54</v>
      </c>
      <c r="I1327">
        <v>6959299</v>
      </c>
      <c r="J1327" s="12">
        <v>46126</v>
      </c>
      <c r="K1327" s="12">
        <v>46126</v>
      </c>
      <c r="L1327" s="12">
        <v>46126</v>
      </c>
      <c r="M1327">
        <v>6</v>
      </c>
      <c r="N1327">
        <v>-229843</v>
      </c>
      <c r="O1327">
        <v>-229843</v>
      </c>
      <c r="P1327">
        <v>0</v>
      </c>
      <c r="Q1327">
        <v>-229843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 t="s">
        <v>47</v>
      </c>
      <c r="AA1327" t="s">
        <v>76</v>
      </c>
      <c r="AB1327" t="s">
        <v>51</v>
      </c>
      <c r="AC1327" t="s">
        <v>51</v>
      </c>
      <c r="AD1327" t="s">
        <v>51</v>
      </c>
      <c r="AE1327" t="s">
        <v>51</v>
      </c>
      <c r="AF1327" t="s">
        <v>1215</v>
      </c>
    </row>
    <row r="1328" spans="1:32" ht="14.5" customHeight="1" x14ac:dyDescent="0.35">
      <c r="A1328" t="s">
        <v>73</v>
      </c>
      <c r="B1328" t="s">
        <v>74</v>
      </c>
      <c r="C1328" t="s">
        <v>47</v>
      </c>
      <c r="D1328">
        <v>3001235</v>
      </c>
      <c r="E1328">
        <v>3001235</v>
      </c>
      <c r="F1328" t="s">
        <v>1205</v>
      </c>
      <c r="G1328" t="s">
        <v>1205</v>
      </c>
      <c r="H1328" t="s">
        <v>54</v>
      </c>
      <c r="I1328">
        <v>6959300</v>
      </c>
      <c r="J1328" s="12">
        <v>46126</v>
      </c>
      <c r="K1328" s="12">
        <v>46126</v>
      </c>
      <c r="L1328" s="12">
        <v>46126</v>
      </c>
      <c r="M1328">
        <v>6</v>
      </c>
      <c r="N1328">
        <v>-2528684</v>
      </c>
      <c r="O1328">
        <v>-2528684</v>
      </c>
      <c r="P1328">
        <v>0</v>
      </c>
      <c r="Q1328">
        <v>-2528684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 t="s">
        <v>47</v>
      </c>
      <c r="AA1328" t="s">
        <v>76</v>
      </c>
      <c r="AB1328" t="s">
        <v>51</v>
      </c>
      <c r="AC1328" t="s">
        <v>51</v>
      </c>
      <c r="AD1328" t="s">
        <v>51</v>
      </c>
      <c r="AE1328" t="s">
        <v>51</v>
      </c>
      <c r="AF1328" t="s">
        <v>1216</v>
      </c>
    </row>
    <row r="1329" spans="1:32" ht="14.5" customHeight="1" x14ac:dyDescent="0.35">
      <c r="A1329" t="s">
        <v>73</v>
      </c>
      <c r="B1329" t="s">
        <v>74</v>
      </c>
      <c r="C1329" t="s">
        <v>47</v>
      </c>
      <c r="D1329">
        <v>3001235</v>
      </c>
      <c r="E1329">
        <v>3001235</v>
      </c>
      <c r="F1329" t="s">
        <v>1205</v>
      </c>
      <c r="G1329" t="s">
        <v>1205</v>
      </c>
      <c r="H1329" t="s">
        <v>54</v>
      </c>
      <c r="I1329">
        <v>6959301</v>
      </c>
      <c r="J1329" s="12">
        <v>46126</v>
      </c>
      <c r="K1329" s="12">
        <v>46126</v>
      </c>
      <c r="L1329" s="12">
        <v>46126</v>
      </c>
      <c r="M1329">
        <v>6</v>
      </c>
      <c r="N1329">
        <v>-3079631</v>
      </c>
      <c r="O1329">
        <v>-3079631</v>
      </c>
      <c r="P1329">
        <v>0</v>
      </c>
      <c r="Q1329">
        <v>-3079631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 t="s">
        <v>47</v>
      </c>
      <c r="AA1329" t="s">
        <v>76</v>
      </c>
      <c r="AB1329" t="s">
        <v>51</v>
      </c>
      <c r="AC1329" t="s">
        <v>51</v>
      </c>
      <c r="AD1329" t="s">
        <v>51</v>
      </c>
      <c r="AE1329" t="s">
        <v>51</v>
      </c>
      <c r="AF1329" t="s">
        <v>1216</v>
      </c>
    </row>
    <row r="1330" spans="1:32" ht="14.5" customHeight="1" x14ac:dyDescent="0.35">
      <c r="A1330" t="s">
        <v>73</v>
      </c>
      <c r="B1330" t="s">
        <v>74</v>
      </c>
      <c r="C1330" t="s">
        <v>47</v>
      </c>
      <c r="D1330">
        <v>3001235</v>
      </c>
      <c r="E1330">
        <v>3001235</v>
      </c>
      <c r="F1330" t="s">
        <v>1205</v>
      </c>
      <c r="G1330" t="s">
        <v>1205</v>
      </c>
      <c r="H1330" t="s">
        <v>54</v>
      </c>
      <c r="I1330">
        <v>6959302</v>
      </c>
      <c r="J1330" s="12">
        <v>46126</v>
      </c>
      <c r="K1330" s="12">
        <v>46126</v>
      </c>
      <c r="L1330" s="12">
        <v>46126</v>
      </c>
      <c r="M1330">
        <v>6</v>
      </c>
      <c r="N1330">
        <v>-572670</v>
      </c>
      <c r="O1330">
        <v>-572670</v>
      </c>
      <c r="P1330">
        <v>0</v>
      </c>
      <c r="Q1330">
        <v>-572670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 t="s">
        <v>47</v>
      </c>
      <c r="AA1330" t="s">
        <v>76</v>
      </c>
      <c r="AB1330" t="s">
        <v>51</v>
      </c>
      <c r="AC1330" t="s">
        <v>51</v>
      </c>
      <c r="AD1330" t="s">
        <v>51</v>
      </c>
      <c r="AE1330" t="s">
        <v>51</v>
      </c>
      <c r="AF1330" t="s">
        <v>1217</v>
      </c>
    </row>
    <row r="1331" spans="1:32" ht="14.5" customHeight="1" x14ac:dyDescent="0.35">
      <c r="A1331" t="s">
        <v>73</v>
      </c>
      <c r="B1331" t="s">
        <v>74</v>
      </c>
      <c r="C1331" t="s">
        <v>47</v>
      </c>
      <c r="D1331">
        <v>3001235</v>
      </c>
      <c r="E1331">
        <v>3001235</v>
      </c>
      <c r="F1331" t="s">
        <v>1205</v>
      </c>
      <c r="G1331" t="s">
        <v>1205</v>
      </c>
      <c r="H1331" t="s">
        <v>54</v>
      </c>
      <c r="I1331">
        <v>6959303</v>
      </c>
      <c r="J1331" s="12">
        <v>46126</v>
      </c>
      <c r="K1331" s="12">
        <v>46126</v>
      </c>
      <c r="L1331" s="12">
        <v>46126</v>
      </c>
      <c r="M1331">
        <v>6</v>
      </c>
      <c r="N1331">
        <v>-85317</v>
      </c>
      <c r="O1331">
        <v>-85317</v>
      </c>
      <c r="P1331">
        <v>0</v>
      </c>
      <c r="Q1331">
        <v>-85317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 t="s">
        <v>47</v>
      </c>
      <c r="AA1331" t="s">
        <v>76</v>
      </c>
      <c r="AB1331" t="s">
        <v>51</v>
      </c>
      <c r="AC1331" t="s">
        <v>51</v>
      </c>
      <c r="AD1331" t="s">
        <v>51</v>
      </c>
      <c r="AE1331" t="s">
        <v>51</v>
      </c>
      <c r="AF1331" t="s">
        <v>1218</v>
      </c>
    </row>
    <row r="1332" spans="1:32" ht="14.5" customHeight="1" x14ac:dyDescent="0.35">
      <c r="A1332" t="s">
        <v>73</v>
      </c>
      <c r="B1332" t="s">
        <v>74</v>
      </c>
      <c r="C1332" t="s">
        <v>47</v>
      </c>
      <c r="D1332">
        <v>3001235</v>
      </c>
      <c r="E1332">
        <v>3001235</v>
      </c>
      <c r="F1332" t="s">
        <v>1205</v>
      </c>
      <c r="G1332" t="s">
        <v>1205</v>
      </c>
      <c r="H1332" t="s">
        <v>54</v>
      </c>
      <c r="I1332">
        <v>6959317</v>
      </c>
      <c r="J1332" s="12">
        <v>46126</v>
      </c>
      <c r="K1332" s="12">
        <v>46126</v>
      </c>
      <c r="L1332" s="12">
        <v>46126</v>
      </c>
      <c r="M1332">
        <v>6</v>
      </c>
      <c r="N1332">
        <v>-8502000</v>
      </c>
      <c r="O1332">
        <v>-8502000</v>
      </c>
      <c r="P1332">
        <v>0</v>
      </c>
      <c r="Q1332">
        <v>-8502000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 t="s">
        <v>47</v>
      </c>
      <c r="AA1332" t="s">
        <v>76</v>
      </c>
      <c r="AB1332" t="s">
        <v>51</v>
      </c>
      <c r="AC1332" t="s">
        <v>51</v>
      </c>
      <c r="AD1332" t="s">
        <v>51</v>
      </c>
      <c r="AE1332" t="s">
        <v>51</v>
      </c>
      <c r="AF1332" t="s">
        <v>1219</v>
      </c>
    </row>
    <row r="1333" spans="1:32" ht="14.5" customHeight="1" x14ac:dyDescent="0.35">
      <c r="A1333" t="s">
        <v>73</v>
      </c>
      <c r="B1333" t="s">
        <v>74</v>
      </c>
      <c r="C1333" t="s">
        <v>47</v>
      </c>
      <c r="D1333">
        <v>3001235</v>
      </c>
      <c r="E1333">
        <v>3001235</v>
      </c>
      <c r="F1333" t="s">
        <v>1205</v>
      </c>
      <c r="G1333" t="s">
        <v>1205</v>
      </c>
      <c r="H1333" t="s">
        <v>54</v>
      </c>
      <c r="I1333">
        <v>6959318</v>
      </c>
      <c r="J1333" s="12">
        <v>46126</v>
      </c>
      <c r="K1333" s="12">
        <v>46126</v>
      </c>
      <c r="L1333" s="12">
        <v>46126</v>
      </c>
      <c r="M1333">
        <v>6</v>
      </c>
      <c r="N1333">
        <v>-4578000</v>
      </c>
      <c r="O1333">
        <v>-4578000</v>
      </c>
      <c r="P1333">
        <v>0</v>
      </c>
      <c r="Q1333">
        <v>-4578000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 t="s">
        <v>47</v>
      </c>
      <c r="AA1333" t="s">
        <v>76</v>
      </c>
      <c r="AB1333" t="s">
        <v>51</v>
      </c>
      <c r="AC1333" t="s">
        <v>51</v>
      </c>
      <c r="AD1333" t="s">
        <v>51</v>
      </c>
      <c r="AE1333" t="s">
        <v>51</v>
      </c>
      <c r="AF1333" t="s">
        <v>1220</v>
      </c>
    </row>
    <row r="1334" spans="1:32" ht="14.5" customHeight="1" x14ac:dyDescent="0.35">
      <c r="A1334" t="s">
        <v>73</v>
      </c>
      <c r="B1334" t="s">
        <v>74</v>
      </c>
      <c r="C1334" t="s">
        <v>47</v>
      </c>
      <c r="D1334">
        <v>3001235</v>
      </c>
      <c r="E1334">
        <v>3001235</v>
      </c>
      <c r="F1334" t="s">
        <v>1205</v>
      </c>
      <c r="G1334" t="s">
        <v>1205</v>
      </c>
      <c r="H1334" t="s">
        <v>54</v>
      </c>
      <c r="I1334">
        <v>6959319</v>
      </c>
      <c r="J1334" s="12">
        <v>46126</v>
      </c>
      <c r="K1334" s="12">
        <v>46126</v>
      </c>
      <c r="L1334" s="12">
        <v>46126</v>
      </c>
      <c r="M1334">
        <v>6</v>
      </c>
      <c r="N1334">
        <v>-716922</v>
      </c>
      <c r="O1334">
        <v>-716922</v>
      </c>
      <c r="P1334">
        <v>0</v>
      </c>
      <c r="Q1334">
        <v>-716922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 t="s">
        <v>47</v>
      </c>
      <c r="AA1334" t="s">
        <v>76</v>
      </c>
      <c r="AB1334" t="s">
        <v>51</v>
      </c>
      <c r="AC1334" t="s">
        <v>51</v>
      </c>
      <c r="AD1334" t="s">
        <v>51</v>
      </c>
      <c r="AE1334" t="s">
        <v>51</v>
      </c>
      <c r="AF1334" t="s">
        <v>1216</v>
      </c>
    </row>
    <row r="1335" spans="1:32" ht="14.5" customHeight="1" x14ac:dyDescent="0.35">
      <c r="A1335" t="s">
        <v>73</v>
      </c>
      <c r="B1335" t="s">
        <v>74</v>
      </c>
      <c r="C1335" t="s">
        <v>47</v>
      </c>
      <c r="D1335">
        <v>3001235</v>
      </c>
      <c r="E1335">
        <v>3001235</v>
      </c>
      <c r="F1335" t="s">
        <v>1205</v>
      </c>
      <c r="G1335" t="s">
        <v>1205</v>
      </c>
      <c r="H1335" t="s">
        <v>54</v>
      </c>
      <c r="I1335">
        <v>6959320</v>
      </c>
      <c r="J1335" s="12">
        <v>46126</v>
      </c>
      <c r="K1335" s="12">
        <v>46126</v>
      </c>
      <c r="L1335" s="12">
        <v>46126</v>
      </c>
      <c r="M1335">
        <v>6</v>
      </c>
      <c r="N1335">
        <v>-14715000</v>
      </c>
      <c r="O1335">
        <v>-14715000</v>
      </c>
      <c r="P1335">
        <v>0</v>
      </c>
      <c r="Q1335">
        <v>-14715000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 t="s">
        <v>47</v>
      </c>
      <c r="AA1335" t="s">
        <v>76</v>
      </c>
      <c r="AB1335" t="s">
        <v>51</v>
      </c>
      <c r="AC1335" t="s">
        <v>51</v>
      </c>
      <c r="AD1335" t="s">
        <v>51</v>
      </c>
      <c r="AE1335" t="s">
        <v>51</v>
      </c>
      <c r="AF1335" t="s">
        <v>1221</v>
      </c>
    </row>
    <row r="1336" spans="1:32" ht="14.5" customHeight="1" x14ac:dyDescent="0.35">
      <c r="A1336" t="s">
        <v>73</v>
      </c>
      <c r="B1336" t="s">
        <v>74</v>
      </c>
      <c r="C1336" t="s">
        <v>47</v>
      </c>
      <c r="D1336">
        <v>3001235</v>
      </c>
      <c r="E1336">
        <v>3001235</v>
      </c>
      <c r="F1336" t="s">
        <v>1205</v>
      </c>
      <c r="G1336" t="s">
        <v>1205</v>
      </c>
      <c r="H1336" t="s">
        <v>54</v>
      </c>
      <c r="I1336">
        <v>6959321</v>
      </c>
      <c r="J1336" s="12">
        <v>46126</v>
      </c>
      <c r="K1336" s="12">
        <v>46126</v>
      </c>
      <c r="L1336" s="12">
        <v>46126</v>
      </c>
      <c r="M1336">
        <v>6</v>
      </c>
      <c r="N1336">
        <v>-9810000</v>
      </c>
      <c r="O1336">
        <v>-9810000</v>
      </c>
      <c r="P1336">
        <v>0</v>
      </c>
      <c r="Q1336">
        <v>-9810000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 t="s">
        <v>47</v>
      </c>
      <c r="AA1336" t="s">
        <v>76</v>
      </c>
      <c r="AB1336" t="s">
        <v>51</v>
      </c>
      <c r="AC1336" t="s">
        <v>51</v>
      </c>
      <c r="AD1336" t="s">
        <v>51</v>
      </c>
      <c r="AE1336" t="s">
        <v>51</v>
      </c>
      <c r="AF1336" t="s">
        <v>1221</v>
      </c>
    </row>
    <row r="1337" spans="1:32" ht="14.5" customHeight="1" x14ac:dyDescent="0.35">
      <c r="A1337" t="s">
        <v>73</v>
      </c>
      <c r="B1337" t="s">
        <v>74</v>
      </c>
      <c r="C1337" t="s">
        <v>47</v>
      </c>
      <c r="D1337">
        <v>3001235</v>
      </c>
      <c r="E1337">
        <v>3001235</v>
      </c>
      <c r="F1337" t="s">
        <v>1205</v>
      </c>
      <c r="G1337" t="s">
        <v>1205</v>
      </c>
      <c r="H1337" t="s">
        <v>54</v>
      </c>
      <c r="I1337">
        <v>6959322</v>
      </c>
      <c r="J1337" s="12">
        <v>46126</v>
      </c>
      <c r="K1337" s="12">
        <v>46126</v>
      </c>
      <c r="L1337" s="12">
        <v>46126</v>
      </c>
      <c r="M1337">
        <v>6</v>
      </c>
      <c r="N1337">
        <v>-13734000</v>
      </c>
      <c r="O1337">
        <v>-13734000</v>
      </c>
      <c r="P1337">
        <v>0</v>
      </c>
      <c r="Q1337">
        <v>-13734000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 t="s">
        <v>47</v>
      </c>
      <c r="AA1337" t="s">
        <v>76</v>
      </c>
      <c r="AB1337" t="s">
        <v>51</v>
      </c>
      <c r="AC1337" t="s">
        <v>51</v>
      </c>
      <c r="AD1337" t="s">
        <v>51</v>
      </c>
      <c r="AE1337" t="s">
        <v>51</v>
      </c>
      <c r="AF1337" t="s">
        <v>1221</v>
      </c>
    </row>
    <row r="1338" spans="1:32" ht="14.5" customHeight="1" x14ac:dyDescent="0.35">
      <c r="A1338" t="s">
        <v>73</v>
      </c>
      <c r="B1338" t="s">
        <v>74</v>
      </c>
      <c r="C1338" t="s">
        <v>47</v>
      </c>
      <c r="D1338">
        <v>3001235</v>
      </c>
      <c r="E1338">
        <v>3001235</v>
      </c>
      <c r="F1338" t="s">
        <v>1205</v>
      </c>
      <c r="G1338" t="s">
        <v>1205</v>
      </c>
      <c r="H1338" t="s">
        <v>54</v>
      </c>
      <c r="I1338">
        <v>6959323</v>
      </c>
      <c r="J1338" s="12">
        <v>46126</v>
      </c>
      <c r="K1338" s="12">
        <v>46126</v>
      </c>
      <c r="L1338" s="12">
        <v>46126</v>
      </c>
      <c r="M1338">
        <v>6</v>
      </c>
      <c r="N1338">
        <v>-14715000</v>
      </c>
      <c r="O1338">
        <v>-14715000</v>
      </c>
      <c r="P1338">
        <v>0</v>
      </c>
      <c r="Q1338">
        <v>-14715000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 t="s">
        <v>47</v>
      </c>
      <c r="AA1338" t="s">
        <v>76</v>
      </c>
      <c r="AB1338" t="s">
        <v>51</v>
      </c>
      <c r="AC1338" t="s">
        <v>51</v>
      </c>
      <c r="AD1338" t="s">
        <v>51</v>
      </c>
      <c r="AE1338" t="s">
        <v>51</v>
      </c>
      <c r="AF1338" t="s">
        <v>1221</v>
      </c>
    </row>
    <row r="1339" spans="1:32" ht="14.5" customHeight="1" x14ac:dyDescent="0.35">
      <c r="A1339" t="s">
        <v>73</v>
      </c>
      <c r="B1339" t="s">
        <v>74</v>
      </c>
      <c r="C1339" t="s">
        <v>47</v>
      </c>
      <c r="D1339">
        <v>3001235</v>
      </c>
      <c r="E1339">
        <v>3001235</v>
      </c>
      <c r="F1339" t="s">
        <v>1205</v>
      </c>
      <c r="G1339" t="s">
        <v>1205</v>
      </c>
      <c r="H1339" t="s">
        <v>54</v>
      </c>
      <c r="I1339">
        <v>6959324</v>
      </c>
      <c r="J1339" s="12">
        <v>46126</v>
      </c>
      <c r="K1339" s="12">
        <v>46126</v>
      </c>
      <c r="L1339" s="12">
        <v>46126</v>
      </c>
      <c r="M1339">
        <v>6</v>
      </c>
      <c r="N1339">
        <v>-441000</v>
      </c>
      <c r="O1339">
        <v>-441000</v>
      </c>
      <c r="P1339">
        <v>0</v>
      </c>
      <c r="Q1339">
        <v>-441000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 t="s">
        <v>47</v>
      </c>
      <c r="AA1339" t="s">
        <v>76</v>
      </c>
      <c r="AB1339" t="s">
        <v>51</v>
      </c>
      <c r="AC1339" t="s">
        <v>51</v>
      </c>
      <c r="AD1339" t="s">
        <v>51</v>
      </c>
      <c r="AE1339" t="s">
        <v>51</v>
      </c>
      <c r="AF1339" t="s">
        <v>1222</v>
      </c>
    </row>
    <row r="1340" spans="1:32" ht="14.5" customHeight="1" x14ac:dyDescent="0.35">
      <c r="A1340" t="s">
        <v>73</v>
      </c>
      <c r="B1340" t="s">
        <v>74</v>
      </c>
      <c r="C1340" t="s">
        <v>47</v>
      </c>
      <c r="D1340">
        <v>3001235</v>
      </c>
      <c r="E1340">
        <v>3001235</v>
      </c>
      <c r="F1340" t="s">
        <v>1205</v>
      </c>
      <c r="G1340" t="s">
        <v>1205</v>
      </c>
      <c r="H1340" t="s">
        <v>54</v>
      </c>
      <c r="I1340">
        <v>6959325</v>
      </c>
      <c r="J1340" s="12">
        <v>46126</v>
      </c>
      <c r="K1340" s="12">
        <v>46126</v>
      </c>
      <c r="L1340" s="12">
        <v>46126</v>
      </c>
      <c r="M1340">
        <v>6</v>
      </c>
      <c r="N1340">
        <v>-2205000</v>
      </c>
      <c r="O1340">
        <v>-2205000</v>
      </c>
      <c r="P1340">
        <v>0</v>
      </c>
      <c r="Q1340">
        <v>-2205000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 t="s">
        <v>47</v>
      </c>
      <c r="AA1340" t="s">
        <v>76</v>
      </c>
      <c r="AB1340" t="s">
        <v>51</v>
      </c>
      <c r="AC1340" t="s">
        <v>51</v>
      </c>
      <c r="AD1340" t="s">
        <v>51</v>
      </c>
      <c r="AE1340" t="s">
        <v>51</v>
      </c>
      <c r="AF1340" t="s">
        <v>1222</v>
      </c>
    </row>
    <row r="1341" spans="1:32" ht="14.5" customHeight="1" x14ac:dyDescent="0.35">
      <c r="A1341" t="s">
        <v>73</v>
      </c>
      <c r="B1341" t="s">
        <v>74</v>
      </c>
      <c r="C1341" t="s">
        <v>47</v>
      </c>
      <c r="D1341">
        <v>3001235</v>
      </c>
      <c r="E1341">
        <v>3001235</v>
      </c>
      <c r="F1341" t="s">
        <v>1205</v>
      </c>
      <c r="G1341" t="s">
        <v>1205</v>
      </c>
      <c r="H1341" t="s">
        <v>54</v>
      </c>
      <c r="I1341">
        <v>6959326</v>
      </c>
      <c r="J1341" s="12">
        <v>46126</v>
      </c>
      <c r="K1341" s="12">
        <v>46126</v>
      </c>
      <c r="L1341" s="12">
        <v>46126</v>
      </c>
      <c r="M1341">
        <v>6</v>
      </c>
      <c r="N1341">
        <v>-19406714</v>
      </c>
      <c r="O1341">
        <v>-19406714</v>
      </c>
      <c r="P1341">
        <v>0</v>
      </c>
      <c r="Q1341">
        <v>-19406714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 t="s">
        <v>47</v>
      </c>
      <c r="AA1341" t="s">
        <v>76</v>
      </c>
      <c r="AB1341" t="s">
        <v>51</v>
      </c>
      <c r="AC1341" t="s">
        <v>51</v>
      </c>
      <c r="AD1341" t="s">
        <v>51</v>
      </c>
      <c r="AE1341" t="s">
        <v>51</v>
      </c>
      <c r="AF1341" t="s">
        <v>1223</v>
      </c>
    </row>
    <row r="1342" spans="1:32" ht="14.5" customHeight="1" x14ac:dyDescent="0.35">
      <c r="A1342" t="s">
        <v>73</v>
      </c>
      <c r="B1342" t="s">
        <v>74</v>
      </c>
      <c r="C1342" t="s">
        <v>47</v>
      </c>
      <c r="D1342">
        <v>3001235</v>
      </c>
      <c r="E1342">
        <v>3001235</v>
      </c>
      <c r="F1342" t="s">
        <v>1205</v>
      </c>
      <c r="G1342" t="s">
        <v>1205</v>
      </c>
      <c r="H1342" t="s">
        <v>54</v>
      </c>
      <c r="I1342">
        <v>9910594</v>
      </c>
      <c r="J1342" s="12">
        <v>46081</v>
      </c>
      <c r="K1342" s="12">
        <v>46081</v>
      </c>
      <c r="L1342" s="12">
        <v>46117</v>
      </c>
      <c r="M1342">
        <v>15</v>
      </c>
      <c r="N1342">
        <v>623165804</v>
      </c>
      <c r="O1342">
        <v>0</v>
      </c>
      <c r="P1342">
        <v>0</v>
      </c>
      <c r="Q1342">
        <v>623165804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 t="s">
        <v>47</v>
      </c>
      <c r="AA1342" t="s">
        <v>76</v>
      </c>
      <c r="AB1342" t="s">
        <v>51</v>
      </c>
      <c r="AC1342" t="s">
        <v>51</v>
      </c>
      <c r="AD1342" t="s">
        <v>51</v>
      </c>
      <c r="AE1342" t="s">
        <v>51</v>
      </c>
      <c r="AF1342" t="s">
        <v>167</v>
      </c>
    </row>
    <row r="1343" spans="1:32" ht="14.5" customHeight="1" x14ac:dyDescent="0.35">
      <c r="A1343" t="s">
        <v>73</v>
      </c>
      <c r="B1343" t="s">
        <v>74</v>
      </c>
      <c r="C1343" t="s">
        <v>47</v>
      </c>
      <c r="D1343">
        <v>3001235</v>
      </c>
      <c r="E1343">
        <v>3001235</v>
      </c>
      <c r="F1343" t="s">
        <v>1205</v>
      </c>
      <c r="G1343" t="s">
        <v>1205</v>
      </c>
      <c r="H1343" t="s">
        <v>54</v>
      </c>
      <c r="I1343">
        <v>9910601</v>
      </c>
      <c r="J1343" s="12">
        <v>46081</v>
      </c>
      <c r="K1343" s="12">
        <v>46081</v>
      </c>
      <c r="L1343" s="12">
        <v>46117</v>
      </c>
      <c r="M1343">
        <v>15</v>
      </c>
      <c r="N1343">
        <v>696484965</v>
      </c>
      <c r="O1343">
        <v>0</v>
      </c>
      <c r="P1343">
        <v>0</v>
      </c>
      <c r="Q1343">
        <v>696484965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 t="s">
        <v>47</v>
      </c>
      <c r="AA1343" t="s">
        <v>76</v>
      </c>
      <c r="AB1343" t="s">
        <v>51</v>
      </c>
      <c r="AC1343" t="s">
        <v>51</v>
      </c>
      <c r="AD1343" t="s">
        <v>51</v>
      </c>
      <c r="AE1343" t="s">
        <v>51</v>
      </c>
      <c r="AF1343" t="s">
        <v>271</v>
      </c>
    </row>
    <row r="1344" spans="1:32" ht="14.5" customHeight="1" x14ac:dyDescent="0.35">
      <c r="A1344" t="s">
        <v>73</v>
      </c>
      <c r="B1344" t="s">
        <v>74</v>
      </c>
      <c r="C1344" t="s">
        <v>47</v>
      </c>
      <c r="D1344">
        <v>3001235</v>
      </c>
      <c r="E1344">
        <v>3001235</v>
      </c>
      <c r="F1344" t="s">
        <v>1205</v>
      </c>
      <c r="G1344" t="s">
        <v>1205</v>
      </c>
      <c r="H1344" t="s">
        <v>54</v>
      </c>
      <c r="I1344">
        <v>9915628</v>
      </c>
      <c r="J1344" s="12">
        <v>46096</v>
      </c>
      <c r="K1344" s="12">
        <v>46096</v>
      </c>
      <c r="L1344" s="12">
        <v>46132</v>
      </c>
      <c r="M1344">
        <v>0</v>
      </c>
      <c r="N1344">
        <v>408993144</v>
      </c>
      <c r="O1344">
        <v>0</v>
      </c>
      <c r="P1344">
        <v>408993144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 t="s">
        <v>47</v>
      </c>
      <c r="AA1344" t="s">
        <v>76</v>
      </c>
      <c r="AB1344" t="s">
        <v>1224</v>
      </c>
      <c r="AC1344" t="s">
        <v>51</v>
      </c>
      <c r="AD1344" t="s">
        <v>51</v>
      </c>
      <c r="AE1344" t="s">
        <v>51</v>
      </c>
      <c r="AF1344" t="s">
        <v>352</v>
      </c>
    </row>
    <row r="1345" spans="1:32" ht="14.5" customHeight="1" x14ac:dyDescent="0.35">
      <c r="A1345" t="s">
        <v>73</v>
      </c>
      <c r="B1345" t="s">
        <v>74</v>
      </c>
      <c r="C1345" t="s">
        <v>47</v>
      </c>
      <c r="D1345">
        <v>3001235</v>
      </c>
      <c r="E1345">
        <v>3001235</v>
      </c>
      <c r="F1345" t="s">
        <v>1205</v>
      </c>
      <c r="G1345" t="s">
        <v>1205</v>
      </c>
      <c r="H1345" t="s">
        <v>140</v>
      </c>
      <c r="I1345">
        <v>9917457</v>
      </c>
      <c r="J1345" s="12">
        <v>46106</v>
      </c>
      <c r="K1345" s="12">
        <v>46106</v>
      </c>
      <c r="L1345" s="12">
        <v>46141</v>
      </c>
      <c r="M1345">
        <v>-9</v>
      </c>
      <c r="N1345">
        <v>3116984</v>
      </c>
      <c r="O1345">
        <v>0</v>
      </c>
      <c r="P1345">
        <v>3116984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 t="s">
        <v>47</v>
      </c>
      <c r="AA1345" t="s">
        <v>76</v>
      </c>
      <c r="AB1345" t="s">
        <v>51</v>
      </c>
      <c r="AC1345" t="s">
        <v>51</v>
      </c>
      <c r="AD1345" t="s">
        <v>1225</v>
      </c>
      <c r="AE1345" t="s">
        <v>51</v>
      </c>
      <c r="AF1345" t="s">
        <v>183</v>
      </c>
    </row>
    <row r="1346" spans="1:32" ht="14.5" customHeight="1" x14ac:dyDescent="0.35">
      <c r="A1346" t="s">
        <v>73</v>
      </c>
      <c r="B1346" t="s">
        <v>74</v>
      </c>
      <c r="C1346" t="s">
        <v>47</v>
      </c>
      <c r="D1346">
        <v>3001235</v>
      </c>
      <c r="E1346">
        <v>3001235</v>
      </c>
      <c r="F1346" t="s">
        <v>1205</v>
      </c>
      <c r="G1346" t="s">
        <v>1205</v>
      </c>
      <c r="H1346" t="s">
        <v>54</v>
      </c>
      <c r="I1346">
        <v>9920104</v>
      </c>
      <c r="J1346" s="12">
        <v>46111</v>
      </c>
      <c r="K1346" s="12">
        <v>46111</v>
      </c>
      <c r="L1346" s="12">
        <v>46147</v>
      </c>
      <c r="M1346">
        <v>-15</v>
      </c>
      <c r="N1346">
        <v>783021748</v>
      </c>
      <c r="O1346">
        <v>0</v>
      </c>
      <c r="P1346">
        <v>783021748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 t="s">
        <v>47</v>
      </c>
      <c r="AA1346" t="s">
        <v>76</v>
      </c>
      <c r="AB1346" t="s">
        <v>51</v>
      </c>
      <c r="AC1346" t="s">
        <v>51</v>
      </c>
      <c r="AD1346" t="s">
        <v>51</v>
      </c>
      <c r="AE1346" t="s">
        <v>1226</v>
      </c>
      <c r="AF1346" t="s">
        <v>195</v>
      </c>
    </row>
    <row r="1347" spans="1:32" ht="14.5" customHeight="1" x14ac:dyDescent="0.35">
      <c r="A1347" t="s">
        <v>73</v>
      </c>
      <c r="B1347" t="s">
        <v>74</v>
      </c>
      <c r="C1347" t="s">
        <v>47</v>
      </c>
      <c r="D1347">
        <v>3001235</v>
      </c>
      <c r="E1347">
        <v>3001235</v>
      </c>
      <c r="F1347" t="s">
        <v>1205</v>
      </c>
      <c r="G1347" t="s">
        <v>1205</v>
      </c>
      <c r="H1347" t="s">
        <v>54</v>
      </c>
      <c r="I1347">
        <v>9920105</v>
      </c>
      <c r="J1347" s="12">
        <v>46111</v>
      </c>
      <c r="K1347" s="12">
        <v>46111</v>
      </c>
      <c r="L1347" s="12">
        <v>46147</v>
      </c>
      <c r="M1347">
        <v>-15</v>
      </c>
      <c r="N1347">
        <v>987358</v>
      </c>
      <c r="O1347">
        <v>0</v>
      </c>
      <c r="P1347">
        <v>987358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 t="s">
        <v>47</v>
      </c>
      <c r="AA1347" t="s">
        <v>76</v>
      </c>
      <c r="AB1347" t="s">
        <v>51</v>
      </c>
      <c r="AC1347" t="s">
        <v>51</v>
      </c>
      <c r="AD1347" t="s">
        <v>51</v>
      </c>
      <c r="AE1347" t="s">
        <v>848</v>
      </c>
      <c r="AF1347" t="s">
        <v>163</v>
      </c>
    </row>
    <row r="1348" spans="1:32" ht="14.5" customHeight="1" x14ac:dyDescent="0.35">
      <c r="A1348" t="s">
        <v>73</v>
      </c>
      <c r="B1348" t="s">
        <v>74</v>
      </c>
      <c r="C1348" t="s">
        <v>47</v>
      </c>
      <c r="D1348">
        <v>3001235</v>
      </c>
      <c r="E1348">
        <v>3001235</v>
      </c>
      <c r="F1348" t="s">
        <v>1205</v>
      </c>
      <c r="G1348" t="s">
        <v>1205</v>
      </c>
      <c r="H1348" t="s">
        <v>54</v>
      </c>
      <c r="I1348">
        <v>9923176</v>
      </c>
      <c r="J1348" s="12">
        <v>46120</v>
      </c>
      <c r="K1348" s="12">
        <v>46120</v>
      </c>
      <c r="L1348" s="12">
        <v>46156</v>
      </c>
      <c r="M1348">
        <v>-24</v>
      </c>
      <c r="N1348">
        <v>1395858284</v>
      </c>
      <c r="O1348">
        <v>0</v>
      </c>
      <c r="P1348">
        <v>1395858284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 t="s">
        <v>47</v>
      </c>
      <c r="AA1348" t="s">
        <v>76</v>
      </c>
      <c r="AB1348" t="s">
        <v>51</v>
      </c>
      <c r="AC1348" t="s">
        <v>51</v>
      </c>
      <c r="AD1348" t="s">
        <v>51</v>
      </c>
      <c r="AE1348" t="s">
        <v>1227</v>
      </c>
      <c r="AF1348" t="s">
        <v>1228</v>
      </c>
    </row>
    <row r="1349" spans="1:32" ht="14.5" customHeight="1" x14ac:dyDescent="0.35">
      <c r="A1349" t="s">
        <v>73</v>
      </c>
      <c r="B1349" t="s">
        <v>74</v>
      </c>
      <c r="C1349" t="s">
        <v>47</v>
      </c>
      <c r="D1349">
        <v>3001235</v>
      </c>
      <c r="E1349">
        <v>3001235</v>
      </c>
      <c r="F1349" t="s">
        <v>1205</v>
      </c>
      <c r="G1349" t="s">
        <v>1205</v>
      </c>
      <c r="H1349" t="s">
        <v>54</v>
      </c>
      <c r="I1349">
        <v>9923187</v>
      </c>
      <c r="J1349" s="12">
        <v>46120</v>
      </c>
      <c r="K1349" s="12">
        <v>46120</v>
      </c>
      <c r="L1349" s="12">
        <v>46156</v>
      </c>
      <c r="M1349">
        <v>-24</v>
      </c>
      <c r="N1349">
        <v>1111980</v>
      </c>
      <c r="O1349">
        <v>0</v>
      </c>
      <c r="P1349">
        <v>1111980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 t="s">
        <v>47</v>
      </c>
      <c r="AA1349" t="s">
        <v>76</v>
      </c>
      <c r="AB1349" t="s">
        <v>51</v>
      </c>
      <c r="AC1349" t="s">
        <v>51</v>
      </c>
      <c r="AD1349" t="s">
        <v>51</v>
      </c>
      <c r="AE1349" t="s">
        <v>795</v>
      </c>
      <c r="AF1349" t="s">
        <v>158</v>
      </c>
    </row>
    <row r="1350" spans="1:32" ht="14.5" customHeight="1" x14ac:dyDescent="0.35">
      <c r="A1350" t="s">
        <v>498</v>
      </c>
      <c r="B1350" t="s">
        <v>968</v>
      </c>
      <c r="C1350" t="s">
        <v>47</v>
      </c>
      <c r="D1350">
        <v>3001240</v>
      </c>
      <c r="E1350">
        <v>3001240</v>
      </c>
      <c r="F1350" t="s">
        <v>8</v>
      </c>
      <c r="G1350" t="s">
        <v>8</v>
      </c>
      <c r="H1350" t="s">
        <v>54</v>
      </c>
      <c r="I1350">
        <v>6956349</v>
      </c>
      <c r="J1350" s="12">
        <v>46098</v>
      </c>
      <c r="K1350" s="12">
        <v>46098</v>
      </c>
      <c r="L1350" s="12">
        <v>46098</v>
      </c>
      <c r="M1350">
        <v>34</v>
      </c>
      <c r="N1350">
        <v>-9212336</v>
      </c>
      <c r="O1350">
        <v>-9212336</v>
      </c>
      <c r="P1350">
        <v>0</v>
      </c>
      <c r="Q1350">
        <v>0</v>
      </c>
      <c r="R1350">
        <v>-9212336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 t="s">
        <v>548</v>
      </c>
      <c r="AA1350" t="s">
        <v>76</v>
      </c>
      <c r="AB1350" t="s">
        <v>51</v>
      </c>
      <c r="AC1350" t="s">
        <v>51</v>
      </c>
      <c r="AD1350" t="s">
        <v>51</v>
      </c>
      <c r="AE1350" t="s">
        <v>51</v>
      </c>
      <c r="AF1350" t="s">
        <v>1229</v>
      </c>
    </row>
    <row r="1351" spans="1:32" ht="14.5" customHeight="1" x14ac:dyDescent="0.35">
      <c r="A1351" t="s">
        <v>498</v>
      </c>
      <c r="B1351" t="s">
        <v>968</v>
      </c>
      <c r="C1351" t="s">
        <v>47</v>
      </c>
      <c r="D1351">
        <v>3001240</v>
      </c>
      <c r="E1351">
        <v>3001240</v>
      </c>
      <c r="F1351" t="s">
        <v>8</v>
      </c>
      <c r="G1351" t="s">
        <v>8</v>
      </c>
      <c r="H1351" t="s">
        <v>54</v>
      </c>
      <c r="I1351">
        <v>6956350</v>
      </c>
      <c r="J1351" s="12">
        <v>46098</v>
      </c>
      <c r="K1351" s="12">
        <v>46098</v>
      </c>
      <c r="L1351" s="12">
        <v>46098</v>
      </c>
      <c r="M1351">
        <v>34</v>
      </c>
      <c r="N1351">
        <v>-25632671</v>
      </c>
      <c r="O1351">
        <v>-25632671</v>
      </c>
      <c r="P1351">
        <v>0</v>
      </c>
      <c r="Q1351">
        <v>0</v>
      </c>
      <c r="R1351">
        <v>-25632671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 t="s">
        <v>548</v>
      </c>
      <c r="AA1351" t="s">
        <v>76</v>
      </c>
      <c r="AB1351" t="s">
        <v>51</v>
      </c>
      <c r="AC1351" t="s">
        <v>51</v>
      </c>
      <c r="AD1351" t="s">
        <v>51</v>
      </c>
      <c r="AE1351" t="s">
        <v>51</v>
      </c>
      <c r="AF1351" t="s">
        <v>1229</v>
      </c>
    </row>
    <row r="1352" spans="1:32" ht="14.5" customHeight="1" x14ac:dyDescent="0.35">
      <c r="A1352" t="s">
        <v>498</v>
      </c>
      <c r="B1352" t="s">
        <v>968</v>
      </c>
      <c r="C1352" t="s">
        <v>47</v>
      </c>
      <c r="D1352">
        <v>3001240</v>
      </c>
      <c r="E1352">
        <v>3001240</v>
      </c>
      <c r="F1352" t="s">
        <v>8</v>
      </c>
      <c r="G1352" t="s">
        <v>8</v>
      </c>
      <c r="H1352" t="s">
        <v>54</v>
      </c>
      <c r="I1352">
        <v>6956421</v>
      </c>
      <c r="J1352" s="12">
        <v>46099</v>
      </c>
      <c r="K1352" s="12">
        <v>46099</v>
      </c>
      <c r="L1352" s="12">
        <v>46099</v>
      </c>
      <c r="M1352">
        <v>33</v>
      </c>
      <c r="N1352">
        <v>-103696530</v>
      </c>
      <c r="O1352">
        <v>-103696530</v>
      </c>
      <c r="P1352">
        <v>0</v>
      </c>
      <c r="Q1352">
        <v>0</v>
      </c>
      <c r="R1352">
        <v>-103696530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 t="s">
        <v>548</v>
      </c>
      <c r="AA1352" t="s">
        <v>76</v>
      </c>
      <c r="AB1352" t="s">
        <v>51</v>
      </c>
      <c r="AC1352" t="s">
        <v>51</v>
      </c>
      <c r="AD1352" t="s">
        <v>51</v>
      </c>
      <c r="AE1352" t="s">
        <v>51</v>
      </c>
      <c r="AF1352" t="s">
        <v>56</v>
      </c>
    </row>
    <row r="1353" spans="1:32" ht="14.5" customHeight="1" x14ac:dyDescent="0.35">
      <c r="A1353" t="s">
        <v>498</v>
      </c>
      <c r="B1353" t="s">
        <v>1230</v>
      </c>
      <c r="C1353" t="s">
        <v>47</v>
      </c>
      <c r="D1353">
        <v>3001240</v>
      </c>
      <c r="E1353">
        <v>3100379</v>
      </c>
      <c r="F1353" t="s">
        <v>8</v>
      </c>
      <c r="G1353" t="s">
        <v>1231</v>
      </c>
      <c r="H1353" t="s">
        <v>54</v>
      </c>
      <c r="I1353">
        <v>6956425</v>
      </c>
      <c r="J1353" s="12">
        <v>46099</v>
      </c>
      <c r="K1353" s="12">
        <v>46099</v>
      </c>
      <c r="L1353" s="12">
        <v>46099</v>
      </c>
      <c r="M1353">
        <v>33</v>
      </c>
      <c r="N1353">
        <v>-52351475</v>
      </c>
      <c r="O1353">
        <v>-52351475</v>
      </c>
      <c r="P1353">
        <v>0</v>
      </c>
      <c r="Q1353">
        <v>0</v>
      </c>
      <c r="R1353">
        <v>-52351475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 t="s">
        <v>846</v>
      </c>
      <c r="AA1353" t="s">
        <v>76</v>
      </c>
      <c r="AB1353" t="s">
        <v>51</v>
      </c>
      <c r="AC1353" t="s">
        <v>51</v>
      </c>
      <c r="AD1353" t="s">
        <v>51</v>
      </c>
      <c r="AE1353" t="s">
        <v>51</v>
      </c>
      <c r="AF1353" t="s">
        <v>56</v>
      </c>
    </row>
    <row r="1354" spans="1:32" ht="14.5" customHeight="1" x14ac:dyDescent="0.35">
      <c r="A1354" t="s">
        <v>498</v>
      </c>
      <c r="B1354" t="s">
        <v>1230</v>
      </c>
      <c r="C1354" t="s">
        <v>47</v>
      </c>
      <c r="D1354">
        <v>3001240</v>
      </c>
      <c r="E1354">
        <v>3100920</v>
      </c>
      <c r="F1354" t="s">
        <v>8</v>
      </c>
      <c r="G1354" t="s">
        <v>1232</v>
      </c>
      <c r="H1354" t="s">
        <v>54</v>
      </c>
      <c r="I1354">
        <v>6956430</v>
      </c>
      <c r="J1354" s="12">
        <v>46099</v>
      </c>
      <c r="K1354" s="12">
        <v>46099</v>
      </c>
      <c r="L1354" s="12">
        <v>46099</v>
      </c>
      <c r="M1354">
        <v>33</v>
      </c>
      <c r="N1354">
        <v>-37908158</v>
      </c>
      <c r="O1354">
        <v>-37908158</v>
      </c>
      <c r="P1354">
        <v>0</v>
      </c>
      <c r="Q1354">
        <v>0</v>
      </c>
      <c r="R1354">
        <v>-37908158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 t="s">
        <v>846</v>
      </c>
      <c r="AA1354" t="s">
        <v>76</v>
      </c>
      <c r="AB1354" t="s">
        <v>51</v>
      </c>
      <c r="AC1354" t="s">
        <v>51</v>
      </c>
      <c r="AD1354" t="s">
        <v>51</v>
      </c>
      <c r="AE1354" t="s">
        <v>51</v>
      </c>
      <c r="AF1354" t="s">
        <v>457</v>
      </c>
    </row>
    <row r="1355" spans="1:32" ht="14.5" customHeight="1" x14ac:dyDescent="0.35">
      <c r="A1355" t="s">
        <v>498</v>
      </c>
      <c r="B1355" t="s">
        <v>1230</v>
      </c>
      <c r="C1355" t="s">
        <v>47</v>
      </c>
      <c r="D1355">
        <v>3001240</v>
      </c>
      <c r="E1355">
        <v>3100379</v>
      </c>
      <c r="F1355" t="s">
        <v>8</v>
      </c>
      <c r="G1355" t="s">
        <v>1231</v>
      </c>
      <c r="H1355" t="s">
        <v>54</v>
      </c>
      <c r="I1355">
        <v>6956861</v>
      </c>
      <c r="J1355" s="12">
        <v>46106</v>
      </c>
      <c r="K1355" s="12">
        <v>46106</v>
      </c>
      <c r="L1355" s="12">
        <v>46106</v>
      </c>
      <c r="M1355">
        <v>26</v>
      </c>
      <c r="N1355">
        <v>-6681000</v>
      </c>
      <c r="O1355">
        <v>-6681000</v>
      </c>
      <c r="P1355">
        <v>0</v>
      </c>
      <c r="Q1355">
        <v>-6681000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 t="s">
        <v>846</v>
      </c>
      <c r="AA1355" t="s">
        <v>76</v>
      </c>
      <c r="AB1355" t="s">
        <v>51</v>
      </c>
      <c r="AC1355" t="s">
        <v>51</v>
      </c>
      <c r="AD1355" t="s">
        <v>51</v>
      </c>
      <c r="AE1355" t="s">
        <v>51</v>
      </c>
      <c r="AF1355" t="s">
        <v>1233</v>
      </c>
    </row>
    <row r="1356" spans="1:32" ht="14.5" customHeight="1" x14ac:dyDescent="0.35">
      <c r="A1356" t="s">
        <v>498</v>
      </c>
      <c r="B1356" t="s">
        <v>1230</v>
      </c>
      <c r="C1356" t="s">
        <v>47</v>
      </c>
      <c r="D1356">
        <v>3001240</v>
      </c>
      <c r="E1356">
        <v>3100379</v>
      </c>
      <c r="F1356" t="s">
        <v>8</v>
      </c>
      <c r="G1356" t="s">
        <v>1231</v>
      </c>
      <c r="H1356" t="s">
        <v>54</v>
      </c>
      <c r="I1356">
        <v>6956981</v>
      </c>
      <c r="J1356" s="12">
        <v>46106</v>
      </c>
      <c r="K1356" s="12">
        <v>46106</v>
      </c>
      <c r="L1356" s="12">
        <v>46106</v>
      </c>
      <c r="M1356">
        <v>26</v>
      </c>
      <c r="N1356">
        <v>-13732965</v>
      </c>
      <c r="O1356">
        <v>-13732965</v>
      </c>
      <c r="P1356">
        <v>0</v>
      </c>
      <c r="Q1356">
        <v>-13732965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 t="s">
        <v>846</v>
      </c>
      <c r="AA1356" t="s">
        <v>76</v>
      </c>
      <c r="AB1356" t="s">
        <v>51</v>
      </c>
      <c r="AC1356" t="s">
        <v>51</v>
      </c>
      <c r="AD1356" t="s">
        <v>51</v>
      </c>
      <c r="AE1356" t="s">
        <v>51</v>
      </c>
      <c r="AF1356" t="s">
        <v>1234</v>
      </c>
    </row>
    <row r="1357" spans="1:32" ht="14.5" customHeight="1" x14ac:dyDescent="0.35">
      <c r="A1357" t="s">
        <v>498</v>
      </c>
      <c r="B1357" t="s">
        <v>1230</v>
      </c>
      <c r="C1357" t="s">
        <v>47</v>
      </c>
      <c r="D1357">
        <v>3001240</v>
      </c>
      <c r="E1357">
        <v>3100920</v>
      </c>
      <c r="F1357" t="s">
        <v>8</v>
      </c>
      <c r="G1357" t="s">
        <v>1232</v>
      </c>
      <c r="H1357" t="s">
        <v>54</v>
      </c>
      <c r="I1357">
        <v>6956989</v>
      </c>
      <c r="J1357" s="12">
        <v>46106</v>
      </c>
      <c r="K1357" s="12">
        <v>46106</v>
      </c>
      <c r="L1357" s="12">
        <v>46106</v>
      </c>
      <c r="M1357">
        <v>26</v>
      </c>
      <c r="N1357">
        <v>-10030000</v>
      </c>
      <c r="O1357">
        <v>-10030000</v>
      </c>
      <c r="P1357">
        <v>0</v>
      </c>
      <c r="Q1357">
        <v>-10030000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 t="s">
        <v>846</v>
      </c>
      <c r="AA1357" t="s">
        <v>76</v>
      </c>
      <c r="AB1357" t="s">
        <v>51</v>
      </c>
      <c r="AC1357" t="s">
        <v>51</v>
      </c>
      <c r="AD1357" t="s">
        <v>51</v>
      </c>
      <c r="AE1357" t="s">
        <v>51</v>
      </c>
      <c r="AF1357" t="s">
        <v>1235</v>
      </c>
    </row>
    <row r="1358" spans="1:32" ht="14.5" customHeight="1" x14ac:dyDescent="0.35">
      <c r="A1358" t="s">
        <v>498</v>
      </c>
      <c r="B1358" t="s">
        <v>968</v>
      </c>
      <c r="C1358" t="s">
        <v>47</v>
      </c>
      <c r="D1358">
        <v>3001240</v>
      </c>
      <c r="E1358">
        <v>3001240</v>
      </c>
      <c r="F1358" t="s">
        <v>8</v>
      </c>
      <c r="G1358" t="s">
        <v>8</v>
      </c>
      <c r="H1358" t="s">
        <v>54</v>
      </c>
      <c r="I1358">
        <v>6957486</v>
      </c>
      <c r="J1358" s="12">
        <v>46107</v>
      </c>
      <c r="K1358" s="12">
        <v>46107</v>
      </c>
      <c r="L1358" s="12">
        <v>46107</v>
      </c>
      <c r="M1358">
        <v>25</v>
      </c>
      <c r="N1358">
        <v>-14273322</v>
      </c>
      <c r="O1358">
        <v>-14273322</v>
      </c>
      <c r="P1358">
        <v>0</v>
      </c>
      <c r="Q1358">
        <v>-14273322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 t="s">
        <v>548</v>
      </c>
      <c r="AA1358" t="s">
        <v>76</v>
      </c>
      <c r="AB1358" t="s">
        <v>51</v>
      </c>
      <c r="AC1358" t="s">
        <v>51</v>
      </c>
      <c r="AD1358" t="s">
        <v>51</v>
      </c>
      <c r="AE1358" t="s">
        <v>51</v>
      </c>
      <c r="AF1358" t="s">
        <v>1235</v>
      </c>
    </row>
    <row r="1359" spans="1:32" ht="14.5" customHeight="1" x14ac:dyDescent="0.35">
      <c r="A1359" t="s">
        <v>498</v>
      </c>
      <c r="B1359" t="s">
        <v>968</v>
      </c>
      <c r="C1359" t="s">
        <v>47</v>
      </c>
      <c r="D1359">
        <v>3001240</v>
      </c>
      <c r="E1359">
        <v>3001240</v>
      </c>
      <c r="F1359" t="s">
        <v>8</v>
      </c>
      <c r="G1359" t="s">
        <v>8</v>
      </c>
      <c r="H1359" t="s">
        <v>54</v>
      </c>
      <c r="I1359">
        <v>6957595</v>
      </c>
      <c r="J1359" s="12">
        <v>46109</v>
      </c>
      <c r="K1359" s="12">
        <v>46109</v>
      </c>
      <c r="L1359" s="12">
        <v>46109</v>
      </c>
      <c r="M1359">
        <v>23</v>
      </c>
      <c r="N1359">
        <v>-21836680</v>
      </c>
      <c r="O1359">
        <v>-21836680</v>
      </c>
      <c r="P1359">
        <v>0</v>
      </c>
      <c r="Q1359">
        <v>-21836680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 t="s">
        <v>548</v>
      </c>
      <c r="AA1359" t="s">
        <v>76</v>
      </c>
      <c r="AB1359" t="s">
        <v>51</v>
      </c>
      <c r="AC1359" t="s">
        <v>51</v>
      </c>
      <c r="AD1359" t="s">
        <v>51</v>
      </c>
      <c r="AE1359" t="s">
        <v>51</v>
      </c>
      <c r="AF1359" t="s">
        <v>1229</v>
      </c>
    </row>
    <row r="1360" spans="1:32" ht="14.5" customHeight="1" x14ac:dyDescent="0.35">
      <c r="A1360" t="s">
        <v>498</v>
      </c>
      <c r="B1360" t="s">
        <v>968</v>
      </c>
      <c r="C1360" t="s">
        <v>47</v>
      </c>
      <c r="D1360">
        <v>3001240</v>
      </c>
      <c r="E1360">
        <v>3001240</v>
      </c>
      <c r="F1360" t="s">
        <v>8</v>
      </c>
      <c r="G1360" t="s">
        <v>8</v>
      </c>
      <c r="H1360" t="s">
        <v>54</v>
      </c>
      <c r="I1360">
        <v>6958417</v>
      </c>
      <c r="J1360" s="12">
        <v>46121</v>
      </c>
      <c r="K1360" s="12">
        <v>46121</v>
      </c>
      <c r="L1360" s="12">
        <v>46121</v>
      </c>
      <c r="M1360">
        <v>11</v>
      </c>
      <c r="N1360">
        <v>-853658</v>
      </c>
      <c r="O1360">
        <v>-853658</v>
      </c>
      <c r="P1360">
        <v>0</v>
      </c>
      <c r="Q1360">
        <v>-853658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 t="s">
        <v>548</v>
      </c>
      <c r="AA1360" t="s">
        <v>76</v>
      </c>
      <c r="AB1360" t="s">
        <v>51</v>
      </c>
      <c r="AC1360" t="s">
        <v>51</v>
      </c>
      <c r="AD1360" t="s">
        <v>51</v>
      </c>
      <c r="AE1360" t="s">
        <v>51</v>
      </c>
      <c r="AF1360" t="s">
        <v>1236</v>
      </c>
    </row>
    <row r="1361" spans="1:32" ht="14.5" customHeight="1" x14ac:dyDescent="0.35">
      <c r="A1361" t="s">
        <v>498</v>
      </c>
      <c r="B1361" t="s">
        <v>968</v>
      </c>
      <c r="C1361" t="s">
        <v>47</v>
      </c>
      <c r="D1361">
        <v>3001240</v>
      </c>
      <c r="E1361">
        <v>3001240</v>
      </c>
      <c r="F1361" t="s">
        <v>8</v>
      </c>
      <c r="G1361" t="s">
        <v>8</v>
      </c>
      <c r="H1361" t="s">
        <v>54</v>
      </c>
      <c r="I1361">
        <v>6958418</v>
      </c>
      <c r="J1361" s="12">
        <v>46121</v>
      </c>
      <c r="K1361" s="12">
        <v>46121</v>
      </c>
      <c r="L1361" s="12">
        <v>46121</v>
      </c>
      <c r="M1361">
        <v>11</v>
      </c>
      <c r="N1361">
        <v>-1603960</v>
      </c>
      <c r="O1361">
        <v>-1603960</v>
      </c>
      <c r="P1361">
        <v>0</v>
      </c>
      <c r="Q1361">
        <v>-1603960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 t="s">
        <v>548</v>
      </c>
      <c r="AA1361" t="s">
        <v>76</v>
      </c>
      <c r="AB1361" t="s">
        <v>51</v>
      </c>
      <c r="AC1361" t="s">
        <v>51</v>
      </c>
      <c r="AD1361" t="s">
        <v>51</v>
      </c>
      <c r="AE1361" t="s">
        <v>51</v>
      </c>
      <c r="AF1361" t="s">
        <v>1236</v>
      </c>
    </row>
    <row r="1362" spans="1:32" ht="14.5" customHeight="1" x14ac:dyDescent="0.35">
      <c r="A1362" t="s">
        <v>498</v>
      </c>
      <c r="B1362" t="s">
        <v>968</v>
      </c>
      <c r="C1362" t="s">
        <v>846</v>
      </c>
      <c r="D1362">
        <v>3001240</v>
      </c>
      <c r="E1362">
        <v>3001240</v>
      </c>
      <c r="F1362" t="s">
        <v>8</v>
      </c>
      <c r="G1362" t="s">
        <v>8</v>
      </c>
      <c r="H1362" t="s">
        <v>111</v>
      </c>
      <c r="I1362">
        <v>6958512</v>
      </c>
      <c r="J1362" s="12">
        <v>46121</v>
      </c>
      <c r="K1362" s="12">
        <v>46121</v>
      </c>
      <c r="L1362" s="12">
        <v>46121</v>
      </c>
      <c r="M1362">
        <v>11</v>
      </c>
      <c r="N1362">
        <v>-5020732</v>
      </c>
      <c r="O1362">
        <v>-5020732</v>
      </c>
      <c r="P1362">
        <v>0</v>
      </c>
      <c r="Q1362">
        <v>-5020732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 t="s">
        <v>548</v>
      </c>
      <c r="AA1362" t="s">
        <v>76</v>
      </c>
      <c r="AB1362" t="s">
        <v>51</v>
      </c>
      <c r="AC1362" t="s">
        <v>51</v>
      </c>
      <c r="AD1362" t="s">
        <v>51</v>
      </c>
      <c r="AE1362" t="s">
        <v>51</v>
      </c>
      <c r="AF1362" t="s">
        <v>243</v>
      </c>
    </row>
    <row r="1363" spans="1:32" ht="14.5" customHeight="1" x14ac:dyDescent="0.35">
      <c r="A1363" t="s">
        <v>498</v>
      </c>
      <c r="B1363" t="s">
        <v>968</v>
      </c>
      <c r="C1363" t="s">
        <v>846</v>
      </c>
      <c r="D1363">
        <v>3001240</v>
      </c>
      <c r="E1363">
        <v>3001240</v>
      </c>
      <c r="F1363" t="s">
        <v>8</v>
      </c>
      <c r="G1363" t="s">
        <v>8</v>
      </c>
      <c r="H1363" t="s">
        <v>111</v>
      </c>
      <c r="I1363">
        <v>6958582</v>
      </c>
      <c r="J1363" s="12">
        <v>46121</v>
      </c>
      <c r="K1363" s="12">
        <v>46121</v>
      </c>
      <c r="L1363" s="12">
        <v>46121</v>
      </c>
      <c r="M1363">
        <v>11</v>
      </c>
      <c r="N1363">
        <v>-2061698</v>
      </c>
      <c r="O1363">
        <v>-2061698</v>
      </c>
      <c r="P1363">
        <v>0</v>
      </c>
      <c r="Q1363">
        <v>-2061698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 t="s">
        <v>548</v>
      </c>
      <c r="AA1363" t="s">
        <v>76</v>
      </c>
      <c r="AB1363" t="s">
        <v>51</v>
      </c>
      <c r="AC1363" t="s">
        <v>51</v>
      </c>
      <c r="AD1363" t="s">
        <v>51</v>
      </c>
      <c r="AE1363" t="s">
        <v>51</v>
      </c>
      <c r="AF1363" t="s">
        <v>189</v>
      </c>
    </row>
    <row r="1364" spans="1:32" ht="14.5" customHeight="1" x14ac:dyDescent="0.35">
      <c r="A1364" t="s">
        <v>498</v>
      </c>
      <c r="B1364" t="s">
        <v>968</v>
      </c>
      <c r="C1364" t="s">
        <v>47</v>
      </c>
      <c r="D1364">
        <v>3001240</v>
      </c>
      <c r="E1364">
        <v>3001240</v>
      </c>
      <c r="F1364" t="s">
        <v>8</v>
      </c>
      <c r="G1364" t="s">
        <v>8</v>
      </c>
      <c r="H1364" t="s">
        <v>54</v>
      </c>
      <c r="I1364">
        <v>6959529</v>
      </c>
      <c r="J1364" s="12">
        <v>46127</v>
      </c>
      <c r="K1364" s="12">
        <v>46127</v>
      </c>
      <c r="L1364" s="12">
        <v>46127</v>
      </c>
      <c r="M1364">
        <v>5</v>
      </c>
      <c r="N1364">
        <v>-44216</v>
      </c>
      <c r="O1364">
        <v>-44216</v>
      </c>
      <c r="P1364">
        <v>0</v>
      </c>
      <c r="Q1364">
        <v>-44216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 t="s">
        <v>548</v>
      </c>
      <c r="AA1364" t="s">
        <v>76</v>
      </c>
      <c r="AB1364" t="s">
        <v>51</v>
      </c>
      <c r="AC1364" t="s">
        <v>51</v>
      </c>
      <c r="AD1364" t="s">
        <v>51</v>
      </c>
      <c r="AE1364" t="s">
        <v>51</v>
      </c>
      <c r="AF1364" t="s">
        <v>1237</v>
      </c>
    </row>
    <row r="1365" spans="1:32" ht="14.5" customHeight="1" x14ac:dyDescent="0.35">
      <c r="A1365" t="s">
        <v>498</v>
      </c>
      <c r="B1365" t="s">
        <v>968</v>
      </c>
      <c r="C1365" t="s">
        <v>47</v>
      </c>
      <c r="D1365">
        <v>3001240</v>
      </c>
      <c r="E1365">
        <v>3001240</v>
      </c>
      <c r="F1365" t="s">
        <v>8</v>
      </c>
      <c r="G1365" t="s">
        <v>8</v>
      </c>
      <c r="H1365" t="s">
        <v>54</v>
      </c>
      <c r="I1365">
        <v>6960292</v>
      </c>
      <c r="J1365" s="12">
        <v>46130</v>
      </c>
      <c r="K1365" s="12">
        <v>46130</v>
      </c>
      <c r="L1365" s="12">
        <v>46130</v>
      </c>
      <c r="M1365">
        <v>2</v>
      </c>
      <c r="N1365">
        <v>-104221086</v>
      </c>
      <c r="O1365">
        <v>-104221086</v>
      </c>
      <c r="P1365">
        <v>0</v>
      </c>
      <c r="Q1365">
        <v>-104221086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 t="s">
        <v>548</v>
      </c>
      <c r="AA1365" t="s">
        <v>76</v>
      </c>
      <c r="AB1365" t="s">
        <v>51</v>
      </c>
      <c r="AC1365" t="s">
        <v>51</v>
      </c>
      <c r="AD1365" t="s">
        <v>51</v>
      </c>
      <c r="AE1365" t="s">
        <v>51</v>
      </c>
      <c r="AF1365" t="s">
        <v>334</v>
      </c>
    </row>
    <row r="1366" spans="1:32" ht="14.5" customHeight="1" x14ac:dyDescent="0.35">
      <c r="A1366" t="s">
        <v>498</v>
      </c>
      <c r="B1366" t="s">
        <v>1230</v>
      </c>
      <c r="C1366" t="s">
        <v>47</v>
      </c>
      <c r="D1366">
        <v>3001240</v>
      </c>
      <c r="E1366">
        <v>3100379</v>
      </c>
      <c r="F1366" t="s">
        <v>8</v>
      </c>
      <c r="G1366" t="s">
        <v>1231</v>
      </c>
      <c r="H1366" t="s">
        <v>54</v>
      </c>
      <c r="I1366">
        <v>6960293</v>
      </c>
      <c r="J1366" s="12">
        <v>46130</v>
      </c>
      <c r="K1366" s="12">
        <v>46130</v>
      </c>
      <c r="L1366" s="12">
        <v>46130</v>
      </c>
      <c r="M1366">
        <v>2</v>
      </c>
      <c r="N1366">
        <v>-46552935</v>
      </c>
      <c r="O1366">
        <v>-46552935</v>
      </c>
      <c r="P1366">
        <v>0</v>
      </c>
      <c r="Q1366">
        <v>-46552935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 t="s">
        <v>846</v>
      </c>
      <c r="AA1366" t="s">
        <v>76</v>
      </c>
      <c r="AB1366" t="s">
        <v>51</v>
      </c>
      <c r="AC1366" t="s">
        <v>51</v>
      </c>
      <c r="AD1366" t="s">
        <v>51</v>
      </c>
      <c r="AE1366" t="s">
        <v>51</v>
      </c>
      <c r="AF1366" t="s">
        <v>285</v>
      </c>
    </row>
    <row r="1367" spans="1:32" ht="14.5" customHeight="1" x14ac:dyDescent="0.35">
      <c r="A1367" t="s">
        <v>498</v>
      </c>
      <c r="B1367" t="s">
        <v>1230</v>
      </c>
      <c r="C1367" t="s">
        <v>47</v>
      </c>
      <c r="D1367">
        <v>3001240</v>
      </c>
      <c r="E1367">
        <v>3100920</v>
      </c>
      <c r="F1367" t="s">
        <v>8</v>
      </c>
      <c r="G1367" t="s">
        <v>1232</v>
      </c>
      <c r="H1367" t="s">
        <v>54</v>
      </c>
      <c r="I1367">
        <v>6960298</v>
      </c>
      <c r="J1367" s="12">
        <v>46130</v>
      </c>
      <c r="K1367" s="12">
        <v>46130</v>
      </c>
      <c r="L1367" s="12">
        <v>46130</v>
      </c>
      <c r="M1367">
        <v>2</v>
      </c>
      <c r="N1367">
        <v>-36022890</v>
      </c>
      <c r="O1367">
        <v>-36022890</v>
      </c>
      <c r="P1367">
        <v>0</v>
      </c>
      <c r="Q1367">
        <v>-36022890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 t="s">
        <v>846</v>
      </c>
      <c r="AA1367" t="s">
        <v>76</v>
      </c>
      <c r="AB1367" t="s">
        <v>51</v>
      </c>
      <c r="AC1367" t="s">
        <v>51</v>
      </c>
      <c r="AD1367" t="s">
        <v>51</v>
      </c>
      <c r="AE1367" t="s">
        <v>51</v>
      </c>
      <c r="AF1367" t="s">
        <v>325</v>
      </c>
    </row>
    <row r="1368" spans="1:32" ht="14.5" customHeight="1" x14ac:dyDescent="0.35">
      <c r="A1368" t="s">
        <v>498</v>
      </c>
      <c r="B1368" t="s">
        <v>968</v>
      </c>
      <c r="C1368" t="s">
        <v>47</v>
      </c>
      <c r="D1368">
        <v>3001240</v>
      </c>
      <c r="E1368">
        <v>3001240</v>
      </c>
      <c r="F1368" t="s">
        <v>8</v>
      </c>
      <c r="G1368" t="s">
        <v>8</v>
      </c>
      <c r="H1368" t="s">
        <v>140</v>
      </c>
      <c r="I1368">
        <v>9915820</v>
      </c>
      <c r="J1368" s="12">
        <v>46096</v>
      </c>
      <c r="K1368" s="12">
        <v>46096</v>
      </c>
      <c r="L1368" s="12">
        <v>46131</v>
      </c>
      <c r="M1368">
        <v>1</v>
      </c>
      <c r="N1368">
        <v>7400947</v>
      </c>
      <c r="O1368">
        <v>0</v>
      </c>
      <c r="P1368">
        <v>0</v>
      </c>
      <c r="Q1368">
        <v>7400947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 t="s">
        <v>548</v>
      </c>
      <c r="AA1368" t="s">
        <v>76</v>
      </c>
      <c r="AB1368" t="s">
        <v>51</v>
      </c>
      <c r="AC1368" t="s">
        <v>51</v>
      </c>
      <c r="AD1368" t="s">
        <v>51</v>
      </c>
      <c r="AE1368" t="s">
        <v>51</v>
      </c>
      <c r="AF1368" t="s">
        <v>737</v>
      </c>
    </row>
    <row r="1369" spans="1:32" ht="14.5" customHeight="1" x14ac:dyDescent="0.35">
      <c r="A1369" t="s">
        <v>498</v>
      </c>
      <c r="B1369" t="s">
        <v>968</v>
      </c>
      <c r="C1369" t="s">
        <v>47</v>
      </c>
      <c r="D1369">
        <v>3001240</v>
      </c>
      <c r="E1369">
        <v>3001240</v>
      </c>
      <c r="F1369" t="s">
        <v>8</v>
      </c>
      <c r="G1369" t="s">
        <v>8</v>
      </c>
      <c r="H1369" t="s">
        <v>140</v>
      </c>
      <c r="I1369">
        <v>9915821</v>
      </c>
      <c r="J1369" s="12">
        <v>46096</v>
      </c>
      <c r="K1369" s="12">
        <v>46096</v>
      </c>
      <c r="L1369" s="12">
        <v>46156</v>
      </c>
      <c r="M1369">
        <v>-24</v>
      </c>
      <c r="N1369">
        <v>7400947</v>
      </c>
      <c r="O1369">
        <v>0</v>
      </c>
      <c r="P1369">
        <v>7400947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 t="s">
        <v>548</v>
      </c>
      <c r="AA1369" t="s">
        <v>738</v>
      </c>
      <c r="AB1369" t="s">
        <v>51</v>
      </c>
      <c r="AC1369" t="s">
        <v>51</v>
      </c>
      <c r="AD1369" t="s">
        <v>51</v>
      </c>
      <c r="AE1369" t="s">
        <v>1238</v>
      </c>
      <c r="AF1369" t="s">
        <v>737</v>
      </c>
    </row>
    <row r="1370" spans="1:32" ht="14.5" customHeight="1" x14ac:dyDescent="0.35">
      <c r="A1370" t="s">
        <v>498</v>
      </c>
      <c r="B1370" t="s">
        <v>968</v>
      </c>
      <c r="C1370" t="s">
        <v>47</v>
      </c>
      <c r="D1370">
        <v>3001240</v>
      </c>
      <c r="E1370">
        <v>3001240</v>
      </c>
      <c r="F1370" t="s">
        <v>8</v>
      </c>
      <c r="G1370" t="s">
        <v>8</v>
      </c>
      <c r="H1370" t="s">
        <v>140</v>
      </c>
      <c r="I1370">
        <v>9915822</v>
      </c>
      <c r="J1370" s="12">
        <v>46096</v>
      </c>
      <c r="K1370" s="12">
        <v>46096</v>
      </c>
      <c r="L1370" s="12">
        <v>46186</v>
      </c>
      <c r="M1370">
        <v>-54</v>
      </c>
      <c r="N1370">
        <v>7400947</v>
      </c>
      <c r="O1370">
        <v>0</v>
      </c>
      <c r="P1370">
        <v>7400947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 t="s">
        <v>548</v>
      </c>
      <c r="AA1370" t="s">
        <v>1239</v>
      </c>
      <c r="AB1370" t="s">
        <v>51</v>
      </c>
      <c r="AC1370" t="s">
        <v>51</v>
      </c>
      <c r="AD1370" t="s">
        <v>51</v>
      </c>
      <c r="AE1370" t="s">
        <v>1238</v>
      </c>
      <c r="AF1370" t="s">
        <v>737</v>
      </c>
    </row>
    <row r="1371" spans="1:32" ht="14.5" customHeight="1" x14ac:dyDescent="0.35">
      <c r="A1371" t="s">
        <v>498</v>
      </c>
      <c r="B1371" t="s">
        <v>968</v>
      </c>
      <c r="C1371" t="s">
        <v>47</v>
      </c>
      <c r="D1371">
        <v>3001240</v>
      </c>
      <c r="E1371">
        <v>3001240</v>
      </c>
      <c r="F1371" t="s">
        <v>8</v>
      </c>
      <c r="G1371" t="s">
        <v>8</v>
      </c>
      <c r="H1371" t="s">
        <v>140</v>
      </c>
      <c r="I1371">
        <v>9915823</v>
      </c>
      <c r="J1371" s="12">
        <v>46096</v>
      </c>
      <c r="K1371" s="12">
        <v>46096</v>
      </c>
      <c r="L1371" s="12">
        <v>46216</v>
      </c>
      <c r="M1371">
        <v>-84</v>
      </c>
      <c r="N1371">
        <v>7400947</v>
      </c>
      <c r="O1371">
        <v>0</v>
      </c>
      <c r="P1371">
        <v>7400947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 t="s">
        <v>548</v>
      </c>
      <c r="AA1371" t="s">
        <v>1240</v>
      </c>
      <c r="AB1371" t="s">
        <v>51</v>
      </c>
      <c r="AC1371" t="s">
        <v>51</v>
      </c>
      <c r="AD1371" t="s">
        <v>51</v>
      </c>
      <c r="AE1371" t="s">
        <v>1238</v>
      </c>
      <c r="AF1371" t="s">
        <v>737</v>
      </c>
    </row>
    <row r="1372" spans="1:32" ht="14.5" customHeight="1" x14ac:dyDescent="0.35">
      <c r="A1372" t="s">
        <v>498</v>
      </c>
      <c r="B1372" t="s">
        <v>1230</v>
      </c>
      <c r="C1372" t="s">
        <v>846</v>
      </c>
      <c r="D1372">
        <v>3001240</v>
      </c>
      <c r="E1372">
        <v>3100920</v>
      </c>
      <c r="F1372" t="s">
        <v>8</v>
      </c>
      <c r="G1372" t="s">
        <v>1232</v>
      </c>
      <c r="H1372" t="s">
        <v>54</v>
      </c>
      <c r="I1372">
        <v>9916200</v>
      </c>
      <c r="J1372" s="12">
        <v>46097</v>
      </c>
      <c r="K1372" s="12">
        <v>46097</v>
      </c>
      <c r="L1372" s="12">
        <v>46135</v>
      </c>
      <c r="M1372">
        <v>-3</v>
      </c>
      <c r="N1372">
        <v>316472816</v>
      </c>
      <c r="O1372">
        <v>0</v>
      </c>
      <c r="P1372">
        <v>316472816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 t="s">
        <v>846</v>
      </c>
      <c r="AA1372" t="s">
        <v>76</v>
      </c>
      <c r="AB1372" t="s">
        <v>51</v>
      </c>
      <c r="AC1372" t="s">
        <v>1241</v>
      </c>
      <c r="AD1372" t="s">
        <v>51</v>
      </c>
      <c r="AE1372" t="s">
        <v>51</v>
      </c>
      <c r="AF1372" t="s">
        <v>285</v>
      </c>
    </row>
    <row r="1373" spans="1:32" ht="14.5" customHeight="1" x14ac:dyDescent="0.35">
      <c r="A1373" t="s">
        <v>498</v>
      </c>
      <c r="B1373" t="s">
        <v>968</v>
      </c>
      <c r="C1373" t="s">
        <v>846</v>
      </c>
      <c r="D1373">
        <v>3001240</v>
      </c>
      <c r="E1373">
        <v>3001240</v>
      </c>
      <c r="F1373" t="s">
        <v>8</v>
      </c>
      <c r="G1373" t="s">
        <v>8</v>
      </c>
      <c r="H1373" t="s">
        <v>54</v>
      </c>
      <c r="I1373">
        <v>9916203</v>
      </c>
      <c r="J1373" s="12">
        <v>46097</v>
      </c>
      <c r="K1373" s="12">
        <v>46097</v>
      </c>
      <c r="L1373" s="12">
        <v>46135</v>
      </c>
      <c r="M1373">
        <v>-3</v>
      </c>
      <c r="N1373">
        <v>455115720</v>
      </c>
      <c r="O1373">
        <v>0</v>
      </c>
      <c r="P1373">
        <v>455115720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 t="s">
        <v>548</v>
      </c>
      <c r="AA1373" t="s">
        <v>76</v>
      </c>
      <c r="AB1373" t="s">
        <v>51</v>
      </c>
      <c r="AC1373" t="s">
        <v>1242</v>
      </c>
      <c r="AD1373" t="s">
        <v>51</v>
      </c>
      <c r="AE1373" t="s">
        <v>51</v>
      </c>
      <c r="AF1373" t="s">
        <v>781</v>
      </c>
    </row>
    <row r="1374" spans="1:32" ht="14.5" customHeight="1" x14ac:dyDescent="0.35">
      <c r="A1374" t="s">
        <v>498</v>
      </c>
      <c r="B1374" t="s">
        <v>1230</v>
      </c>
      <c r="C1374" t="s">
        <v>846</v>
      </c>
      <c r="D1374">
        <v>3001240</v>
      </c>
      <c r="E1374">
        <v>3100379</v>
      </c>
      <c r="F1374" t="s">
        <v>8</v>
      </c>
      <c r="G1374" t="s">
        <v>1231</v>
      </c>
      <c r="H1374" t="s">
        <v>54</v>
      </c>
      <c r="I1374">
        <v>9916207</v>
      </c>
      <c r="J1374" s="12">
        <v>46097</v>
      </c>
      <c r="K1374" s="12">
        <v>46097</v>
      </c>
      <c r="L1374" s="12">
        <v>46135</v>
      </c>
      <c r="M1374">
        <v>-3</v>
      </c>
      <c r="N1374">
        <v>274960988</v>
      </c>
      <c r="O1374">
        <v>0</v>
      </c>
      <c r="P1374">
        <v>274960988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 t="s">
        <v>846</v>
      </c>
      <c r="AA1374" t="s">
        <v>76</v>
      </c>
      <c r="AB1374" t="s">
        <v>51</v>
      </c>
      <c r="AC1374" t="s">
        <v>1243</v>
      </c>
      <c r="AD1374" t="s">
        <v>51</v>
      </c>
      <c r="AE1374" t="s">
        <v>51</v>
      </c>
      <c r="AF1374" t="s">
        <v>1026</v>
      </c>
    </row>
    <row r="1375" spans="1:32" ht="14.5" customHeight="1" x14ac:dyDescent="0.35">
      <c r="A1375" t="s">
        <v>498</v>
      </c>
      <c r="B1375" t="s">
        <v>968</v>
      </c>
      <c r="C1375" t="s">
        <v>846</v>
      </c>
      <c r="D1375">
        <v>3001240</v>
      </c>
      <c r="E1375">
        <v>3001240</v>
      </c>
      <c r="F1375" t="s">
        <v>8</v>
      </c>
      <c r="G1375" t="s">
        <v>8</v>
      </c>
      <c r="H1375" t="s">
        <v>54</v>
      </c>
      <c r="I1375">
        <v>9916332</v>
      </c>
      <c r="J1375" s="12">
        <v>46098</v>
      </c>
      <c r="K1375" s="12">
        <v>46098</v>
      </c>
      <c r="L1375" s="12">
        <v>46136</v>
      </c>
      <c r="M1375">
        <v>-4</v>
      </c>
      <c r="N1375">
        <v>576203290</v>
      </c>
      <c r="O1375">
        <v>0</v>
      </c>
      <c r="P1375">
        <v>576203290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 t="s">
        <v>548</v>
      </c>
      <c r="AA1375" t="s">
        <v>76</v>
      </c>
      <c r="AB1375" t="s">
        <v>51</v>
      </c>
      <c r="AC1375" t="s">
        <v>1244</v>
      </c>
      <c r="AD1375" t="s">
        <v>51</v>
      </c>
      <c r="AE1375" t="s">
        <v>51</v>
      </c>
      <c r="AF1375" t="s">
        <v>442</v>
      </c>
    </row>
    <row r="1376" spans="1:32" ht="14.5" customHeight="1" x14ac:dyDescent="0.35">
      <c r="A1376" t="s">
        <v>498</v>
      </c>
      <c r="B1376" t="s">
        <v>968</v>
      </c>
      <c r="C1376" t="s">
        <v>47</v>
      </c>
      <c r="D1376">
        <v>3001240</v>
      </c>
      <c r="E1376">
        <v>3001240</v>
      </c>
      <c r="F1376" t="s">
        <v>8</v>
      </c>
      <c r="G1376" t="s">
        <v>8</v>
      </c>
      <c r="H1376" t="s">
        <v>140</v>
      </c>
      <c r="I1376">
        <v>9917195</v>
      </c>
      <c r="J1376" s="12">
        <v>46099</v>
      </c>
      <c r="K1376" s="12">
        <v>46099</v>
      </c>
      <c r="L1376" s="12">
        <v>46134</v>
      </c>
      <c r="M1376">
        <v>-2</v>
      </c>
      <c r="N1376">
        <v>1684131</v>
      </c>
      <c r="O1376">
        <v>0</v>
      </c>
      <c r="P1376">
        <v>1684131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 t="s">
        <v>548</v>
      </c>
      <c r="AA1376" t="s">
        <v>76</v>
      </c>
      <c r="AB1376" t="s">
        <v>51</v>
      </c>
      <c r="AC1376" t="s">
        <v>1245</v>
      </c>
      <c r="AD1376" t="s">
        <v>51</v>
      </c>
      <c r="AE1376" t="s">
        <v>51</v>
      </c>
      <c r="AF1376" t="s">
        <v>183</v>
      </c>
    </row>
    <row r="1377" spans="1:32" ht="14.5" customHeight="1" x14ac:dyDescent="0.35">
      <c r="A1377" t="s">
        <v>498</v>
      </c>
      <c r="B1377" t="s">
        <v>1230</v>
      </c>
      <c r="C1377" t="s">
        <v>47</v>
      </c>
      <c r="D1377">
        <v>3001240</v>
      </c>
      <c r="E1377">
        <v>3100379</v>
      </c>
      <c r="F1377" t="s">
        <v>8</v>
      </c>
      <c r="G1377" t="s">
        <v>1231</v>
      </c>
      <c r="H1377" t="s">
        <v>140</v>
      </c>
      <c r="I1377">
        <v>9917197</v>
      </c>
      <c r="J1377" s="12">
        <v>46099</v>
      </c>
      <c r="K1377" s="12">
        <v>46099</v>
      </c>
      <c r="L1377" s="12">
        <v>46134</v>
      </c>
      <c r="M1377">
        <v>-2</v>
      </c>
      <c r="N1377">
        <v>18252</v>
      </c>
      <c r="O1377">
        <v>0</v>
      </c>
      <c r="P1377">
        <v>18252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 t="s">
        <v>846</v>
      </c>
      <c r="AA1377" t="s">
        <v>76</v>
      </c>
      <c r="AB1377" t="s">
        <v>51</v>
      </c>
      <c r="AC1377" t="s">
        <v>1246</v>
      </c>
      <c r="AD1377" t="s">
        <v>51</v>
      </c>
      <c r="AE1377" t="s">
        <v>51</v>
      </c>
      <c r="AF1377" t="s">
        <v>809</v>
      </c>
    </row>
    <row r="1378" spans="1:32" ht="14.5" customHeight="1" x14ac:dyDescent="0.35">
      <c r="A1378" t="s">
        <v>498</v>
      </c>
      <c r="B1378" t="s">
        <v>968</v>
      </c>
      <c r="C1378" t="s">
        <v>846</v>
      </c>
      <c r="D1378">
        <v>3001240</v>
      </c>
      <c r="E1378">
        <v>3001240</v>
      </c>
      <c r="F1378" t="s">
        <v>8</v>
      </c>
      <c r="G1378" t="s">
        <v>8</v>
      </c>
      <c r="H1378" t="s">
        <v>54</v>
      </c>
      <c r="I1378">
        <v>9922148</v>
      </c>
      <c r="J1378" s="12">
        <v>46116</v>
      </c>
      <c r="K1378" s="12">
        <v>46116</v>
      </c>
      <c r="L1378" s="12">
        <v>46154</v>
      </c>
      <c r="M1378">
        <v>-22</v>
      </c>
      <c r="N1378">
        <v>707332016</v>
      </c>
      <c r="O1378">
        <v>0</v>
      </c>
      <c r="P1378">
        <v>707332016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 t="s">
        <v>548</v>
      </c>
      <c r="AA1378" t="s">
        <v>76</v>
      </c>
      <c r="AB1378" t="s">
        <v>51</v>
      </c>
      <c r="AC1378" t="s">
        <v>51</v>
      </c>
      <c r="AD1378" t="s">
        <v>51</v>
      </c>
      <c r="AE1378" t="s">
        <v>1247</v>
      </c>
      <c r="AF1378" t="s">
        <v>271</v>
      </c>
    </row>
    <row r="1379" spans="1:32" ht="14.5" customHeight="1" x14ac:dyDescent="0.35">
      <c r="A1379" t="s">
        <v>498</v>
      </c>
      <c r="B1379" t="s">
        <v>968</v>
      </c>
      <c r="C1379" t="s">
        <v>846</v>
      </c>
      <c r="D1379">
        <v>3001240</v>
      </c>
      <c r="E1379">
        <v>3001240</v>
      </c>
      <c r="F1379" t="s">
        <v>8</v>
      </c>
      <c r="G1379" t="s">
        <v>8</v>
      </c>
      <c r="H1379" t="s">
        <v>54</v>
      </c>
      <c r="I1379">
        <v>9922241</v>
      </c>
      <c r="J1379" s="12">
        <v>46118</v>
      </c>
      <c r="K1379" s="12">
        <v>46118</v>
      </c>
      <c r="L1379" s="12">
        <v>46156</v>
      </c>
      <c r="M1379">
        <v>-24</v>
      </c>
      <c r="N1379">
        <v>156171201</v>
      </c>
      <c r="O1379">
        <v>0</v>
      </c>
      <c r="P1379">
        <v>156171201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 t="s">
        <v>548</v>
      </c>
      <c r="AA1379" t="s">
        <v>76</v>
      </c>
      <c r="AB1379" t="s">
        <v>51</v>
      </c>
      <c r="AC1379" t="s">
        <v>51</v>
      </c>
      <c r="AD1379" t="s">
        <v>51</v>
      </c>
      <c r="AE1379" t="s">
        <v>1248</v>
      </c>
      <c r="AF1379" t="s">
        <v>938</v>
      </c>
    </row>
    <row r="1380" spans="1:32" ht="14.5" customHeight="1" x14ac:dyDescent="0.35">
      <c r="A1380" t="s">
        <v>498</v>
      </c>
      <c r="B1380" t="s">
        <v>1230</v>
      </c>
      <c r="C1380" t="s">
        <v>846</v>
      </c>
      <c r="D1380">
        <v>3001240</v>
      </c>
      <c r="E1380">
        <v>3100920</v>
      </c>
      <c r="F1380" t="s">
        <v>8</v>
      </c>
      <c r="G1380" t="s">
        <v>1232</v>
      </c>
      <c r="H1380" t="s">
        <v>54</v>
      </c>
      <c r="I1380">
        <v>9922751</v>
      </c>
      <c r="J1380" s="12">
        <v>46119</v>
      </c>
      <c r="K1380" s="12">
        <v>46119</v>
      </c>
      <c r="L1380" s="12">
        <v>46157</v>
      </c>
      <c r="M1380">
        <v>-25</v>
      </c>
      <c r="N1380">
        <v>309342013</v>
      </c>
      <c r="O1380">
        <v>0</v>
      </c>
      <c r="P1380">
        <v>309342013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 t="s">
        <v>846</v>
      </c>
      <c r="AA1380" t="s">
        <v>76</v>
      </c>
      <c r="AB1380" t="s">
        <v>51</v>
      </c>
      <c r="AC1380" t="s">
        <v>51</v>
      </c>
      <c r="AD1380" t="s">
        <v>51</v>
      </c>
      <c r="AE1380" t="s">
        <v>1249</v>
      </c>
      <c r="AF1380" t="s">
        <v>62</v>
      </c>
    </row>
    <row r="1381" spans="1:32" ht="14.5" customHeight="1" x14ac:dyDescent="0.35">
      <c r="A1381" t="s">
        <v>498</v>
      </c>
      <c r="B1381" t="s">
        <v>1230</v>
      </c>
      <c r="C1381" t="s">
        <v>846</v>
      </c>
      <c r="D1381">
        <v>3001240</v>
      </c>
      <c r="E1381">
        <v>3100379</v>
      </c>
      <c r="F1381" t="s">
        <v>8</v>
      </c>
      <c r="G1381" t="s">
        <v>1231</v>
      </c>
      <c r="H1381" t="s">
        <v>54</v>
      </c>
      <c r="I1381">
        <v>9922752</v>
      </c>
      <c r="J1381" s="12">
        <v>46119</v>
      </c>
      <c r="K1381" s="12">
        <v>46119</v>
      </c>
      <c r="L1381" s="12">
        <v>46157</v>
      </c>
      <c r="M1381">
        <v>-25</v>
      </c>
      <c r="N1381">
        <v>306537228</v>
      </c>
      <c r="O1381">
        <v>0</v>
      </c>
      <c r="P1381">
        <v>306537228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 t="s">
        <v>846</v>
      </c>
      <c r="AA1381" t="s">
        <v>76</v>
      </c>
      <c r="AB1381" t="s">
        <v>51</v>
      </c>
      <c r="AC1381" t="s">
        <v>51</v>
      </c>
      <c r="AD1381" t="s">
        <v>51</v>
      </c>
      <c r="AE1381" t="s">
        <v>1250</v>
      </c>
      <c r="AF1381" t="s">
        <v>202</v>
      </c>
    </row>
    <row r="1382" spans="1:32" ht="14.5" customHeight="1" x14ac:dyDescent="0.35">
      <c r="A1382" t="s">
        <v>498</v>
      </c>
      <c r="B1382" t="s">
        <v>968</v>
      </c>
      <c r="C1382" t="s">
        <v>846</v>
      </c>
      <c r="D1382">
        <v>3001240</v>
      </c>
      <c r="E1382">
        <v>3001240</v>
      </c>
      <c r="F1382" t="s">
        <v>8</v>
      </c>
      <c r="G1382" t="s">
        <v>8</v>
      </c>
      <c r="H1382" t="s">
        <v>54</v>
      </c>
      <c r="I1382">
        <v>9924546</v>
      </c>
      <c r="J1382" s="12">
        <v>46123</v>
      </c>
      <c r="K1382" s="12">
        <v>46123</v>
      </c>
      <c r="L1382" s="12">
        <v>46161</v>
      </c>
      <c r="M1382">
        <v>-29</v>
      </c>
      <c r="N1382">
        <v>117263354</v>
      </c>
      <c r="O1382">
        <v>0</v>
      </c>
      <c r="P1382">
        <v>117263354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 t="s">
        <v>548</v>
      </c>
      <c r="AA1382" t="s">
        <v>76</v>
      </c>
      <c r="AB1382" t="s">
        <v>51</v>
      </c>
      <c r="AC1382" t="s">
        <v>51</v>
      </c>
      <c r="AD1382" t="s">
        <v>51</v>
      </c>
      <c r="AE1382" t="s">
        <v>1251</v>
      </c>
      <c r="AF1382" t="s">
        <v>1252</v>
      </c>
    </row>
    <row r="1383" spans="1:32" ht="14.5" customHeight="1" x14ac:dyDescent="0.35">
      <c r="A1383" t="s">
        <v>498</v>
      </c>
      <c r="B1383" t="s">
        <v>968</v>
      </c>
      <c r="C1383" t="s">
        <v>846</v>
      </c>
      <c r="D1383">
        <v>3001240</v>
      </c>
      <c r="E1383">
        <v>3001240</v>
      </c>
      <c r="F1383" t="s">
        <v>8</v>
      </c>
      <c r="G1383" t="s">
        <v>8</v>
      </c>
      <c r="H1383" t="s">
        <v>54</v>
      </c>
      <c r="I1383">
        <v>9924552</v>
      </c>
      <c r="J1383" s="12">
        <v>46123</v>
      </c>
      <c r="K1383" s="12">
        <v>46123</v>
      </c>
      <c r="L1383" s="12">
        <v>46161</v>
      </c>
      <c r="M1383">
        <v>-29</v>
      </c>
      <c r="N1383">
        <v>754046543</v>
      </c>
      <c r="O1383">
        <v>0</v>
      </c>
      <c r="P1383">
        <v>754046543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 t="s">
        <v>548</v>
      </c>
      <c r="AA1383" t="s">
        <v>76</v>
      </c>
      <c r="AB1383" t="s">
        <v>51</v>
      </c>
      <c r="AC1383" t="s">
        <v>51</v>
      </c>
      <c r="AD1383" t="s">
        <v>51</v>
      </c>
      <c r="AE1383" t="s">
        <v>1253</v>
      </c>
      <c r="AF1383" t="s">
        <v>62</v>
      </c>
    </row>
    <row r="1384" spans="1:32" ht="14.5" customHeight="1" x14ac:dyDescent="0.35">
      <c r="A1384" t="s">
        <v>498</v>
      </c>
      <c r="B1384" t="s">
        <v>968</v>
      </c>
      <c r="C1384" t="s">
        <v>846</v>
      </c>
      <c r="D1384">
        <v>3001240</v>
      </c>
      <c r="E1384">
        <v>3001240</v>
      </c>
      <c r="F1384" t="s">
        <v>8</v>
      </c>
      <c r="G1384" t="s">
        <v>8</v>
      </c>
      <c r="H1384" t="s">
        <v>54</v>
      </c>
      <c r="I1384">
        <v>9926755</v>
      </c>
      <c r="J1384" s="12">
        <v>46129</v>
      </c>
      <c r="K1384" s="12">
        <v>46129</v>
      </c>
      <c r="L1384" s="12">
        <v>46167</v>
      </c>
      <c r="M1384">
        <v>-35</v>
      </c>
      <c r="N1384">
        <v>636725224</v>
      </c>
      <c r="O1384">
        <v>0</v>
      </c>
      <c r="P1384">
        <v>636725224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 t="s">
        <v>548</v>
      </c>
      <c r="AA1384" t="s">
        <v>76</v>
      </c>
      <c r="AB1384" t="s">
        <v>51</v>
      </c>
      <c r="AC1384" t="s">
        <v>51</v>
      </c>
      <c r="AD1384" t="s">
        <v>51</v>
      </c>
      <c r="AE1384" t="s">
        <v>1254</v>
      </c>
      <c r="AF1384" t="s">
        <v>475</v>
      </c>
    </row>
    <row r="1385" spans="1:32" ht="14.5" customHeight="1" x14ac:dyDescent="0.35">
      <c r="A1385" t="s">
        <v>498</v>
      </c>
      <c r="B1385" t="s">
        <v>1230</v>
      </c>
      <c r="C1385" t="s">
        <v>846</v>
      </c>
      <c r="D1385">
        <v>3001240</v>
      </c>
      <c r="E1385">
        <v>3100379</v>
      </c>
      <c r="F1385" t="s">
        <v>8</v>
      </c>
      <c r="G1385" t="s">
        <v>1231</v>
      </c>
      <c r="H1385" t="s">
        <v>54</v>
      </c>
      <c r="I1385">
        <v>9926757</v>
      </c>
      <c r="J1385" s="12">
        <v>46129</v>
      </c>
      <c r="K1385" s="12">
        <v>46129</v>
      </c>
      <c r="L1385" s="12">
        <v>46167</v>
      </c>
      <c r="M1385">
        <v>-35</v>
      </c>
      <c r="N1385">
        <v>227182894</v>
      </c>
      <c r="O1385">
        <v>0</v>
      </c>
      <c r="P1385">
        <v>227182894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 t="s">
        <v>846</v>
      </c>
      <c r="AA1385" t="s">
        <v>76</v>
      </c>
      <c r="AB1385" t="s">
        <v>51</v>
      </c>
      <c r="AC1385" t="s">
        <v>51</v>
      </c>
      <c r="AD1385" t="s">
        <v>51</v>
      </c>
      <c r="AE1385" t="s">
        <v>1255</v>
      </c>
      <c r="AF1385" t="s">
        <v>1256</v>
      </c>
    </row>
    <row r="1386" spans="1:32" ht="14.5" customHeight="1" x14ac:dyDescent="0.35">
      <c r="A1386" t="s">
        <v>498</v>
      </c>
      <c r="B1386" t="s">
        <v>968</v>
      </c>
      <c r="C1386" t="s">
        <v>47</v>
      </c>
      <c r="D1386">
        <v>3001240</v>
      </c>
      <c r="E1386">
        <v>3001240</v>
      </c>
      <c r="F1386" t="s">
        <v>8</v>
      </c>
      <c r="G1386" t="s">
        <v>8</v>
      </c>
      <c r="H1386" t="s">
        <v>140</v>
      </c>
      <c r="I1386">
        <v>9927412</v>
      </c>
      <c r="J1386" s="12">
        <v>46130</v>
      </c>
      <c r="K1386" s="12">
        <v>46130</v>
      </c>
      <c r="L1386" s="12">
        <v>46165</v>
      </c>
      <c r="M1386">
        <v>-33</v>
      </c>
      <c r="N1386">
        <v>410684</v>
      </c>
      <c r="O1386">
        <v>0</v>
      </c>
      <c r="P1386">
        <v>410684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 t="s">
        <v>548</v>
      </c>
      <c r="AA1386" t="s">
        <v>76</v>
      </c>
      <c r="AB1386" t="s">
        <v>51</v>
      </c>
      <c r="AC1386" t="s">
        <v>51</v>
      </c>
      <c r="AD1386" t="s">
        <v>51</v>
      </c>
      <c r="AE1386" t="s">
        <v>1257</v>
      </c>
      <c r="AF1386" t="s">
        <v>928</v>
      </c>
    </row>
    <row r="1387" spans="1:32" ht="14.5" customHeight="1" x14ac:dyDescent="0.35">
      <c r="A1387" t="s">
        <v>498</v>
      </c>
      <c r="B1387" t="s">
        <v>1230</v>
      </c>
      <c r="C1387" t="s">
        <v>47</v>
      </c>
      <c r="D1387">
        <v>3001240</v>
      </c>
      <c r="E1387">
        <v>3100379</v>
      </c>
      <c r="F1387" t="s">
        <v>8</v>
      </c>
      <c r="G1387" t="s">
        <v>1231</v>
      </c>
      <c r="H1387" t="s">
        <v>140</v>
      </c>
      <c r="I1387">
        <v>9927413</v>
      </c>
      <c r="J1387" s="12">
        <v>46130</v>
      </c>
      <c r="K1387" s="12">
        <v>46130</v>
      </c>
      <c r="L1387" s="12">
        <v>46165</v>
      </c>
      <c r="M1387">
        <v>-33</v>
      </c>
      <c r="N1387">
        <v>2904</v>
      </c>
      <c r="O1387">
        <v>0</v>
      </c>
      <c r="P1387">
        <v>2904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 t="s">
        <v>846</v>
      </c>
      <c r="AA1387" t="s">
        <v>76</v>
      </c>
      <c r="AB1387" t="s">
        <v>51</v>
      </c>
      <c r="AC1387" t="s">
        <v>51</v>
      </c>
      <c r="AD1387" t="s">
        <v>51</v>
      </c>
      <c r="AE1387" t="s">
        <v>1258</v>
      </c>
      <c r="AF1387" t="s">
        <v>534</v>
      </c>
    </row>
    <row r="1388" spans="1:32" ht="14.5" customHeight="1" x14ac:dyDescent="0.35">
      <c r="A1388" t="s">
        <v>498</v>
      </c>
      <c r="B1388" t="s">
        <v>1230</v>
      </c>
      <c r="C1388" t="s">
        <v>47</v>
      </c>
      <c r="D1388">
        <v>3001240</v>
      </c>
      <c r="E1388">
        <v>3100920</v>
      </c>
      <c r="F1388" t="s">
        <v>8</v>
      </c>
      <c r="G1388" t="s">
        <v>1232</v>
      </c>
      <c r="H1388" t="s">
        <v>140</v>
      </c>
      <c r="I1388">
        <v>9927423</v>
      </c>
      <c r="J1388" s="12">
        <v>46130</v>
      </c>
      <c r="K1388" s="12">
        <v>46130</v>
      </c>
      <c r="L1388" s="12">
        <v>46165</v>
      </c>
      <c r="M1388">
        <v>-33</v>
      </c>
      <c r="N1388">
        <v>18323</v>
      </c>
      <c r="O1388">
        <v>0</v>
      </c>
      <c r="P1388">
        <v>18323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 t="s">
        <v>846</v>
      </c>
      <c r="AA1388" t="s">
        <v>76</v>
      </c>
      <c r="AB1388" t="s">
        <v>51</v>
      </c>
      <c r="AC1388" t="s">
        <v>51</v>
      </c>
      <c r="AD1388" t="s">
        <v>51</v>
      </c>
      <c r="AE1388" t="s">
        <v>1259</v>
      </c>
      <c r="AF1388" t="s">
        <v>195</v>
      </c>
    </row>
    <row r="1389" spans="1:32" ht="14.5" customHeight="1" x14ac:dyDescent="0.35">
      <c r="A1389" t="s">
        <v>498</v>
      </c>
      <c r="B1389" t="s">
        <v>499</v>
      </c>
      <c r="C1389" t="s">
        <v>47</v>
      </c>
      <c r="D1389">
        <v>3001259</v>
      </c>
      <c r="E1389">
        <v>3001259</v>
      </c>
      <c r="F1389" t="s">
        <v>1260</v>
      </c>
      <c r="G1389" t="s">
        <v>1260</v>
      </c>
      <c r="H1389" t="s">
        <v>54</v>
      </c>
      <c r="I1389">
        <v>6959908</v>
      </c>
      <c r="J1389" s="12">
        <v>46129</v>
      </c>
      <c r="K1389" s="12">
        <v>46129</v>
      </c>
      <c r="L1389" s="12">
        <v>46129</v>
      </c>
      <c r="M1389">
        <v>3</v>
      </c>
      <c r="N1389">
        <v>-7418951</v>
      </c>
      <c r="O1389">
        <v>-7418951</v>
      </c>
      <c r="P1389">
        <v>0</v>
      </c>
      <c r="Q1389">
        <v>-7418951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 t="s">
        <v>548</v>
      </c>
      <c r="AA1389" t="s">
        <v>55</v>
      </c>
      <c r="AB1389" t="s">
        <v>51</v>
      </c>
      <c r="AC1389" t="s">
        <v>51</v>
      </c>
      <c r="AD1389" t="s">
        <v>51</v>
      </c>
      <c r="AE1389" t="s">
        <v>51</v>
      </c>
      <c r="AF1389" t="s">
        <v>525</v>
      </c>
    </row>
    <row r="1390" spans="1:32" ht="14.5" customHeight="1" x14ac:dyDescent="0.35">
      <c r="A1390" t="s">
        <v>498</v>
      </c>
      <c r="B1390" t="s">
        <v>499</v>
      </c>
      <c r="C1390" t="s">
        <v>846</v>
      </c>
      <c r="D1390">
        <v>3001259</v>
      </c>
      <c r="E1390">
        <v>3001259</v>
      </c>
      <c r="F1390" t="s">
        <v>1260</v>
      </c>
      <c r="G1390" t="s">
        <v>1260</v>
      </c>
      <c r="H1390" t="s">
        <v>54</v>
      </c>
      <c r="I1390">
        <v>9900046</v>
      </c>
      <c r="J1390" s="12">
        <v>46057</v>
      </c>
      <c r="K1390" s="12">
        <v>46057</v>
      </c>
      <c r="L1390" s="12">
        <v>46127</v>
      </c>
      <c r="M1390">
        <v>5</v>
      </c>
      <c r="N1390">
        <v>2234093</v>
      </c>
      <c r="O1390">
        <v>0</v>
      </c>
      <c r="P1390">
        <v>0</v>
      </c>
      <c r="Q1390">
        <v>2234093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 t="s">
        <v>548</v>
      </c>
      <c r="AA1390" t="s">
        <v>55</v>
      </c>
      <c r="AB1390" t="s">
        <v>51</v>
      </c>
      <c r="AC1390" t="s">
        <v>51</v>
      </c>
      <c r="AD1390" t="s">
        <v>51</v>
      </c>
      <c r="AE1390" t="s">
        <v>51</v>
      </c>
      <c r="AF1390" t="s">
        <v>281</v>
      </c>
    </row>
    <row r="1391" spans="1:32" ht="14.5" customHeight="1" x14ac:dyDescent="0.35">
      <c r="A1391" t="s">
        <v>498</v>
      </c>
      <c r="B1391" t="s">
        <v>499</v>
      </c>
      <c r="C1391" t="s">
        <v>846</v>
      </c>
      <c r="D1391">
        <v>3001259</v>
      </c>
      <c r="E1391">
        <v>3001259</v>
      </c>
      <c r="F1391" t="s">
        <v>1260</v>
      </c>
      <c r="G1391" t="s">
        <v>1260</v>
      </c>
      <c r="H1391" t="s">
        <v>54</v>
      </c>
      <c r="I1391">
        <v>9918302</v>
      </c>
      <c r="J1391" s="12">
        <v>46107</v>
      </c>
      <c r="K1391" s="12">
        <v>46107</v>
      </c>
      <c r="L1391" s="12">
        <v>46177</v>
      </c>
      <c r="M1391">
        <v>-45</v>
      </c>
      <c r="N1391">
        <v>326775041</v>
      </c>
      <c r="O1391">
        <v>0</v>
      </c>
      <c r="P1391">
        <v>326775041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 t="s">
        <v>548</v>
      </c>
      <c r="AA1391" t="s">
        <v>55</v>
      </c>
      <c r="AB1391" t="s">
        <v>51</v>
      </c>
      <c r="AC1391" t="s">
        <v>51</v>
      </c>
      <c r="AD1391" t="s">
        <v>51</v>
      </c>
      <c r="AE1391" t="s">
        <v>1261</v>
      </c>
      <c r="AF1391" t="s">
        <v>1262</v>
      </c>
    </row>
    <row r="1392" spans="1:32" ht="14.5" customHeight="1" x14ac:dyDescent="0.35">
      <c r="A1392" t="s">
        <v>774</v>
      </c>
      <c r="B1392" t="s">
        <v>775</v>
      </c>
      <c r="C1392" t="s">
        <v>47</v>
      </c>
      <c r="D1392">
        <v>3001292</v>
      </c>
      <c r="E1392">
        <v>3000975</v>
      </c>
      <c r="F1392" t="s">
        <v>1263</v>
      </c>
      <c r="G1392" t="s">
        <v>776</v>
      </c>
      <c r="H1392" t="s">
        <v>111</v>
      </c>
      <c r="I1392">
        <v>6957850</v>
      </c>
      <c r="J1392" s="12">
        <v>46114</v>
      </c>
      <c r="K1392" s="12">
        <v>46114</v>
      </c>
      <c r="L1392" s="12">
        <v>46114</v>
      </c>
      <c r="M1392">
        <v>18</v>
      </c>
      <c r="N1392">
        <v>-50829</v>
      </c>
      <c r="O1392">
        <v>-50829</v>
      </c>
      <c r="P1392">
        <v>0</v>
      </c>
      <c r="Q1392">
        <v>-50829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 t="s">
        <v>47</v>
      </c>
      <c r="AA1392" t="s">
        <v>76</v>
      </c>
      <c r="AB1392" t="s">
        <v>51</v>
      </c>
      <c r="AC1392" t="s">
        <v>51</v>
      </c>
      <c r="AD1392" t="s">
        <v>51</v>
      </c>
      <c r="AE1392" t="s">
        <v>51</v>
      </c>
      <c r="AF1392" t="s">
        <v>108</v>
      </c>
    </row>
    <row r="1393" spans="1:32" ht="14.5" customHeight="1" x14ac:dyDescent="0.35">
      <c r="A1393" t="s">
        <v>774</v>
      </c>
      <c r="B1393" t="s">
        <v>1193</v>
      </c>
      <c r="C1393" t="s">
        <v>47</v>
      </c>
      <c r="D1393">
        <v>3001292</v>
      </c>
      <c r="E1393">
        <v>3001080</v>
      </c>
      <c r="F1393" t="s">
        <v>1263</v>
      </c>
      <c r="G1393" t="s">
        <v>1263</v>
      </c>
      <c r="H1393" t="s">
        <v>54</v>
      </c>
      <c r="I1393">
        <v>6958404</v>
      </c>
      <c r="J1393" s="12">
        <v>46121</v>
      </c>
      <c r="K1393" s="12">
        <v>46121</v>
      </c>
      <c r="L1393" s="12">
        <v>46121</v>
      </c>
      <c r="M1393">
        <v>11</v>
      </c>
      <c r="N1393">
        <v>-704889</v>
      </c>
      <c r="O1393">
        <v>-704889</v>
      </c>
      <c r="P1393">
        <v>0</v>
      </c>
      <c r="Q1393">
        <v>-704889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 t="s">
        <v>47</v>
      </c>
      <c r="AA1393" t="s">
        <v>76</v>
      </c>
      <c r="AB1393" t="s">
        <v>51</v>
      </c>
      <c r="AC1393" t="s">
        <v>51</v>
      </c>
      <c r="AD1393" t="s">
        <v>51</v>
      </c>
      <c r="AE1393" t="s">
        <v>51</v>
      </c>
      <c r="AF1393" t="s">
        <v>1264</v>
      </c>
    </row>
    <row r="1394" spans="1:32" ht="14.5" customHeight="1" x14ac:dyDescent="0.35">
      <c r="A1394" t="s">
        <v>774</v>
      </c>
      <c r="B1394" t="s">
        <v>1193</v>
      </c>
      <c r="C1394" t="s">
        <v>47</v>
      </c>
      <c r="D1394">
        <v>3001292</v>
      </c>
      <c r="E1394">
        <v>3001080</v>
      </c>
      <c r="F1394" t="s">
        <v>1263</v>
      </c>
      <c r="G1394" t="s">
        <v>1263</v>
      </c>
      <c r="H1394" t="s">
        <v>54</v>
      </c>
      <c r="I1394">
        <v>6958405</v>
      </c>
      <c r="J1394" s="12">
        <v>46121</v>
      </c>
      <c r="K1394" s="12">
        <v>46121</v>
      </c>
      <c r="L1394" s="12">
        <v>46121</v>
      </c>
      <c r="M1394">
        <v>11</v>
      </c>
      <c r="N1394">
        <v>-448120</v>
      </c>
      <c r="O1394">
        <v>-448120</v>
      </c>
      <c r="P1394">
        <v>0</v>
      </c>
      <c r="Q1394">
        <v>-448120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 t="s">
        <v>47</v>
      </c>
      <c r="AA1394" t="s">
        <v>76</v>
      </c>
      <c r="AB1394" t="s">
        <v>51</v>
      </c>
      <c r="AC1394" t="s">
        <v>51</v>
      </c>
      <c r="AD1394" t="s">
        <v>51</v>
      </c>
      <c r="AE1394" t="s">
        <v>51</v>
      </c>
      <c r="AF1394" t="s">
        <v>1264</v>
      </c>
    </row>
    <row r="1395" spans="1:32" ht="14.5" customHeight="1" x14ac:dyDescent="0.35">
      <c r="A1395" t="s">
        <v>774</v>
      </c>
      <c r="B1395" t="s">
        <v>1193</v>
      </c>
      <c r="C1395" t="s">
        <v>47</v>
      </c>
      <c r="D1395">
        <v>3001292</v>
      </c>
      <c r="E1395">
        <v>3001080</v>
      </c>
      <c r="F1395" t="s">
        <v>1263</v>
      </c>
      <c r="G1395" t="s">
        <v>1263</v>
      </c>
      <c r="H1395" t="s">
        <v>54</v>
      </c>
      <c r="I1395">
        <v>6958463</v>
      </c>
      <c r="J1395" s="12">
        <v>46121</v>
      </c>
      <c r="K1395" s="12">
        <v>46121</v>
      </c>
      <c r="L1395" s="12">
        <v>46121</v>
      </c>
      <c r="M1395">
        <v>11</v>
      </c>
      <c r="N1395">
        <v>-892638</v>
      </c>
      <c r="O1395">
        <v>-892638</v>
      </c>
      <c r="P1395">
        <v>0</v>
      </c>
      <c r="Q1395">
        <v>-892638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 t="s">
        <v>47</v>
      </c>
      <c r="AA1395" t="s">
        <v>76</v>
      </c>
      <c r="AB1395" t="s">
        <v>51</v>
      </c>
      <c r="AC1395" t="s">
        <v>51</v>
      </c>
      <c r="AD1395" t="s">
        <v>51</v>
      </c>
      <c r="AE1395" t="s">
        <v>51</v>
      </c>
      <c r="AF1395" t="s">
        <v>1264</v>
      </c>
    </row>
    <row r="1396" spans="1:32" ht="14.5" customHeight="1" x14ac:dyDescent="0.35">
      <c r="A1396" t="s">
        <v>774</v>
      </c>
      <c r="B1396" t="s">
        <v>1193</v>
      </c>
      <c r="C1396" t="s">
        <v>47</v>
      </c>
      <c r="D1396">
        <v>3001292</v>
      </c>
      <c r="E1396">
        <v>3001080</v>
      </c>
      <c r="F1396" t="s">
        <v>1263</v>
      </c>
      <c r="G1396" t="s">
        <v>1263</v>
      </c>
      <c r="H1396" t="s">
        <v>54</v>
      </c>
      <c r="I1396">
        <v>6958523</v>
      </c>
      <c r="J1396" s="12">
        <v>46121</v>
      </c>
      <c r="K1396" s="12">
        <v>46121</v>
      </c>
      <c r="L1396" s="12">
        <v>46121</v>
      </c>
      <c r="M1396">
        <v>11</v>
      </c>
      <c r="N1396">
        <v>-26826166</v>
      </c>
      <c r="O1396">
        <v>-26826166</v>
      </c>
      <c r="P1396">
        <v>0</v>
      </c>
      <c r="Q1396">
        <v>-26826166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 t="s">
        <v>47</v>
      </c>
      <c r="AA1396" t="s">
        <v>76</v>
      </c>
      <c r="AB1396" t="s">
        <v>51</v>
      </c>
      <c r="AC1396" t="s">
        <v>51</v>
      </c>
      <c r="AD1396" t="s">
        <v>51</v>
      </c>
      <c r="AE1396" t="s">
        <v>51</v>
      </c>
      <c r="AF1396" t="s">
        <v>782</v>
      </c>
    </row>
    <row r="1397" spans="1:32" ht="14.5" customHeight="1" x14ac:dyDescent="0.35">
      <c r="A1397" t="s">
        <v>774</v>
      </c>
      <c r="B1397" t="s">
        <v>1193</v>
      </c>
      <c r="C1397" t="s">
        <v>47</v>
      </c>
      <c r="D1397">
        <v>3001292</v>
      </c>
      <c r="E1397">
        <v>3001228</v>
      </c>
      <c r="F1397" t="s">
        <v>1263</v>
      </c>
      <c r="G1397" t="s">
        <v>1263</v>
      </c>
      <c r="H1397" t="s">
        <v>54</v>
      </c>
      <c r="I1397">
        <v>6958533</v>
      </c>
      <c r="J1397" s="12">
        <v>46121</v>
      </c>
      <c r="K1397" s="12">
        <v>46121</v>
      </c>
      <c r="L1397" s="12">
        <v>46121</v>
      </c>
      <c r="M1397">
        <v>11</v>
      </c>
      <c r="N1397">
        <v>-81310911</v>
      </c>
      <c r="O1397">
        <v>-81310911</v>
      </c>
      <c r="P1397">
        <v>0</v>
      </c>
      <c r="Q1397">
        <v>-81310911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 t="s">
        <v>47</v>
      </c>
      <c r="AA1397" t="s">
        <v>76</v>
      </c>
      <c r="AB1397" t="s">
        <v>51</v>
      </c>
      <c r="AC1397" t="s">
        <v>51</v>
      </c>
      <c r="AD1397" t="s">
        <v>51</v>
      </c>
      <c r="AE1397" t="s">
        <v>51</v>
      </c>
      <c r="AF1397" t="s">
        <v>782</v>
      </c>
    </row>
    <row r="1398" spans="1:32" ht="14.5" customHeight="1" x14ac:dyDescent="0.35">
      <c r="A1398" t="s">
        <v>774</v>
      </c>
      <c r="B1398" t="s">
        <v>1193</v>
      </c>
      <c r="C1398" t="s">
        <v>47</v>
      </c>
      <c r="D1398">
        <v>3001292</v>
      </c>
      <c r="E1398">
        <v>3001481</v>
      </c>
      <c r="F1398" t="s">
        <v>1263</v>
      </c>
      <c r="G1398" t="s">
        <v>1263</v>
      </c>
      <c r="H1398" t="s">
        <v>54</v>
      </c>
      <c r="I1398">
        <v>6958536</v>
      </c>
      <c r="J1398" s="12">
        <v>46121</v>
      </c>
      <c r="K1398" s="12">
        <v>46121</v>
      </c>
      <c r="L1398" s="12">
        <v>46121</v>
      </c>
      <c r="M1398">
        <v>11</v>
      </c>
      <c r="N1398">
        <v>-44800431</v>
      </c>
      <c r="O1398">
        <v>-44800431</v>
      </c>
      <c r="P1398">
        <v>0</v>
      </c>
      <c r="Q1398">
        <v>-44800431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 t="s">
        <v>47</v>
      </c>
      <c r="AA1398" t="s">
        <v>76</v>
      </c>
      <c r="AB1398" t="s">
        <v>51</v>
      </c>
      <c r="AC1398" t="s">
        <v>51</v>
      </c>
      <c r="AD1398" t="s">
        <v>51</v>
      </c>
      <c r="AE1398" t="s">
        <v>51</v>
      </c>
      <c r="AF1398" t="s">
        <v>782</v>
      </c>
    </row>
    <row r="1399" spans="1:32" ht="14.5" customHeight="1" x14ac:dyDescent="0.35">
      <c r="A1399" t="s">
        <v>774</v>
      </c>
      <c r="B1399" t="s">
        <v>1193</v>
      </c>
      <c r="C1399" t="s">
        <v>47</v>
      </c>
      <c r="D1399">
        <v>3001292</v>
      </c>
      <c r="E1399">
        <v>3001080</v>
      </c>
      <c r="F1399" t="s">
        <v>1263</v>
      </c>
      <c r="G1399" t="s">
        <v>1263</v>
      </c>
      <c r="H1399" t="s">
        <v>54</v>
      </c>
      <c r="I1399">
        <v>6958773</v>
      </c>
      <c r="J1399" s="12">
        <v>46122</v>
      </c>
      <c r="K1399" s="12">
        <v>46122</v>
      </c>
      <c r="L1399" s="12">
        <v>46122</v>
      </c>
      <c r="M1399">
        <v>10</v>
      </c>
      <c r="N1399">
        <v>-8642731</v>
      </c>
      <c r="O1399">
        <v>-8642731</v>
      </c>
      <c r="P1399">
        <v>0</v>
      </c>
      <c r="Q1399">
        <v>-8642731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 t="s">
        <v>47</v>
      </c>
      <c r="AA1399" t="s">
        <v>76</v>
      </c>
      <c r="AB1399" t="s">
        <v>51</v>
      </c>
      <c r="AC1399" t="s">
        <v>51</v>
      </c>
      <c r="AD1399" t="s">
        <v>51</v>
      </c>
      <c r="AE1399" t="s">
        <v>51</v>
      </c>
      <c r="AF1399" t="s">
        <v>1265</v>
      </c>
    </row>
    <row r="1400" spans="1:32" ht="14.5" customHeight="1" x14ac:dyDescent="0.35">
      <c r="A1400" t="s">
        <v>774</v>
      </c>
      <c r="B1400" t="s">
        <v>1193</v>
      </c>
      <c r="C1400" t="s">
        <v>47</v>
      </c>
      <c r="D1400">
        <v>3001292</v>
      </c>
      <c r="E1400">
        <v>3001228</v>
      </c>
      <c r="F1400" t="s">
        <v>1263</v>
      </c>
      <c r="G1400" t="s">
        <v>1263</v>
      </c>
      <c r="H1400" t="s">
        <v>54</v>
      </c>
      <c r="I1400">
        <v>6958774</v>
      </c>
      <c r="J1400" s="12">
        <v>46122</v>
      </c>
      <c r="K1400" s="12">
        <v>46122</v>
      </c>
      <c r="L1400" s="12">
        <v>46122</v>
      </c>
      <c r="M1400">
        <v>10</v>
      </c>
      <c r="N1400">
        <v>-8017627</v>
      </c>
      <c r="O1400">
        <v>-8017627</v>
      </c>
      <c r="P1400">
        <v>0</v>
      </c>
      <c r="Q1400">
        <v>-8017627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 t="s">
        <v>47</v>
      </c>
      <c r="AA1400" t="s">
        <v>76</v>
      </c>
      <c r="AB1400" t="s">
        <v>51</v>
      </c>
      <c r="AC1400" t="s">
        <v>51</v>
      </c>
      <c r="AD1400" t="s">
        <v>51</v>
      </c>
      <c r="AE1400" t="s">
        <v>51</v>
      </c>
      <c r="AF1400" t="s">
        <v>1265</v>
      </c>
    </row>
    <row r="1401" spans="1:32" ht="14.5" customHeight="1" x14ac:dyDescent="0.35">
      <c r="A1401" t="s">
        <v>774</v>
      </c>
      <c r="B1401" t="s">
        <v>1193</v>
      </c>
      <c r="C1401" t="s">
        <v>47</v>
      </c>
      <c r="D1401">
        <v>3001292</v>
      </c>
      <c r="E1401">
        <v>3001481</v>
      </c>
      <c r="F1401" t="s">
        <v>1263</v>
      </c>
      <c r="G1401" t="s">
        <v>1263</v>
      </c>
      <c r="H1401" t="s">
        <v>54</v>
      </c>
      <c r="I1401">
        <v>6958775</v>
      </c>
      <c r="J1401" s="12">
        <v>46122</v>
      </c>
      <c r="K1401" s="12">
        <v>46122</v>
      </c>
      <c r="L1401" s="12">
        <v>46122</v>
      </c>
      <c r="M1401">
        <v>10</v>
      </c>
      <c r="N1401">
        <v>-2464293</v>
      </c>
      <c r="O1401">
        <v>-2464293</v>
      </c>
      <c r="P1401">
        <v>0</v>
      </c>
      <c r="Q1401">
        <v>-2464293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 t="s">
        <v>47</v>
      </c>
      <c r="AA1401" t="s">
        <v>76</v>
      </c>
      <c r="AB1401" t="s">
        <v>51</v>
      </c>
      <c r="AC1401" t="s">
        <v>51</v>
      </c>
      <c r="AD1401" t="s">
        <v>51</v>
      </c>
      <c r="AE1401" t="s">
        <v>51</v>
      </c>
      <c r="AF1401" t="s">
        <v>1265</v>
      </c>
    </row>
    <row r="1402" spans="1:32" ht="14.5" customHeight="1" x14ac:dyDescent="0.35">
      <c r="A1402" t="s">
        <v>774</v>
      </c>
      <c r="B1402" t="s">
        <v>1193</v>
      </c>
      <c r="C1402" t="s">
        <v>47</v>
      </c>
      <c r="D1402">
        <v>3001292</v>
      </c>
      <c r="E1402">
        <v>3001080</v>
      </c>
      <c r="F1402" t="s">
        <v>1263</v>
      </c>
      <c r="G1402" t="s">
        <v>1263</v>
      </c>
      <c r="H1402" t="s">
        <v>54</v>
      </c>
      <c r="I1402">
        <v>6958780</v>
      </c>
      <c r="J1402" s="12">
        <v>46122</v>
      </c>
      <c r="K1402" s="12">
        <v>46122</v>
      </c>
      <c r="L1402" s="12">
        <v>46122</v>
      </c>
      <c r="M1402">
        <v>10</v>
      </c>
      <c r="N1402">
        <v>-8200326</v>
      </c>
      <c r="O1402">
        <v>-8200326</v>
      </c>
      <c r="P1402">
        <v>0</v>
      </c>
      <c r="Q1402">
        <v>-8200326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 t="s">
        <v>47</v>
      </c>
      <c r="AA1402" t="s">
        <v>76</v>
      </c>
      <c r="AB1402" t="s">
        <v>51</v>
      </c>
      <c r="AC1402" t="s">
        <v>51</v>
      </c>
      <c r="AD1402" t="s">
        <v>51</v>
      </c>
      <c r="AE1402" t="s">
        <v>51</v>
      </c>
      <c r="AF1402" t="s">
        <v>1265</v>
      </c>
    </row>
    <row r="1403" spans="1:32" ht="14.5" customHeight="1" x14ac:dyDescent="0.35">
      <c r="A1403" t="s">
        <v>774</v>
      </c>
      <c r="B1403" t="s">
        <v>1193</v>
      </c>
      <c r="C1403" t="s">
        <v>47</v>
      </c>
      <c r="D1403">
        <v>3001292</v>
      </c>
      <c r="E1403">
        <v>3001481</v>
      </c>
      <c r="F1403" t="s">
        <v>1263</v>
      </c>
      <c r="G1403" t="s">
        <v>1263</v>
      </c>
      <c r="H1403" t="s">
        <v>54</v>
      </c>
      <c r="I1403">
        <v>6958782</v>
      </c>
      <c r="J1403" s="12">
        <v>46122</v>
      </c>
      <c r="K1403" s="12">
        <v>46122</v>
      </c>
      <c r="L1403" s="12">
        <v>46122</v>
      </c>
      <c r="M1403">
        <v>10</v>
      </c>
      <c r="N1403">
        <v>-3591857</v>
      </c>
      <c r="O1403">
        <v>-3591857</v>
      </c>
      <c r="P1403">
        <v>0</v>
      </c>
      <c r="Q1403">
        <v>-3591857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 t="s">
        <v>47</v>
      </c>
      <c r="AA1403" t="s">
        <v>76</v>
      </c>
      <c r="AB1403" t="s">
        <v>51</v>
      </c>
      <c r="AC1403" t="s">
        <v>51</v>
      </c>
      <c r="AD1403" t="s">
        <v>51</v>
      </c>
      <c r="AE1403" t="s">
        <v>51</v>
      </c>
      <c r="AF1403" t="s">
        <v>1265</v>
      </c>
    </row>
    <row r="1404" spans="1:32" ht="14.5" customHeight="1" x14ac:dyDescent="0.35">
      <c r="A1404" t="s">
        <v>774</v>
      </c>
      <c r="B1404" t="s">
        <v>775</v>
      </c>
      <c r="C1404" t="s">
        <v>47</v>
      </c>
      <c r="D1404">
        <v>3001292</v>
      </c>
      <c r="E1404">
        <v>3000975</v>
      </c>
      <c r="F1404" t="s">
        <v>1263</v>
      </c>
      <c r="G1404" t="s">
        <v>776</v>
      </c>
      <c r="H1404" t="s">
        <v>111</v>
      </c>
      <c r="I1404">
        <v>6959190</v>
      </c>
      <c r="J1404" s="12">
        <v>46126</v>
      </c>
      <c r="K1404" s="12">
        <v>46126</v>
      </c>
      <c r="L1404" s="12">
        <v>46126</v>
      </c>
      <c r="M1404">
        <v>6</v>
      </c>
      <c r="N1404">
        <v>-246606</v>
      </c>
      <c r="O1404">
        <v>-246606</v>
      </c>
      <c r="P1404">
        <v>0</v>
      </c>
      <c r="Q1404">
        <v>-246606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 t="s">
        <v>47</v>
      </c>
      <c r="AA1404" t="s">
        <v>76</v>
      </c>
      <c r="AB1404" t="s">
        <v>51</v>
      </c>
      <c r="AC1404" t="s">
        <v>51</v>
      </c>
      <c r="AD1404" t="s">
        <v>51</v>
      </c>
      <c r="AE1404" t="s">
        <v>51</v>
      </c>
      <c r="AF1404" t="s">
        <v>161</v>
      </c>
    </row>
    <row r="1405" spans="1:32" ht="14.5" customHeight="1" x14ac:dyDescent="0.35">
      <c r="A1405" t="s">
        <v>774</v>
      </c>
      <c r="B1405" t="s">
        <v>1193</v>
      </c>
      <c r="C1405" t="s">
        <v>47</v>
      </c>
      <c r="D1405">
        <v>3001292</v>
      </c>
      <c r="E1405">
        <v>3001228</v>
      </c>
      <c r="F1405" t="s">
        <v>1263</v>
      </c>
      <c r="G1405" t="s">
        <v>1263</v>
      </c>
      <c r="H1405" t="s">
        <v>54</v>
      </c>
      <c r="I1405">
        <v>6959486</v>
      </c>
      <c r="J1405" s="12">
        <v>46127</v>
      </c>
      <c r="K1405" s="12">
        <v>46127</v>
      </c>
      <c r="L1405" s="12">
        <v>46127</v>
      </c>
      <c r="M1405">
        <v>5</v>
      </c>
      <c r="N1405">
        <v>-6768091</v>
      </c>
      <c r="O1405">
        <v>-6768091</v>
      </c>
      <c r="P1405">
        <v>0</v>
      </c>
      <c r="Q1405">
        <v>-6768091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 t="s">
        <v>47</v>
      </c>
      <c r="AA1405" t="s">
        <v>76</v>
      </c>
      <c r="AB1405" t="s">
        <v>51</v>
      </c>
      <c r="AC1405" t="s">
        <v>51</v>
      </c>
      <c r="AD1405" t="s">
        <v>51</v>
      </c>
      <c r="AE1405" t="s">
        <v>51</v>
      </c>
      <c r="AF1405" t="s">
        <v>1266</v>
      </c>
    </row>
    <row r="1406" spans="1:32" ht="14.5" customHeight="1" x14ac:dyDescent="0.35">
      <c r="A1406" t="s">
        <v>774</v>
      </c>
      <c r="B1406" t="s">
        <v>775</v>
      </c>
      <c r="C1406" t="s">
        <v>47</v>
      </c>
      <c r="D1406">
        <v>3001292</v>
      </c>
      <c r="E1406">
        <v>3000975</v>
      </c>
      <c r="F1406" t="s">
        <v>1263</v>
      </c>
      <c r="G1406" t="s">
        <v>776</v>
      </c>
      <c r="H1406" t="s">
        <v>54</v>
      </c>
      <c r="I1406">
        <v>9917497</v>
      </c>
      <c r="J1406" s="12">
        <v>46106</v>
      </c>
      <c r="K1406" s="12">
        <v>46106</v>
      </c>
      <c r="L1406" s="12">
        <v>46142</v>
      </c>
      <c r="M1406">
        <v>-10</v>
      </c>
      <c r="N1406">
        <v>210049613</v>
      </c>
      <c r="O1406">
        <v>0</v>
      </c>
      <c r="P1406">
        <v>210049613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 t="s">
        <v>47</v>
      </c>
      <c r="AA1406" t="s">
        <v>76</v>
      </c>
      <c r="AB1406" t="s">
        <v>51</v>
      </c>
      <c r="AC1406" t="s">
        <v>51</v>
      </c>
      <c r="AD1406" t="s">
        <v>1267</v>
      </c>
      <c r="AE1406" t="s">
        <v>51</v>
      </c>
      <c r="AF1406" t="s">
        <v>525</v>
      </c>
    </row>
    <row r="1407" spans="1:32" ht="14.5" customHeight="1" x14ac:dyDescent="0.35">
      <c r="A1407" t="s">
        <v>774</v>
      </c>
      <c r="B1407" t="s">
        <v>775</v>
      </c>
      <c r="C1407" t="s">
        <v>47</v>
      </c>
      <c r="D1407">
        <v>3001292</v>
      </c>
      <c r="E1407">
        <v>3000975</v>
      </c>
      <c r="F1407" t="s">
        <v>1263</v>
      </c>
      <c r="G1407" t="s">
        <v>776</v>
      </c>
      <c r="H1407" t="s">
        <v>54</v>
      </c>
      <c r="I1407">
        <v>9918472</v>
      </c>
      <c r="J1407" s="12">
        <v>46107</v>
      </c>
      <c r="K1407" s="12">
        <v>46107</v>
      </c>
      <c r="L1407" s="12">
        <v>46143</v>
      </c>
      <c r="M1407">
        <v>-11</v>
      </c>
      <c r="N1407">
        <v>354517248</v>
      </c>
      <c r="O1407">
        <v>0</v>
      </c>
      <c r="P1407">
        <v>354517248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 t="s">
        <v>47</v>
      </c>
      <c r="AA1407" t="s">
        <v>76</v>
      </c>
      <c r="AB1407" t="s">
        <v>51</v>
      </c>
      <c r="AC1407" t="s">
        <v>51</v>
      </c>
      <c r="AD1407" t="s">
        <v>1268</v>
      </c>
      <c r="AE1407" t="s">
        <v>51</v>
      </c>
      <c r="AF1407" t="s">
        <v>294</v>
      </c>
    </row>
    <row r="1408" spans="1:32" ht="14.5" customHeight="1" x14ac:dyDescent="0.35">
      <c r="A1408" t="s">
        <v>774</v>
      </c>
      <c r="B1408" t="s">
        <v>775</v>
      </c>
      <c r="C1408" t="s">
        <v>47</v>
      </c>
      <c r="D1408">
        <v>3001292</v>
      </c>
      <c r="E1408">
        <v>3000975</v>
      </c>
      <c r="F1408" t="s">
        <v>1263</v>
      </c>
      <c r="G1408" t="s">
        <v>776</v>
      </c>
      <c r="H1408" t="s">
        <v>54</v>
      </c>
      <c r="I1408">
        <v>9919725</v>
      </c>
      <c r="J1408" s="12">
        <v>46109</v>
      </c>
      <c r="K1408" s="12">
        <v>46109</v>
      </c>
      <c r="L1408" s="12">
        <v>46145</v>
      </c>
      <c r="M1408">
        <v>-13</v>
      </c>
      <c r="N1408">
        <v>3176847</v>
      </c>
      <c r="O1408">
        <v>0</v>
      </c>
      <c r="P1408">
        <v>3176847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 t="s">
        <v>47</v>
      </c>
      <c r="AA1408" t="s">
        <v>76</v>
      </c>
      <c r="AB1408" t="s">
        <v>51</v>
      </c>
      <c r="AC1408" t="s">
        <v>51</v>
      </c>
      <c r="AD1408" t="s">
        <v>1269</v>
      </c>
      <c r="AE1408" t="s">
        <v>51</v>
      </c>
      <c r="AF1408" t="s">
        <v>1270</v>
      </c>
    </row>
    <row r="1409" spans="1:32" ht="14.5" customHeight="1" x14ac:dyDescent="0.35">
      <c r="A1409" t="s">
        <v>774</v>
      </c>
      <c r="B1409" t="s">
        <v>775</v>
      </c>
      <c r="C1409" t="s">
        <v>47</v>
      </c>
      <c r="D1409">
        <v>3001292</v>
      </c>
      <c r="E1409">
        <v>3000975</v>
      </c>
      <c r="F1409" t="s">
        <v>1263</v>
      </c>
      <c r="G1409" t="s">
        <v>776</v>
      </c>
      <c r="H1409" t="s">
        <v>54</v>
      </c>
      <c r="I1409">
        <v>9920037</v>
      </c>
      <c r="J1409" s="12">
        <v>46110</v>
      </c>
      <c r="K1409" s="12">
        <v>46110</v>
      </c>
      <c r="L1409" s="12">
        <v>46146</v>
      </c>
      <c r="M1409">
        <v>-14</v>
      </c>
      <c r="N1409">
        <v>10972377</v>
      </c>
      <c r="O1409">
        <v>0</v>
      </c>
      <c r="P1409">
        <v>10972377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 t="s">
        <v>47</v>
      </c>
      <c r="AA1409" t="s">
        <v>76</v>
      </c>
      <c r="AB1409" t="s">
        <v>51</v>
      </c>
      <c r="AC1409" t="s">
        <v>51</v>
      </c>
      <c r="AD1409" t="s">
        <v>1271</v>
      </c>
      <c r="AE1409" t="s">
        <v>51</v>
      </c>
      <c r="AF1409" t="s">
        <v>782</v>
      </c>
    </row>
    <row r="1410" spans="1:32" ht="14.5" customHeight="1" x14ac:dyDescent="0.35">
      <c r="A1410" t="s">
        <v>774</v>
      </c>
      <c r="B1410" t="s">
        <v>775</v>
      </c>
      <c r="C1410" t="s">
        <v>47</v>
      </c>
      <c r="D1410">
        <v>3001292</v>
      </c>
      <c r="E1410">
        <v>3000975</v>
      </c>
      <c r="F1410" t="s">
        <v>1263</v>
      </c>
      <c r="G1410" t="s">
        <v>776</v>
      </c>
      <c r="H1410" t="s">
        <v>54</v>
      </c>
      <c r="I1410">
        <v>9920038</v>
      </c>
      <c r="J1410" s="12">
        <v>46110</v>
      </c>
      <c r="K1410" s="12">
        <v>46110</v>
      </c>
      <c r="L1410" s="12">
        <v>46146</v>
      </c>
      <c r="M1410">
        <v>-14</v>
      </c>
      <c r="N1410">
        <v>261611393</v>
      </c>
      <c r="O1410">
        <v>0</v>
      </c>
      <c r="P1410">
        <v>261611393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 t="s">
        <v>47</v>
      </c>
      <c r="AA1410" t="s">
        <v>76</v>
      </c>
      <c r="AB1410" t="s">
        <v>51</v>
      </c>
      <c r="AC1410" t="s">
        <v>51</v>
      </c>
      <c r="AD1410" t="s">
        <v>1272</v>
      </c>
      <c r="AE1410" t="s">
        <v>51</v>
      </c>
      <c r="AF1410" t="s">
        <v>1273</v>
      </c>
    </row>
    <row r="1411" spans="1:32" ht="14.5" customHeight="1" x14ac:dyDescent="0.35">
      <c r="A1411" t="s">
        <v>774</v>
      </c>
      <c r="B1411" t="s">
        <v>775</v>
      </c>
      <c r="C1411" t="s">
        <v>47</v>
      </c>
      <c r="D1411">
        <v>3001292</v>
      </c>
      <c r="E1411">
        <v>3000975</v>
      </c>
      <c r="F1411" t="s">
        <v>1263</v>
      </c>
      <c r="G1411" t="s">
        <v>776</v>
      </c>
      <c r="H1411" t="s">
        <v>54</v>
      </c>
      <c r="I1411">
        <v>9920039</v>
      </c>
      <c r="J1411" s="12">
        <v>46110</v>
      </c>
      <c r="K1411" s="12">
        <v>46110</v>
      </c>
      <c r="L1411" s="12">
        <v>46146</v>
      </c>
      <c r="M1411">
        <v>-14</v>
      </c>
      <c r="N1411">
        <v>226038988</v>
      </c>
      <c r="O1411">
        <v>0</v>
      </c>
      <c r="P1411">
        <v>226038988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 t="s">
        <v>47</v>
      </c>
      <c r="AA1411" t="s">
        <v>76</v>
      </c>
      <c r="AB1411" t="s">
        <v>51</v>
      </c>
      <c r="AC1411" t="s">
        <v>51</v>
      </c>
      <c r="AD1411" t="s">
        <v>1274</v>
      </c>
      <c r="AE1411" t="s">
        <v>51</v>
      </c>
      <c r="AF1411" t="s">
        <v>782</v>
      </c>
    </row>
    <row r="1412" spans="1:32" ht="14.5" customHeight="1" x14ac:dyDescent="0.35">
      <c r="A1412" t="s">
        <v>774</v>
      </c>
      <c r="B1412" t="s">
        <v>775</v>
      </c>
      <c r="C1412" t="s">
        <v>47</v>
      </c>
      <c r="D1412">
        <v>3001292</v>
      </c>
      <c r="E1412">
        <v>3000975</v>
      </c>
      <c r="F1412" t="s">
        <v>1263</v>
      </c>
      <c r="G1412" t="s">
        <v>776</v>
      </c>
      <c r="H1412" t="s">
        <v>54</v>
      </c>
      <c r="I1412">
        <v>9920040</v>
      </c>
      <c r="J1412" s="12">
        <v>46110</v>
      </c>
      <c r="K1412" s="12">
        <v>46110</v>
      </c>
      <c r="L1412" s="12">
        <v>46146</v>
      </c>
      <c r="M1412">
        <v>-14</v>
      </c>
      <c r="N1412">
        <v>5845615</v>
      </c>
      <c r="O1412">
        <v>0</v>
      </c>
      <c r="P1412">
        <v>5845615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 t="s">
        <v>47</v>
      </c>
      <c r="AA1412" t="s">
        <v>76</v>
      </c>
      <c r="AB1412" t="s">
        <v>51</v>
      </c>
      <c r="AC1412" t="s">
        <v>51</v>
      </c>
      <c r="AD1412" t="s">
        <v>1275</v>
      </c>
      <c r="AE1412" t="s">
        <v>51</v>
      </c>
      <c r="AF1412" t="s">
        <v>660</v>
      </c>
    </row>
    <row r="1413" spans="1:32" ht="14.5" customHeight="1" x14ac:dyDescent="0.35">
      <c r="A1413" t="s">
        <v>774</v>
      </c>
      <c r="B1413" t="s">
        <v>775</v>
      </c>
      <c r="C1413" t="s">
        <v>47</v>
      </c>
      <c r="D1413">
        <v>3001292</v>
      </c>
      <c r="E1413">
        <v>3000975</v>
      </c>
      <c r="F1413" t="s">
        <v>1263</v>
      </c>
      <c r="G1413" t="s">
        <v>776</v>
      </c>
      <c r="H1413" t="s">
        <v>54</v>
      </c>
      <c r="I1413">
        <v>9920041</v>
      </c>
      <c r="J1413" s="12">
        <v>46110</v>
      </c>
      <c r="K1413" s="12">
        <v>46110</v>
      </c>
      <c r="L1413" s="12">
        <v>46146</v>
      </c>
      <c r="M1413">
        <v>-14</v>
      </c>
      <c r="N1413">
        <v>6526587</v>
      </c>
      <c r="O1413">
        <v>0</v>
      </c>
      <c r="P1413">
        <v>6526587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 t="s">
        <v>47</v>
      </c>
      <c r="AA1413" t="s">
        <v>76</v>
      </c>
      <c r="AB1413" t="s">
        <v>51</v>
      </c>
      <c r="AC1413" t="s">
        <v>51</v>
      </c>
      <c r="AD1413" t="s">
        <v>1276</v>
      </c>
      <c r="AE1413" t="s">
        <v>51</v>
      </c>
      <c r="AF1413" t="s">
        <v>938</v>
      </c>
    </row>
    <row r="1414" spans="1:32" ht="14.5" customHeight="1" x14ac:dyDescent="0.35">
      <c r="A1414" t="s">
        <v>774</v>
      </c>
      <c r="B1414" t="s">
        <v>775</v>
      </c>
      <c r="C1414" t="s">
        <v>47</v>
      </c>
      <c r="D1414">
        <v>3001292</v>
      </c>
      <c r="E1414">
        <v>3000975</v>
      </c>
      <c r="F1414" t="s">
        <v>1263</v>
      </c>
      <c r="G1414" t="s">
        <v>776</v>
      </c>
      <c r="H1414" t="s">
        <v>54</v>
      </c>
      <c r="I1414">
        <v>9920063</v>
      </c>
      <c r="J1414" s="12">
        <v>46111</v>
      </c>
      <c r="K1414" s="12">
        <v>46111</v>
      </c>
      <c r="L1414" s="12">
        <v>46147</v>
      </c>
      <c r="M1414">
        <v>-15</v>
      </c>
      <c r="N1414">
        <v>149194043</v>
      </c>
      <c r="O1414">
        <v>0</v>
      </c>
      <c r="P1414">
        <v>149194043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 t="s">
        <v>47</v>
      </c>
      <c r="AA1414" t="s">
        <v>76</v>
      </c>
      <c r="AB1414" t="s">
        <v>51</v>
      </c>
      <c r="AC1414" t="s">
        <v>51</v>
      </c>
      <c r="AD1414" t="s">
        <v>51</v>
      </c>
      <c r="AE1414" t="s">
        <v>1277</v>
      </c>
      <c r="AF1414" t="s">
        <v>62</v>
      </c>
    </row>
    <row r="1415" spans="1:32" ht="14.5" customHeight="1" x14ac:dyDescent="0.35">
      <c r="A1415" t="s">
        <v>774</v>
      </c>
      <c r="B1415" t="s">
        <v>1193</v>
      </c>
      <c r="C1415" t="s">
        <v>47</v>
      </c>
      <c r="D1415">
        <v>3001292</v>
      </c>
      <c r="E1415">
        <v>3001228</v>
      </c>
      <c r="F1415" t="s">
        <v>1263</v>
      </c>
      <c r="G1415" t="s">
        <v>1263</v>
      </c>
      <c r="H1415" t="s">
        <v>54</v>
      </c>
      <c r="I1415">
        <v>9921559</v>
      </c>
      <c r="J1415" s="12">
        <v>46113</v>
      </c>
      <c r="K1415" s="12">
        <v>46113</v>
      </c>
      <c r="L1415" s="12">
        <v>46148</v>
      </c>
      <c r="M1415">
        <v>-16</v>
      </c>
      <c r="N1415">
        <v>262894136</v>
      </c>
      <c r="O1415">
        <v>0</v>
      </c>
      <c r="P1415">
        <v>262894136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 t="s">
        <v>47</v>
      </c>
      <c r="AA1415" t="s">
        <v>76</v>
      </c>
      <c r="AB1415" t="s">
        <v>51</v>
      </c>
      <c r="AC1415" t="s">
        <v>51</v>
      </c>
      <c r="AD1415" t="s">
        <v>51</v>
      </c>
      <c r="AE1415" t="s">
        <v>1278</v>
      </c>
      <c r="AF1415" t="s">
        <v>330</v>
      </c>
    </row>
    <row r="1416" spans="1:32" ht="14.5" customHeight="1" x14ac:dyDescent="0.35">
      <c r="A1416" t="s">
        <v>774</v>
      </c>
      <c r="B1416" t="s">
        <v>1193</v>
      </c>
      <c r="C1416" t="s">
        <v>47</v>
      </c>
      <c r="D1416">
        <v>3001292</v>
      </c>
      <c r="E1416">
        <v>3001228</v>
      </c>
      <c r="F1416" t="s">
        <v>1263</v>
      </c>
      <c r="G1416" t="s">
        <v>1263</v>
      </c>
      <c r="H1416" t="s">
        <v>54</v>
      </c>
      <c r="I1416">
        <v>9922651</v>
      </c>
      <c r="J1416" s="12">
        <v>46119</v>
      </c>
      <c r="K1416" s="12">
        <v>46119</v>
      </c>
      <c r="L1416" s="12">
        <v>46154</v>
      </c>
      <c r="M1416">
        <v>-22</v>
      </c>
      <c r="N1416">
        <v>194941776</v>
      </c>
      <c r="O1416">
        <v>0</v>
      </c>
      <c r="P1416">
        <v>194941776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 t="s">
        <v>47</v>
      </c>
      <c r="AA1416" t="s">
        <v>76</v>
      </c>
      <c r="AB1416" t="s">
        <v>51</v>
      </c>
      <c r="AC1416" t="s">
        <v>51</v>
      </c>
      <c r="AD1416" t="s">
        <v>51</v>
      </c>
      <c r="AE1416" t="s">
        <v>1279</v>
      </c>
      <c r="AF1416" t="s">
        <v>183</v>
      </c>
    </row>
    <row r="1417" spans="1:32" ht="14.5" customHeight="1" x14ac:dyDescent="0.35">
      <c r="A1417" t="s">
        <v>774</v>
      </c>
      <c r="B1417" t="s">
        <v>1193</v>
      </c>
      <c r="C1417" t="s">
        <v>47</v>
      </c>
      <c r="D1417">
        <v>3001292</v>
      </c>
      <c r="E1417">
        <v>3001080</v>
      </c>
      <c r="F1417" t="s">
        <v>1263</v>
      </c>
      <c r="G1417" t="s">
        <v>1263</v>
      </c>
      <c r="H1417" t="s">
        <v>140</v>
      </c>
      <c r="I1417">
        <v>9923237</v>
      </c>
      <c r="J1417" s="12">
        <v>46121</v>
      </c>
      <c r="K1417" s="12">
        <v>46121</v>
      </c>
      <c r="L1417" s="12">
        <v>46156</v>
      </c>
      <c r="M1417">
        <v>-24</v>
      </c>
      <c r="N1417">
        <v>282707</v>
      </c>
      <c r="O1417">
        <v>0</v>
      </c>
      <c r="P1417">
        <v>282707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 t="s">
        <v>47</v>
      </c>
      <c r="AA1417" t="s">
        <v>76</v>
      </c>
      <c r="AB1417" t="s">
        <v>51</v>
      </c>
      <c r="AC1417" t="s">
        <v>51</v>
      </c>
      <c r="AD1417" t="s">
        <v>51</v>
      </c>
      <c r="AE1417" t="s">
        <v>1280</v>
      </c>
      <c r="AF1417" t="s">
        <v>183</v>
      </c>
    </row>
    <row r="1418" spans="1:32" ht="14.5" customHeight="1" x14ac:dyDescent="0.35">
      <c r="A1418" t="s">
        <v>774</v>
      </c>
      <c r="B1418" t="s">
        <v>1193</v>
      </c>
      <c r="C1418" t="s">
        <v>47</v>
      </c>
      <c r="D1418">
        <v>3001292</v>
      </c>
      <c r="E1418">
        <v>3001228</v>
      </c>
      <c r="F1418" t="s">
        <v>1263</v>
      </c>
      <c r="G1418" t="s">
        <v>1263</v>
      </c>
      <c r="H1418" t="s">
        <v>140</v>
      </c>
      <c r="I1418">
        <v>9923239</v>
      </c>
      <c r="J1418" s="12">
        <v>46121</v>
      </c>
      <c r="K1418" s="12">
        <v>46121</v>
      </c>
      <c r="L1418" s="12">
        <v>46156</v>
      </c>
      <c r="M1418">
        <v>-24</v>
      </c>
      <c r="N1418">
        <v>317943</v>
      </c>
      <c r="O1418">
        <v>0</v>
      </c>
      <c r="P1418">
        <v>317943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 t="s">
        <v>47</v>
      </c>
      <c r="AA1418" t="s">
        <v>76</v>
      </c>
      <c r="AB1418" t="s">
        <v>51</v>
      </c>
      <c r="AC1418" t="s">
        <v>51</v>
      </c>
      <c r="AD1418" t="s">
        <v>51</v>
      </c>
      <c r="AE1418" t="s">
        <v>1281</v>
      </c>
      <c r="AF1418" t="s">
        <v>752</v>
      </c>
    </row>
    <row r="1419" spans="1:32" ht="14.5" customHeight="1" x14ac:dyDescent="0.35">
      <c r="A1419" t="s">
        <v>774</v>
      </c>
      <c r="B1419" t="s">
        <v>1193</v>
      </c>
      <c r="C1419" t="s">
        <v>47</v>
      </c>
      <c r="D1419">
        <v>3001292</v>
      </c>
      <c r="E1419">
        <v>3001481</v>
      </c>
      <c r="F1419" t="s">
        <v>1263</v>
      </c>
      <c r="G1419" t="s">
        <v>1263</v>
      </c>
      <c r="H1419" t="s">
        <v>140</v>
      </c>
      <c r="I1419">
        <v>9923240</v>
      </c>
      <c r="J1419" s="12">
        <v>46121</v>
      </c>
      <c r="K1419" s="12">
        <v>46121</v>
      </c>
      <c r="L1419" s="12">
        <v>46156</v>
      </c>
      <c r="M1419">
        <v>-24</v>
      </c>
      <c r="N1419">
        <v>205470</v>
      </c>
      <c r="O1419">
        <v>0</v>
      </c>
      <c r="P1419">
        <v>205470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 t="s">
        <v>47</v>
      </c>
      <c r="AA1419" t="s">
        <v>76</v>
      </c>
      <c r="AB1419" t="s">
        <v>51</v>
      </c>
      <c r="AC1419" t="s">
        <v>51</v>
      </c>
      <c r="AD1419" t="s">
        <v>51</v>
      </c>
      <c r="AE1419" t="s">
        <v>1282</v>
      </c>
      <c r="AF1419" t="s">
        <v>493</v>
      </c>
    </row>
    <row r="1420" spans="1:32" ht="14.5" customHeight="1" x14ac:dyDescent="0.35">
      <c r="A1420" t="s">
        <v>774</v>
      </c>
      <c r="B1420" t="s">
        <v>1193</v>
      </c>
      <c r="C1420" t="s">
        <v>47</v>
      </c>
      <c r="D1420">
        <v>3001292</v>
      </c>
      <c r="E1420">
        <v>3001080</v>
      </c>
      <c r="F1420" t="s">
        <v>1263</v>
      </c>
      <c r="G1420" t="s">
        <v>1263</v>
      </c>
      <c r="H1420" t="s">
        <v>54</v>
      </c>
      <c r="I1420">
        <v>9924278</v>
      </c>
      <c r="J1420" s="12">
        <v>46123</v>
      </c>
      <c r="K1420" s="12">
        <v>46123</v>
      </c>
      <c r="L1420" s="12">
        <v>46158</v>
      </c>
      <c r="M1420">
        <v>-26</v>
      </c>
      <c r="N1420">
        <v>102226138</v>
      </c>
      <c r="O1420">
        <v>0</v>
      </c>
      <c r="P1420">
        <v>102226138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 t="s">
        <v>47</v>
      </c>
      <c r="AA1420" t="s">
        <v>76</v>
      </c>
      <c r="AB1420" t="s">
        <v>51</v>
      </c>
      <c r="AC1420" t="s">
        <v>51</v>
      </c>
      <c r="AD1420" t="s">
        <v>51</v>
      </c>
      <c r="AE1420" t="s">
        <v>1283</v>
      </c>
      <c r="AF1420" t="s">
        <v>358</v>
      </c>
    </row>
    <row r="1421" spans="1:32" ht="14.5" customHeight="1" x14ac:dyDescent="0.35">
      <c r="A1421" t="s">
        <v>774</v>
      </c>
      <c r="B1421" t="s">
        <v>1193</v>
      </c>
      <c r="C1421" t="s">
        <v>47</v>
      </c>
      <c r="D1421">
        <v>3001292</v>
      </c>
      <c r="E1421">
        <v>3001228</v>
      </c>
      <c r="F1421" t="s">
        <v>1263</v>
      </c>
      <c r="G1421" t="s">
        <v>1263</v>
      </c>
      <c r="H1421" t="s">
        <v>54</v>
      </c>
      <c r="I1421">
        <v>9925600</v>
      </c>
      <c r="J1421" s="12">
        <v>46126</v>
      </c>
      <c r="K1421" s="12">
        <v>46126</v>
      </c>
      <c r="L1421" s="12">
        <v>46161</v>
      </c>
      <c r="M1421">
        <v>-29</v>
      </c>
      <c r="N1421">
        <v>245557510</v>
      </c>
      <c r="O1421">
        <v>0</v>
      </c>
      <c r="P1421">
        <v>245557510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 t="s">
        <v>47</v>
      </c>
      <c r="AA1421" t="s">
        <v>76</v>
      </c>
      <c r="AB1421" t="s">
        <v>51</v>
      </c>
      <c r="AC1421" t="s">
        <v>51</v>
      </c>
      <c r="AD1421" t="s">
        <v>51</v>
      </c>
      <c r="AE1421" t="s">
        <v>1284</v>
      </c>
      <c r="AF1421" t="s">
        <v>623</v>
      </c>
    </row>
    <row r="1422" spans="1:32" ht="14.5" customHeight="1" x14ac:dyDescent="0.35">
      <c r="A1422" t="s">
        <v>774</v>
      </c>
      <c r="B1422" t="s">
        <v>1193</v>
      </c>
      <c r="C1422" t="s">
        <v>47</v>
      </c>
      <c r="D1422">
        <v>3001292</v>
      </c>
      <c r="E1422">
        <v>3001481</v>
      </c>
      <c r="F1422" t="s">
        <v>1263</v>
      </c>
      <c r="G1422" t="s">
        <v>1263</v>
      </c>
      <c r="H1422" t="s">
        <v>54</v>
      </c>
      <c r="I1422">
        <v>9925604</v>
      </c>
      <c r="J1422" s="12">
        <v>46126</v>
      </c>
      <c r="K1422" s="12">
        <v>46126</v>
      </c>
      <c r="L1422" s="12">
        <v>46161</v>
      </c>
      <c r="M1422">
        <v>-29</v>
      </c>
      <c r="N1422">
        <v>219950449</v>
      </c>
      <c r="O1422">
        <v>0</v>
      </c>
      <c r="P1422">
        <v>219950449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 t="s">
        <v>47</v>
      </c>
      <c r="AA1422" t="s">
        <v>76</v>
      </c>
      <c r="AB1422" t="s">
        <v>51</v>
      </c>
      <c r="AC1422" t="s">
        <v>51</v>
      </c>
      <c r="AD1422" t="s">
        <v>51</v>
      </c>
      <c r="AE1422" t="s">
        <v>1285</v>
      </c>
      <c r="AF1422" t="s">
        <v>250</v>
      </c>
    </row>
    <row r="1423" spans="1:32" ht="14.5" customHeight="1" x14ac:dyDescent="0.35">
      <c r="A1423" t="s">
        <v>774</v>
      </c>
      <c r="B1423" t="s">
        <v>1193</v>
      </c>
      <c r="C1423" t="s">
        <v>47</v>
      </c>
      <c r="D1423">
        <v>3001292</v>
      </c>
      <c r="E1423">
        <v>3001080</v>
      </c>
      <c r="F1423" t="s">
        <v>1263</v>
      </c>
      <c r="G1423" t="s">
        <v>1263</v>
      </c>
      <c r="H1423" t="s">
        <v>54</v>
      </c>
      <c r="I1423">
        <v>9927482</v>
      </c>
      <c r="J1423" s="12">
        <v>46130</v>
      </c>
      <c r="K1423" s="12">
        <v>46130</v>
      </c>
      <c r="L1423" s="12">
        <v>46165</v>
      </c>
      <c r="M1423">
        <v>-33</v>
      </c>
      <c r="N1423">
        <v>155054144</v>
      </c>
      <c r="O1423">
        <v>0</v>
      </c>
      <c r="P1423">
        <v>155054144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 t="s">
        <v>47</v>
      </c>
      <c r="AA1423" t="s">
        <v>76</v>
      </c>
      <c r="AB1423" t="s">
        <v>51</v>
      </c>
      <c r="AC1423" t="s">
        <v>51</v>
      </c>
      <c r="AD1423" t="s">
        <v>51</v>
      </c>
      <c r="AE1423" t="s">
        <v>1286</v>
      </c>
      <c r="AF1423" t="s">
        <v>69</v>
      </c>
    </row>
    <row r="1424" spans="1:32" ht="14.5" customHeight="1" x14ac:dyDescent="0.35">
      <c r="A1424" t="s">
        <v>498</v>
      </c>
      <c r="B1424" t="s">
        <v>546</v>
      </c>
      <c r="C1424" t="s">
        <v>47</v>
      </c>
      <c r="D1424">
        <v>3001300</v>
      </c>
      <c r="E1424">
        <v>3001294</v>
      </c>
      <c r="F1424" t="s">
        <v>1287</v>
      </c>
      <c r="G1424" t="s">
        <v>1288</v>
      </c>
      <c r="H1424" t="s">
        <v>54</v>
      </c>
      <c r="I1424">
        <v>6959957</v>
      </c>
      <c r="J1424" s="12">
        <v>46129</v>
      </c>
      <c r="K1424" s="12">
        <v>46129</v>
      </c>
      <c r="L1424" s="12">
        <v>46129</v>
      </c>
      <c r="M1424">
        <v>3</v>
      </c>
      <c r="N1424">
        <v>-41928349</v>
      </c>
      <c r="O1424">
        <v>-41928349</v>
      </c>
      <c r="P1424">
        <v>0</v>
      </c>
      <c r="Q1424">
        <v>-41928349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 t="s">
        <v>47</v>
      </c>
      <c r="AA1424" t="s">
        <v>55</v>
      </c>
      <c r="AB1424" t="s">
        <v>51</v>
      </c>
      <c r="AC1424" t="s">
        <v>51</v>
      </c>
      <c r="AD1424" t="s">
        <v>51</v>
      </c>
      <c r="AE1424" t="s">
        <v>51</v>
      </c>
      <c r="AF1424" t="s">
        <v>312</v>
      </c>
    </row>
    <row r="1425" spans="1:32" ht="14.5" customHeight="1" x14ac:dyDescent="0.35">
      <c r="A1425" t="s">
        <v>498</v>
      </c>
      <c r="B1425" t="s">
        <v>546</v>
      </c>
      <c r="C1425" t="s">
        <v>47</v>
      </c>
      <c r="D1425">
        <v>3001300</v>
      </c>
      <c r="E1425">
        <v>3001294</v>
      </c>
      <c r="F1425" t="s">
        <v>1287</v>
      </c>
      <c r="G1425" t="s">
        <v>1288</v>
      </c>
      <c r="H1425" t="s">
        <v>54</v>
      </c>
      <c r="I1425">
        <v>6960237</v>
      </c>
      <c r="J1425" s="12">
        <v>46130</v>
      </c>
      <c r="K1425" s="12">
        <v>46130</v>
      </c>
      <c r="L1425" s="12">
        <v>46130</v>
      </c>
      <c r="M1425">
        <v>2</v>
      </c>
      <c r="N1425">
        <v>-2295000</v>
      </c>
      <c r="O1425">
        <v>-2295000</v>
      </c>
      <c r="P1425">
        <v>0</v>
      </c>
      <c r="Q1425">
        <v>-2295000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 t="s">
        <v>47</v>
      </c>
      <c r="AA1425" t="s">
        <v>55</v>
      </c>
      <c r="AB1425" t="s">
        <v>51</v>
      </c>
      <c r="AC1425" t="s">
        <v>51</v>
      </c>
      <c r="AD1425" t="s">
        <v>51</v>
      </c>
      <c r="AE1425" t="s">
        <v>51</v>
      </c>
      <c r="AF1425" t="s">
        <v>1289</v>
      </c>
    </row>
    <row r="1426" spans="1:32" ht="14.5" customHeight="1" x14ac:dyDescent="0.35">
      <c r="A1426" t="s">
        <v>498</v>
      </c>
      <c r="B1426" t="s">
        <v>546</v>
      </c>
      <c r="C1426" t="s">
        <v>929</v>
      </c>
      <c r="D1426">
        <v>3001300</v>
      </c>
      <c r="E1426">
        <v>3100453</v>
      </c>
      <c r="F1426" t="s">
        <v>1287</v>
      </c>
      <c r="G1426" t="s">
        <v>1288</v>
      </c>
      <c r="H1426" t="s">
        <v>54</v>
      </c>
      <c r="I1426">
        <v>9914376</v>
      </c>
      <c r="J1426" s="12">
        <v>46093</v>
      </c>
      <c r="K1426" s="12">
        <v>46093</v>
      </c>
      <c r="L1426" s="12">
        <v>46139</v>
      </c>
      <c r="M1426">
        <v>-7</v>
      </c>
      <c r="N1426">
        <v>480066207</v>
      </c>
      <c r="O1426">
        <v>0</v>
      </c>
      <c r="P1426">
        <v>480066207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 t="s">
        <v>929</v>
      </c>
      <c r="AA1426" t="s">
        <v>55</v>
      </c>
      <c r="AB1426" t="s">
        <v>51</v>
      </c>
      <c r="AC1426" t="s">
        <v>1290</v>
      </c>
      <c r="AD1426" t="s">
        <v>51</v>
      </c>
      <c r="AE1426" t="s">
        <v>51</v>
      </c>
      <c r="AF1426" t="s">
        <v>195</v>
      </c>
    </row>
    <row r="1427" spans="1:32" ht="14.5" customHeight="1" x14ac:dyDescent="0.35">
      <c r="A1427" t="s">
        <v>498</v>
      </c>
      <c r="B1427" t="s">
        <v>546</v>
      </c>
      <c r="C1427" t="s">
        <v>929</v>
      </c>
      <c r="D1427">
        <v>3001300</v>
      </c>
      <c r="E1427">
        <v>3100453</v>
      </c>
      <c r="F1427" t="s">
        <v>1287</v>
      </c>
      <c r="G1427" t="s">
        <v>1288</v>
      </c>
      <c r="H1427" t="s">
        <v>54</v>
      </c>
      <c r="I1427">
        <v>9915475</v>
      </c>
      <c r="J1427" s="12">
        <v>46095</v>
      </c>
      <c r="K1427" s="12">
        <v>46095</v>
      </c>
      <c r="L1427" s="12">
        <v>46141</v>
      </c>
      <c r="M1427">
        <v>-9</v>
      </c>
      <c r="N1427">
        <v>304125264</v>
      </c>
      <c r="O1427">
        <v>0</v>
      </c>
      <c r="P1427">
        <v>304125264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 t="s">
        <v>929</v>
      </c>
      <c r="AA1427" t="s">
        <v>55</v>
      </c>
      <c r="AB1427" t="s">
        <v>51</v>
      </c>
      <c r="AC1427" t="s">
        <v>51</v>
      </c>
      <c r="AD1427" t="s">
        <v>1291</v>
      </c>
      <c r="AE1427" t="s">
        <v>51</v>
      </c>
      <c r="AF1427" t="s">
        <v>839</v>
      </c>
    </row>
    <row r="1428" spans="1:32" ht="14.5" customHeight="1" x14ac:dyDescent="0.35">
      <c r="A1428" t="s">
        <v>498</v>
      </c>
      <c r="B1428" t="s">
        <v>546</v>
      </c>
      <c r="C1428" t="s">
        <v>929</v>
      </c>
      <c r="D1428">
        <v>3001300</v>
      </c>
      <c r="E1428">
        <v>3100453</v>
      </c>
      <c r="F1428" t="s">
        <v>1287</v>
      </c>
      <c r="G1428" t="s">
        <v>1288</v>
      </c>
      <c r="H1428" t="s">
        <v>54</v>
      </c>
      <c r="I1428">
        <v>9921094</v>
      </c>
      <c r="J1428" s="12">
        <v>46112</v>
      </c>
      <c r="K1428" s="12">
        <v>46112</v>
      </c>
      <c r="L1428" s="12">
        <v>46158</v>
      </c>
      <c r="M1428">
        <v>-26</v>
      </c>
      <c r="N1428">
        <v>166024336</v>
      </c>
      <c r="O1428">
        <v>0</v>
      </c>
      <c r="P1428">
        <v>166024336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 t="s">
        <v>929</v>
      </c>
      <c r="AA1428" t="s">
        <v>55</v>
      </c>
      <c r="AB1428" t="s">
        <v>51</v>
      </c>
      <c r="AC1428" t="s">
        <v>51</v>
      </c>
      <c r="AD1428" t="s">
        <v>51</v>
      </c>
      <c r="AE1428" t="s">
        <v>1292</v>
      </c>
      <c r="AF1428" t="s">
        <v>62</v>
      </c>
    </row>
    <row r="1429" spans="1:32" ht="14.5" customHeight="1" x14ac:dyDescent="0.35">
      <c r="A1429" t="s">
        <v>498</v>
      </c>
      <c r="B1429" t="s">
        <v>546</v>
      </c>
      <c r="C1429" t="s">
        <v>929</v>
      </c>
      <c r="D1429">
        <v>3001300</v>
      </c>
      <c r="E1429">
        <v>3100453</v>
      </c>
      <c r="F1429" t="s">
        <v>1287</v>
      </c>
      <c r="G1429" t="s">
        <v>1288</v>
      </c>
      <c r="H1429" t="s">
        <v>54</v>
      </c>
      <c r="I1429">
        <v>9921104</v>
      </c>
      <c r="J1429" s="12">
        <v>46112</v>
      </c>
      <c r="K1429" s="12">
        <v>46112</v>
      </c>
      <c r="L1429" s="12">
        <v>46158</v>
      </c>
      <c r="M1429">
        <v>-26</v>
      </c>
      <c r="N1429">
        <v>280621737</v>
      </c>
      <c r="O1429">
        <v>0</v>
      </c>
      <c r="P1429">
        <v>280621737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 t="s">
        <v>929</v>
      </c>
      <c r="AA1429" t="s">
        <v>55</v>
      </c>
      <c r="AB1429" t="s">
        <v>51</v>
      </c>
      <c r="AC1429" t="s">
        <v>51</v>
      </c>
      <c r="AD1429" t="s">
        <v>51</v>
      </c>
      <c r="AE1429" t="s">
        <v>1293</v>
      </c>
      <c r="AF1429" t="s">
        <v>1076</v>
      </c>
    </row>
    <row r="1430" spans="1:32" ht="14.5" customHeight="1" x14ac:dyDescent="0.35">
      <c r="A1430" t="s">
        <v>498</v>
      </c>
      <c r="B1430" t="s">
        <v>546</v>
      </c>
      <c r="C1430" t="s">
        <v>929</v>
      </c>
      <c r="D1430">
        <v>3001300</v>
      </c>
      <c r="E1430">
        <v>3100453</v>
      </c>
      <c r="F1430" t="s">
        <v>1287</v>
      </c>
      <c r="G1430" t="s">
        <v>1288</v>
      </c>
      <c r="H1430" t="s">
        <v>54</v>
      </c>
      <c r="I1430">
        <v>9924710</v>
      </c>
      <c r="J1430" s="12">
        <v>46125</v>
      </c>
      <c r="K1430" s="12">
        <v>46125</v>
      </c>
      <c r="L1430" s="12">
        <v>46171</v>
      </c>
      <c r="M1430">
        <v>-39</v>
      </c>
      <c r="N1430">
        <v>339208765</v>
      </c>
      <c r="O1430">
        <v>0</v>
      </c>
      <c r="P1430">
        <v>339208765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 t="s">
        <v>929</v>
      </c>
      <c r="AA1430" t="s">
        <v>55</v>
      </c>
      <c r="AB1430" t="s">
        <v>51</v>
      </c>
      <c r="AC1430" t="s">
        <v>51</v>
      </c>
      <c r="AD1430" t="s">
        <v>51</v>
      </c>
      <c r="AE1430" t="s">
        <v>1294</v>
      </c>
      <c r="AF1430" t="s">
        <v>69</v>
      </c>
    </row>
    <row r="1431" spans="1:32" ht="14.5" customHeight="1" x14ac:dyDescent="0.35">
      <c r="A1431" t="s">
        <v>498</v>
      </c>
      <c r="B1431" t="s">
        <v>546</v>
      </c>
      <c r="C1431" t="s">
        <v>929</v>
      </c>
      <c r="D1431">
        <v>3001300</v>
      </c>
      <c r="E1431">
        <v>3100453</v>
      </c>
      <c r="F1431" t="s">
        <v>1287</v>
      </c>
      <c r="G1431" t="s">
        <v>1288</v>
      </c>
      <c r="H1431" t="s">
        <v>54</v>
      </c>
      <c r="I1431">
        <v>9925583</v>
      </c>
      <c r="J1431" s="12">
        <v>46127</v>
      </c>
      <c r="K1431" s="12">
        <v>46127</v>
      </c>
      <c r="L1431" s="12">
        <v>46173</v>
      </c>
      <c r="M1431">
        <v>-41</v>
      </c>
      <c r="N1431">
        <v>234541790</v>
      </c>
      <c r="O1431">
        <v>0</v>
      </c>
      <c r="P1431">
        <v>234541790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 t="s">
        <v>929</v>
      </c>
      <c r="AA1431" t="s">
        <v>55</v>
      </c>
      <c r="AB1431" t="s">
        <v>51</v>
      </c>
      <c r="AC1431" t="s">
        <v>51</v>
      </c>
      <c r="AD1431" t="s">
        <v>51</v>
      </c>
      <c r="AE1431" t="s">
        <v>1295</v>
      </c>
      <c r="AF1431" t="s">
        <v>1296</v>
      </c>
    </row>
    <row r="1432" spans="1:32" ht="14.5" customHeight="1" x14ac:dyDescent="0.35">
      <c r="A1432" t="s">
        <v>774</v>
      </c>
      <c r="B1432" t="s">
        <v>1297</v>
      </c>
      <c r="C1432" t="s">
        <v>47</v>
      </c>
      <c r="D1432">
        <v>3001382</v>
      </c>
      <c r="E1432">
        <v>3001382</v>
      </c>
      <c r="F1432" t="s">
        <v>1298</v>
      </c>
      <c r="G1432" t="s">
        <v>1298</v>
      </c>
      <c r="H1432" t="s">
        <v>54</v>
      </c>
      <c r="I1432">
        <v>6957824</v>
      </c>
      <c r="J1432" s="12">
        <v>46114</v>
      </c>
      <c r="K1432" s="12">
        <v>46114</v>
      </c>
      <c r="L1432" s="12">
        <v>46114</v>
      </c>
      <c r="M1432">
        <v>18</v>
      </c>
      <c r="N1432">
        <v>-1310802</v>
      </c>
      <c r="O1432">
        <v>-1310802</v>
      </c>
      <c r="P1432">
        <v>0</v>
      </c>
      <c r="Q1432">
        <v>-1310802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 t="s">
        <v>47</v>
      </c>
      <c r="AA1432" t="s">
        <v>55</v>
      </c>
      <c r="AB1432" t="s">
        <v>51</v>
      </c>
      <c r="AC1432" t="s">
        <v>51</v>
      </c>
      <c r="AD1432" t="s">
        <v>51</v>
      </c>
      <c r="AE1432" t="s">
        <v>51</v>
      </c>
      <c r="AF1432" t="s">
        <v>1299</v>
      </c>
    </row>
    <row r="1433" spans="1:32" ht="14.5" customHeight="1" x14ac:dyDescent="0.35">
      <c r="A1433" t="s">
        <v>774</v>
      </c>
      <c r="B1433" t="s">
        <v>1297</v>
      </c>
      <c r="C1433" t="s">
        <v>47</v>
      </c>
      <c r="D1433">
        <v>3001382</v>
      </c>
      <c r="E1433">
        <v>3001382</v>
      </c>
      <c r="F1433" t="s">
        <v>1298</v>
      </c>
      <c r="G1433" t="s">
        <v>1298</v>
      </c>
      <c r="H1433" t="s">
        <v>54</v>
      </c>
      <c r="I1433">
        <v>6959244</v>
      </c>
      <c r="J1433" s="12">
        <v>46126</v>
      </c>
      <c r="K1433" s="12">
        <v>46126</v>
      </c>
      <c r="L1433" s="12">
        <v>46126</v>
      </c>
      <c r="M1433">
        <v>6</v>
      </c>
      <c r="N1433">
        <v>-60800885</v>
      </c>
      <c r="O1433">
        <v>-60800885</v>
      </c>
      <c r="P1433">
        <v>0</v>
      </c>
      <c r="Q1433">
        <v>-60800885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 t="s">
        <v>47</v>
      </c>
      <c r="AA1433" t="s">
        <v>55</v>
      </c>
      <c r="AB1433" t="s">
        <v>51</v>
      </c>
      <c r="AC1433" t="s">
        <v>51</v>
      </c>
      <c r="AD1433" t="s">
        <v>51</v>
      </c>
      <c r="AE1433" t="s">
        <v>51</v>
      </c>
      <c r="AF1433" t="s">
        <v>901</v>
      </c>
    </row>
    <row r="1434" spans="1:32" ht="14.5" customHeight="1" x14ac:dyDescent="0.35">
      <c r="A1434" t="s">
        <v>774</v>
      </c>
      <c r="B1434" t="s">
        <v>1297</v>
      </c>
      <c r="C1434" t="s">
        <v>47</v>
      </c>
      <c r="D1434">
        <v>3001382</v>
      </c>
      <c r="E1434">
        <v>3001382</v>
      </c>
      <c r="F1434" t="s">
        <v>1298</v>
      </c>
      <c r="G1434" t="s">
        <v>1298</v>
      </c>
      <c r="H1434" t="s">
        <v>54</v>
      </c>
      <c r="I1434">
        <v>6959245</v>
      </c>
      <c r="J1434" s="12">
        <v>46126</v>
      </c>
      <c r="K1434" s="12">
        <v>46126</v>
      </c>
      <c r="L1434" s="12">
        <v>46126</v>
      </c>
      <c r="M1434">
        <v>6</v>
      </c>
      <c r="N1434">
        <v>-6623403</v>
      </c>
      <c r="O1434">
        <v>-6623403</v>
      </c>
      <c r="P1434">
        <v>0</v>
      </c>
      <c r="Q1434">
        <v>-6623403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 t="s">
        <v>47</v>
      </c>
      <c r="AA1434" t="s">
        <v>55</v>
      </c>
      <c r="AB1434" t="s">
        <v>51</v>
      </c>
      <c r="AC1434" t="s">
        <v>51</v>
      </c>
      <c r="AD1434" t="s">
        <v>51</v>
      </c>
      <c r="AE1434" t="s">
        <v>51</v>
      </c>
      <c r="AF1434" t="s">
        <v>787</v>
      </c>
    </row>
    <row r="1435" spans="1:32" ht="14.5" customHeight="1" x14ac:dyDescent="0.35">
      <c r="A1435" t="s">
        <v>774</v>
      </c>
      <c r="B1435" t="s">
        <v>775</v>
      </c>
      <c r="C1435" t="s">
        <v>47</v>
      </c>
      <c r="D1435">
        <v>3001382</v>
      </c>
      <c r="E1435">
        <v>3100118</v>
      </c>
      <c r="F1435" t="s">
        <v>1298</v>
      </c>
      <c r="G1435" t="s">
        <v>1298</v>
      </c>
      <c r="H1435" t="s">
        <v>54</v>
      </c>
      <c r="I1435">
        <v>9912463</v>
      </c>
      <c r="J1435" s="12">
        <v>46089</v>
      </c>
      <c r="K1435" s="12">
        <v>46089</v>
      </c>
      <c r="L1435" s="12">
        <v>46135</v>
      </c>
      <c r="M1435">
        <v>-3</v>
      </c>
      <c r="N1435">
        <v>104455902</v>
      </c>
      <c r="O1435">
        <v>0</v>
      </c>
      <c r="P1435">
        <v>104455902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 t="s">
        <v>47</v>
      </c>
      <c r="AA1435" t="s">
        <v>55</v>
      </c>
      <c r="AB1435" t="s">
        <v>51</v>
      </c>
      <c r="AC1435" t="s">
        <v>1300</v>
      </c>
      <c r="AD1435" t="s">
        <v>51</v>
      </c>
      <c r="AE1435" t="s">
        <v>51</v>
      </c>
      <c r="AF1435" t="s">
        <v>1067</v>
      </c>
    </row>
    <row r="1436" spans="1:32" ht="14.5" customHeight="1" x14ac:dyDescent="0.35">
      <c r="A1436" t="s">
        <v>774</v>
      </c>
      <c r="B1436" t="s">
        <v>775</v>
      </c>
      <c r="C1436" t="s">
        <v>47</v>
      </c>
      <c r="D1436">
        <v>3001382</v>
      </c>
      <c r="E1436">
        <v>3100118</v>
      </c>
      <c r="F1436" t="s">
        <v>1298</v>
      </c>
      <c r="G1436" t="s">
        <v>1298</v>
      </c>
      <c r="H1436" t="s">
        <v>54</v>
      </c>
      <c r="I1436">
        <v>9917499</v>
      </c>
      <c r="J1436" s="12">
        <v>46106</v>
      </c>
      <c r="K1436" s="12">
        <v>46106</v>
      </c>
      <c r="L1436" s="12">
        <v>46152</v>
      </c>
      <c r="M1436">
        <v>-20</v>
      </c>
      <c r="N1436">
        <v>60953172</v>
      </c>
      <c r="O1436">
        <v>0</v>
      </c>
      <c r="P1436">
        <v>60953172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 t="s">
        <v>47</v>
      </c>
      <c r="AA1436" t="s">
        <v>55</v>
      </c>
      <c r="AB1436" t="s">
        <v>51</v>
      </c>
      <c r="AC1436" t="s">
        <v>51</v>
      </c>
      <c r="AD1436" t="s">
        <v>51</v>
      </c>
      <c r="AE1436" t="s">
        <v>1301</v>
      </c>
      <c r="AF1436" t="s">
        <v>660</v>
      </c>
    </row>
    <row r="1437" spans="1:32" ht="14.5" customHeight="1" x14ac:dyDescent="0.35">
      <c r="A1437" t="s">
        <v>774</v>
      </c>
      <c r="B1437" t="s">
        <v>775</v>
      </c>
      <c r="C1437" t="s">
        <v>47</v>
      </c>
      <c r="D1437">
        <v>3001382</v>
      </c>
      <c r="E1437">
        <v>3100118</v>
      </c>
      <c r="F1437" t="s">
        <v>1298</v>
      </c>
      <c r="G1437" t="s">
        <v>1298</v>
      </c>
      <c r="H1437" t="s">
        <v>54</v>
      </c>
      <c r="I1437">
        <v>9922169</v>
      </c>
      <c r="J1437" s="12">
        <v>46116</v>
      </c>
      <c r="K1437" s="12">
        <v>46116</v>
      </c>
      <c r="L1437" s="12">
        <v>46162</v>
      </c>
      <c r="M1437">
        <v>-30</v>
      </c>
      <c r="N1437">
        <v>129738192</v>
      </c>
      <c r="O1437">
        <v>0</v>
      </c>
      <c r="P1437">
        <v>129738192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 t="s">
        <v>47</v>
      </c>
      <c r="AA1437" t="s">
        <v>55</v>
      </c>
      <c r="AB1437" t="s">
        <v>51</v>
      </c>
      <c r="AC1437" t="s">
        <v>51</v>
      </c>
      <c r="AD1437" t="s">
        <v>51</v>
      </c>
      <c r="AE1437" t="s">
        <v>1302</v>
      </c>
      <c r="AF1437" t="s">
        <v>1252</v>
      </c>
    </row>
    <row r="1438" spans="1:32" ht="14.5" customHeight="1" x14ac:dyDescent="0.35">
      <c r="A1438" t="s">
        <v>774</v>
      </c>
      <c r="B1438" t="s">
        <v>775</v>
      </c>
      <c r="C1438" t="s">
        <v>47</v>
      </c>
      <c r="D1438">
        <v>3001382</v>
      </c>
      <c r="E1438">
        <v>3100118</v>
      </c>
      <c r="F1438" t="s">
        <v>1298</v>
      </c>
      <c r="G1438" t="s">
        <v>1298</v>
      </c>
      <c r="H1438" t="s">
        <v>54</v>
      </c>
      <c r="I1438">
        <v>9925056</v>
      </c>
      <c r="J1438" s="12">
        <v>46126</v>
      </c>
      <c r="K1438" s="12">
        <v>46126</v>
      </c>
      <c r="L1438" s="12">
        <v>46172</v>
      </c>
      <c r="M1438">
        <v>-40</v>
      </c>
      <c r="N1438">
        <v>107707052</v>
      </c>
      <c r="O1438">
        <v>0</v>
      </c>
      <c r="P1438">
        <v>107707052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 t="s">
        <v>47</v>
      </c>
      <c r="AA1438" t="s">
        <v>55</v>
      </c>
      <c r="AB1438" t="s">
        <v>51</v>
      </c>
      <c r="AC1438" t="s">
        <v>51</v>
      </c>
      <c r="AD1438" t="s">
        <v>51</v>
      </c>
      <c r="AE1438" t="s">
        <v>1303</v>
      </c>
      <c r="AF1438" t="s">
        <v>163</v>
      </c>
    </row>
    <row r="1439" spans="1:32" ht="14.5" customHeight="1" x14ac:dyDescent="0.35">
      <c r="A1439" t="s">
        <v>774</v>
      </c>
      <c r="B1439" t="s">
        <v>1297</v>
      </c>
      <c r="C1439" t="s">
        <v>47</v>
      </c>
      <c r="D1439">
        <v>3001382</v>
      </c>
      <c r="E1439">
        <v>3001382</v>
      </c>
      <c r="F1439" t="s">
        <v>1298</v>
      </c>
      <c r="G1439" t="s">
        <v>1298</v>
      </c>
      <c r="H1439" t="s">
        <v>761</v>
      </c>
      <c r="I1439">
        <v>9103019396</v>
      </c>
      <c r="J1439" s="12">
        <v>46098</v>
      </c>
      <c r="K1439" s="12">
        <v>46098</v>
      </c>
      <c r="L1439" s="12">
        <v>46098</v>
      </c>
      <c r="M1439">
        <v>34</v>
      </c>
      <c r="N1439">
        <v>1310802</v>
      </c>
      <c r="O1439">
        <v>0</v>
      </c>
      <c r="P1439">
        <v>0</v>
      </c>
      <c r="Q1439">
        <v>0</v>
      </c>
      <c r="R1439">
        <v>1310802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 t="s">
        <v>47</v>
      </c>
      <c r="AA1439" t="s">
        <v>50</v>
      </c>
      <c r="AB1439" t="s">
        <v>51</v>
      </c>
      <c r="AC1439" t="s">
        <v>51</v>
      </c>
      <c r="AD1439" t="s">
        <v>51</v>
      </c>
      <c r="AE1439" t="s">
        <v>51</v>
      </c>
      <c r="AF1439" t="s">
        <v>1304</v>
      </c>
    </row>
    <row r="1440" spans="1:32" ht="14.5" customHeight="1" x14ac:dyDescent="0.35">
      <c r="A1440" t="s">
        <v>84</v>
      </c>
      <c r="B1440" t="s">
        <v>85</v>
      </c>
      <c r="C1440" t="s">
        <v>47</v>
      </c>
      <c r="D1440">
        <v>3001420</v>
      </c>
      <c r="E1440">
        <v>3100661</v>
      </c>
      <c r="F1440" t="s">
        <v>10</v>
      </c>
      <c r="G1440" t="s">
        <v>1305</v>
      </c>
      <c r="H1440" t="s">
        <v>54</v>
      </c>
      <c r="I1440">
        <v>6955173</v>
      </c>
      <c r="J1440" s="12">
        <v>46093</v>
      </c>
      <c r="K1440" s="12">
        <v>46093</v>
      </c>
      <c r="L1440" s="12">
        <v>46093</v>
      </c>
      <c r="M1440">
        <v>39</v>
      </c>
      <c r="N1440">
        <v>-8502000</v>
      </c>
      <c r="O1440">
        <v>-8502000</v>
      </c>
      <c r="P1440">
        <v>0</v>
      </c>
      <c r="Q1440">
        <v>0</v>
      </c>
      <c r="R1440">
        <v>-8502000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 t="s">
        <v>47</v>
      </c>
      <c r="AA1440" t="s">
        <v>1062</v>
      </c>
      <c r="AB1440" t="s">
        <v>51</v>
      </c>
      <c r="AC1440" t="s">
        <v>51</v>
      </c>
      <c r="AD1440" t="s">
        <v>51</v>
      </c>
      <c r="AE1440" t="s">
        <v>51</v>
      </c>
      <c r="AF1440" t="s">
        <v>1306</v>
      </c>
    </row>
    <row r="1441" spans="1:32" ht="14.5" customHeight="1" x14ac:dyDescent="0.35">
      <c r="A1441" t="s">
        <v>84</v>
      </c>
      <c r="B1441" t="s">
        <v>85</v>
      </c>
      <c r="C1441" t="s">
        <v>47</v>
      </c>
      <c r="D1441">
        <v>3001420</v>
      </c>
      <c r="E1441">
        <v>3100661</v>
      </c>
      <c r="F1441" t="s">
        <v>10</v>
      </c>
      <c r="G1441" t="s">
        <v>1305</v>
      </c>
      <c r="H1441" t="s">
        <v>54</v>
      </c>
      <c r="I1441">
        <v>6955174</v>
      </c>
      <c r="J1441" s="12">
        <v>46093</v>
      </c>
      <c r="K1441" s="12">
        <v>46093</v>
      </c>
      <c r="L1441" s="12">
        <v>46093</v>
      </c>
      <c r="M1441">
        <v>39</v>
      </c>
      <c r="N1441">
        <v>-763000</v>
      </c>
      <c r="O1441">
        <v>-763000</v>
      </c>
      <c r="P1441">
        <v>0</v>
      </c>
      <c r="Q1441">
        <v>0</v>
      </c>
      <c r="R1441">
        <v>-763000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 t="s">
        <v>47</v>
      </c>
      <c r="AA1441" t="s">
        <v>1062</v>
      </c>
      <c r="AB1441" t="s">
        <v>51</v>
      </c>
      <c r="AC1441" t="s">
        <v>51</v>
      </c>
      <c r="AD1441" t="s">
        <v>51</v>
      </c>
      <c r="AE1441" t="s">
        <v>51</v>
      </c>
      <c r="AF1441" t="s">
        <v>1307</v>
      </c>
    </row>
    <row r="1442" spans="1:32" ht="14.5" customHeight="1" x14ac:dyDescent="0.35">
      <c r="A1442" t="s">
        <v>84</v>
      </c>
      <c r="B1442" t="s">
        <v>85</v>
      </c>
      <c r="C1442" t="s">
        <v>47</v>
      </c>
      <c r="D1442">
        <v>3001420</v>
      </c>
      <c r="E1442">
        <v>3100661</v>
      </c>
      <c r="F1442" t="s">
        <v>10</v>
      </c>
      <c r="G1442" t="s">
        <v>1305</v>
      </c>
      <c r="H1442" t="s">
        <v>54</v>
      </c>
      <c r="I1442">
        <v>6955236</v>
      </c>
      <c r="J1442" s="12">
        <v>46093</v>
      </c>
      <c r="K1442" s="12">
        <v>46093</v>
      </c>
      <c r="L1442" s="12">
        <v>46093</v>
      </c>
      <c r="M1442">
        <v>39</v>
      </c>
      <c r="N1442">
        <v>-2616000</v>
      </c>
      <c r="O1442">
        <v>-2616000</v>
      </c>
      <c r="P1442">
        <v>0</v>
      </c>
      <c r="Q1442">
        <v>0</v>
      </c>
      <c r="R1442">
        <v>-2616000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 t="s">
        <v>47</v>
      </c>
      <c r="AA1442" t="s">
        <v>1062</v>
      </c>
      <c r="AB1442" t="s">
        <v>51</v>
      </c>
      <c r="AC1442" t="s">
        <v>51</v>
      </c>
      <c r="AD1442" t="s">
        <v>51</v>
      </c>
      <c r="AE1442" t="s">
        <v>51</v>
      </c>
      <c r="AF1442" t="s">
        <v>1308</v>
      </c>
    </row>
    <row r="1443" spans="1:32" ht="14.5" customHeight="1" x14ac:dyDescent="0.35">
      <c r="A1443" t="s">
        <v>84</v>
      </c>
      <c r="B1443" t="s">
        <v>85</v>
      </c>
      <c r="C1443" t="s">
        <v>47</v>
      </c>
      <c r="D1443">
        <v>3001420</v>
      </c>
      <c r="E1443">
        <v>3100679</v>
      </c>
      <c r="F1443" t="s">
        <v>10</v>
      </c>
      <c r="G1443" t="s">
        <v>1309</v>
      </c>
      <c r="H1443" t="s">
        <v>54</v>
      </c>
      <c r="I1443">
        <v>6955237</v>
      </c>
      <c r="J1443" s="12">
        <v>46093</v>
      </c>
      <c r="K1443" s="12">
        <v>46093</v>
      </c>
      <c r="L1443" s="12">
        <v>46093</v>
      </c>
      <c r="M1443">
        <v>39</v>
      </c>
      <c r="N1443">
        <v>-441000</v>
      </c>
      <c r="O1443">
        <v>-441000</v>
      </c>
      <c r="P1443">
        <v>0</v>
      </c>
      <c r="Q1443">
        <v>0</v>
      </c>
      <c r="R1443">
        <v>-441000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 t="s">
        <v>47</v>
      </c>
      <c r="AA1443" t="s">
        <v>1062</v>
      </c>
      <c r="AB1443" t="s">
        <v>51</v>
      </c>
      <c r="AC1443" t="s">
        <v>51</v>
      </c>
      <c r="AD1443" t="s">
        <v>51</v>
      </c>
      <c r="AE1443" t="s">
        <v>51</v>
      </c>
      <c r="AF1443" t="s">
        <v>1310</v>
      </c>
    </row>
    <row r="1444" spans="1:32" ht="14.5" customHeight="1" x14ac:dyDescent="0.35">
      <c r="A1444" t="s">
        <v>84</v>
      </c>
      <c r="B1444" t="s">
        <v>85</v>
      </c>
      <c r="C1444" t="s">
        <v>47</v>
      </c>
      <c r="D1444">
        <v>3001420</v>
      </c>
      <c r="E1444">
        <v>3100679</v>
      </c>
      <c r="F1444" t="s">
        <v>10</v>
      </c>
      <c r="G1444" t="s">
        <v>1309</v>
      </c>
      <c r="H1444" t="s">
        <v>54</v>
      </c>
      <c r="I1444">
        <v>6955238</v>
      </c>
      <c r="J1444" s="12">
        <v>46093</v>
      </c>
      <c r="K1444" s="12">
        <v>46093</v>
      </c>
      <c r="L1444" s="12">
        <v>46093</v>
      </c>
      <c r="M1444">
        <v>39</v>
      </c>
      <c r="N1444">
        <v>-2834000</v>
      </c>
      <c r="O1444">
        <v>-2834000</v>
      </c>
      <c r="P1444">
        <v>0</v>
      </c>
      <c r="Q1444">
        <v>0</v>
      </c>
      <c r="R1444">
        <v>-2834000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 t="s">
        <v>47</v>
      </c>
      <c r="AA1444" t="s">
        <v>1062</v>
      </c>
      <c r="AB1444" t="s">
        <v>51</v>
      </c>
      <c r="AC1444" t="s">
        <v>51</v>
      </c>
      <c r="AD1444" t="s">
        <v>51</v>
      </c>
      <c r="AE1444" t="s">
        <v>51</v>
      </c>
      <c r="AF1444" t="s">
        <v>1311</v>
      </c>
    </row>
    <row r="1445" spans="1:32" ht="14.5" customHeight="1" x14ac:dyDescent="0.35">
      <c r="A1445" t="s">
        <v>84</v>
      </c>
      <c r="B1445" t="s">
        <v>85</v>
      </c>
      <c r="C1445" t="s">
        <v>47</v>
      </c>
      <c r="D1445">
        <v>3001420</v>
      </c>
      <c r="E1445">
        <v>3100679</v>
      </c>
      <c r="F1445" t="s">
        <v>10</v>
      </c>
      <c r="G1445" t="s">
        <v>1309</v>
      </c>
      <c r="H1445" t="s">
        <v>54</v>
      </c>
      <c r="I1445">
        <v>6955239</v>
      </c>
      <c r="J1445" s="12">
        <v>46093</v>
      </c>
      <c r="K1445" s="12">
        <v>46093</v>
      </c>
      <c r="L1445" s="12">
        <v>46093</v>
      </c>
      <c r="M1445">
        <v>39</v>
      </c>
      <c r="N1445">
        <v>-8502000</v>
      </c>
      <c r="O1445">
        <v>-8502000</v>
      </c>
      <c r="P1445">
        <v>0</v>
      </c>
      <c r="Q1445">
        <v>0</v>
      </c>
      <c r="R1445">
        <v>-8502000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 t="s">
        <v>47</v>
      </c>
      <c r="AA1445" t="s">
        <v>1062</v>
      </c>
      <c r="AB1445" t="s">
        <v>51</v>
      </c>
      <c r="AC1445" t="s">
        <v>51</v>
      </c>
      <c r="AD1445" t="s">
        <v>51</v>
      </c>
      <c r="AE1445" t="s">
        <v>51</v>
      </c>
      <c r="AF1445" t="s">
        <v>1311</v>
      </c>
    </row>
    <row r="1446" spans="1:32" ht="14.5" customHeight="1" x14ac:dyDescent="0.35">
      <c r="A1446" t="s">
        <v>84</v>
      </c>
      <c r="B1446" t="s">
        <v>85</v>
      </c>
      <c r="C1446" t="s">
        <v>47</v>
      </c>
      <c r="D1446">
        <v>3001420</v>
      </c>
      <c r="E1446">
        <v>3100679</v>
      </c>
      <c r="F1446" t="s">
        <v>10</v>
      </c>
      <c r="G1446" t="s">
        <v>1309</v>
      </c>
      <c r="H1446" t="s">
        <v>54</v>
      </c>
      <c r="I1446">
        <v>6955240</v>
      </c>
      <c r="J1446" s="12">
        <v>46093</v>
      </c>
      <c r="K1446" s="12">
        <v>46093</v>
      </c>
      <c r="L1446" s="12">
        <v>46093</v>
      </c>
      <c r="M1446">
        <v>39</v>
      </c>
      <c r="N1446">
        <v>-327000</v>
      </c>
      <c r="O1446">
        <v>-327000</v>
      </c>
      <c r="P1446">
        <v>0</v>
      </c>
      <c r="Q1446">
        <v>0</v>
      </c>
      <c r="R1446">
        <v>-327000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 t="s">
        <v>47</v>
      </c>
      <c r="AA1446" t="s">
        <v>1062</v>
      </c>
      <c r="AB1446" t="s">
        <v>51</v>
      </c>
      <c r="AC1446" t="s">
        <v>51</v>
      </c>
      <c r="AD1446" t="s">
        <v>51</v>
      </c>
      <c r="AE1446" t="s">
        <v>51</v>
      </c>
      <c r="AF1446" t="s">
        <v>1311</v>
      </c>
    </row>
    <row r="1447" spans="1:32" ht="14.5" customHeight="1" x14ac:dyDescent="0.35">
      <c r="A1447" t="s">
        <v>84</v>
      </c>
      <c r="B1447" t="s">
        <v>85</v>
      </c>
      <c r="C1447" t="s">
        <v>47</v>
      </c>
      <c r="D1447">
        <v>3001420</v>
      </c>
      <c r="E1447">
        <v>3100679</v>
      </c>
      <c r="F1447" t="s">
        <v>10</v>
      </c>
      <c r="G1447" t="s">
        <v>1309</v>
      </c>
      <c r="H1447" t="s">
        <v>54</v>
      </c>
      <c r="I1447">
        <v>6955241</v>
      </c>
      <c r="J1447" s="12">
        <v>46093</v>
      </c>
      <c r="K1447" s="12">
        <v>46093</v>
      </c>
      <c r="L1447" s="12">
        <v>46093</v>
      </c>
      <c r="M1447">
        <v>39</v>
      </c>
      <c r="N1447">
        <v>-981000</v>
      </c>
      <c r="O1447">
        <v>-981000</v>
      </c>
      <c r="P1447">
        <v>0</v>
      </c>
      <c r="Q1447">
        <v>0</v>
      </c>
      <c r="R1447">
        <v>-981000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 t="s">
        <v>47</v>
      </c>
      <c r="AA1447" t="s">
        <v>1062</v>
      </c>
      <c r="AB1447" t="s">
        <v>51</v>
      </c>
      <c r="AC1447" t="s">
        <v>51</v>
      </c>
      <c r="AD1447" t="s">
        <v>51</v>
      </c>
      <c r="AE1447" t="s">
        <v>51</v>
      </c>
      <c r="AF1447" t="s">
        <v>1311</v>
      </c>
    </row>
    <row r="1448" spans="1:32" ht="14.5" customHeight="1" x14ac:dyDescent="0.35">
      <c r="A1448" t="s">
        <v>84</v>
      </c>
      <c r="B1448" t="s">
        <v>85</v>
      </c>
      <c r="C1448" t="s">
        <v>47</v>
      </c>
      <c r="D1448">
        <v>3001420</v>
      </c>
      <c r="E1448">
        <v>3100679</v>
      </c>
      <c r="F1448" t="s">
        <v>10</v>
      </c>
      <c r="G1448" t="s">
        <v>1309</v>
      </c>
      <c r="H1448" t="s">
        <v>54</v>
      </c>
      <c r="I1448">
        <v>6955242</v>
      </c>
      <c r="J1448" s="12">
        <v>46093</v>
      </c>
      <c r="K1448" s="12">
        <v>46093</v>
      </c>
      <c r="L1448" s="12">
        <v>46093</v>
      </c>
      <c r="M1448">
        <v>39</v>
      </c>
      <c r="N1448">
        <v>-441000</v>
      </c>
      <c r="O1448">
        <v>-441000</v>
      </c>
      <c r="P1448">
        <v>0</v>
      </c>
      <c r="Q1448">
        <v>0</v>
      </c>
      <c r="R1448">
        <v>-441000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 t="s">
        <v>47</v>
      </c>
      <c r="AA1448" t="s">
        <v>1062</v>
      </c>
      <c r="AB1448" t="s">
        <v>51</v>
      </c>
      <c r="AC1448" t="s">
        <v>51</v>
      </c>
      <c r="AD1448" t="s">
        <v>51</v>
      </c>
      <c r="AE1448" t="s">
        <v>51</v>
      </c>
      <c r="AF1448" t="s">
        <v>1312</v>
      </c>
    </row>
    <row r="1449" spans="1:32" ht="14.5" customHeight="1" x14ac:dyDescent="0.35">
      <c r="A1449" t="s">
        <v>84</v>
      </c>
      <c r="B1449" t="s">
        <v>85</v>
      </c>
      <c r="C1449" t="s">
        <v>47</v>
      </c>
      <c r="D1449">
        <v>3001420</v>
      </c>
      <c r="E1449">
        <v>3100679</v>
      </c>
      <c r="F1449" t="s">
        <v>10</v>
      </c>
      <c r="G1449" t="s">
        <v>1309</v>
      </c>
      <c r="H1449" t="s">
        <v>54</v>
      </c>
      <c r="I1449">
        <v>6955243</v>
      </c>
      <c r="J1449" s="12">
        <v>46093</v>
      </c>
      <c r="K1449" s="12">
        <v>46093</v>
      </c>
      <c r="L1449" s="12">
        <v>46093</v>
      </c>
      <c r="M1449">
        <v>39</v>
      </c>
      <c r="N1449">
        <v>-436000</v>
      </c>
      <c r="O1449">
        <v>-436000</v>
      </c>
      <c r="P1449">
        <v>0</v>
      </c>
      <c r="Q1449">
        <v>0</v>
      </c>
      <c r="R1449">
        <v>-436000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 t="s">
        <v>47</v>
      </c>
      <c r="AA1449" t="s">
        <v>1062</v>
      </c>
      <c r="AB1449" t="s">
        <v>51</v>
      </c>
      <c r="AC1449" t="s">
        <v>51</v>
      </c>
      <c r="AD1449" t="s">
        <v>51</v>
      </c>
      <c r="AE1449" t="s">
        <v>51</v>
      </c>
      <c r="AF1449" t="s">
        <v>1313</v>
      </c>
    </row>
    <row r="1450" spans="1:32" ht="14.5" customHeight="1" x14ac:dyDescent="0.35">
      <c r="A1450" t="s">
        <v>84</v>
      </c>
      <c r="B1450" t="s">
        <v>85</v>
      </c>
      <c r="C1450" t="s">
        <v>47</v>
      </c>
      <c r="D1450">
        <v>3001420</v>
      </c>
      <c r="E1450">
        <v>3100679</v>
      </c>
      <c r="F1450" t="s">
        <v>10</v>
      </c>
      <c r="G1450" t="s">
        <v>1309</v>
      </c>
      <c r="H1450" t="s">
        <v>54</v>
      </c>
      <c r="I1450">
        <v>6955244</v>
      </c>
      <c r="J1450" s="12">
        <v>46093</v>
      </c>
      <c r="K1450" s="12">
        <v>46093</v>
      </c>
      <c r="L1450" s="12">
        <v>46093</v>
      </c>
      <c r="M1450">
        <v>39</v>
      </c>
      <c r="N1450">
        <v>-981000</v>
      </c>
      <c r="O1450">
        <v>-981000</v>
      </c>
      <c r="P1450">
        <v>0</v>
      </c>
      <c r="Q1450">
        <v>0</v>
      </c>
      <c r="R1450">
        <v>-981000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 t="s">
        <v>47</v>
      </c>
      <c r="AA1450" t="s">
        <v>1062</v>
      </c>
      <c r="AB1450" t="s">
        <v>51</v>
      </c>
      <c r="AC1450" t="s">
        <v>51</v>
      </c>
      <c r="AD1450" t="s">
        <v>51</v>
      </c>
      <c r="AE1450" t="s">
        <v>51</v>
      </c>
      <c r="AF1450" t="s">
        <v>1313</v>
      </c>
    </row>
    <row r="1451" spans="1:32" ht="14.5" customHeight="1" x14ac:dyDescent="0.35">
      <c r="A1451" t="s">
        <v>84</v>
      </c>
      <c r="B1451" t="s">
        <v>85</v>
      </c>
      <c r="C1451" t="s">
        <v>47</v>
      </c>
      <c r="D1451">
        <v>3001420</v>
      </c>
      <c r="E1451">
        <v>3100744</v>
      </c>
      <c r="F1451" t="s">
        <v>10</v>
      </c>
      <c r="G1451" t="s">
        <v>1314</v>
      </c>
      <c r="H1451" t="s">
        <v>54</v>
      </c>
      <c r="I1451">
        <v>6955248</v>
      </c>
      <c r="J1451" s="12">
        <v>46093</v>
      </c>
      <c r="K1451" s="12">
        <v>46093</v>
      </c>
      <c r="L1451" s="12">
        <v>46093</v>
      </c>
      <c r="M1451">
        <v>39</v>
      </c>
      <c r="N1451">
        <v>-3597000</v>
      </c>
      <c r="O1451">
        <v>-3597000</v>
      </c>
      <c r="P1451">
        <v>0</v>
      </c>
      <c r="Q1451">
        <v>0</v>
      </c>
      <c r="R1451">
        <v>-3597000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 t="s">
        <v>47</v>
      </c>
      <c r="AA1451" t="s">
        <v>1062</v>
      </c>
      <c r="AB1451" t="s">
        <v>51</v>
      </c>
      <c r="AC1451" t="s">
        <v>51</v>
      </c>
      <c r="AD1451" t="s">
        <v>51</v>
      </c>
      <c r="AE1451" t="s">
        <v>51</v>
      </c>
      <c r="AF1451" t="s">
        <v>1315</v>
      </c>
    </row>
    <row r="1452" spans="1:32" ht="14.5" customHeight="1" x14ac:dyDescent="0.35">
      <c r="A1452" t="s">
        <v>84</v>
      </c>
      <c r="B1452" t="s">
        <v>85</v>
      </c>
      <c r="C1452" t="s">
        <v>47</v>
      </c>
      <c r="D1452">
        <v>3001420</v>
      </c>
      <c r="E1452">
        <v>3100661</v>
      </c>
      <c r="F1452" t="s">
        <v>10</v>
      </c>
      <c r="G1452" t="s">
        <v>1305</v>
      </c>
      <c r="H1452" t="s">
        <v>54</v>
      </c>
      <c r="I1452">
        <v>6955278</v>
      </c>
      <c r="J1452" s="12">
        <v>46093</v>
      </c>
      <c r="K1452" s="12">
        <v>46093</v>
      </c>
      <c r="L1452" s="12">
        <v>46093</v>
      </c>
      <c r="M1452">
        <v>39</v>
      </c>
      <c r="N1452">
        <v>-9156000</v>
      </c>
      <c r="O1452">
        <v>-9156000</v>
      </c>
      <c r="P1452">
        <v>0</v>
      </c>
      <c r="Q1452">
        <v>0</v>
      </c>
      <c r="R1452">
        <v>-9156000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 t="s">
        <v>47</v>
      </c>
      <c r="AA1452" t="s">
        <v>1062</v>
      </c>
      <c r="AB1452" t="s">
        <v>51</v>
      </c>
      <c r="AC1452" t="s">
        <v>51</v>
      </c>
      <c r="AD1452" t="s">
        <v>51</v>
      </c>
      <c r="AE1452" t="s">
        <v>51</v>
      </c>
      <c r="AF1452" t="s">
        <v>1316</v>
      </c>
    </row>
    <row r="1453" spans="1:32" ht="14.5" customHeight="1" x14ac:dyDescent="0.35">
      <c r="A1453" t="s">
        <v>84</v>
      </c>
      <c r="B1453" t="s">
        <v>85</v>
      </c>
      <c r="C1453" t="s">
        <v>47</v>
      </c>
      <c r="D1453">
        <v>3001420</v>
      </c>
      <c r="E1453">
        <v>3100661</v>
      </c>
      <c r="F1453" t="s">
        <v>10</v>
      </c>
      <c r="G1453" t="s">
        <v>1305</v>
      </c>
      <c r="H1453" t="s">
        <v>54</v>
      </c>
      <c r="I1453">
        <v>6955279</v>
      </c>
      <c r="J1453" s="12">
        <v>46093</v>
      </c>
      <c r="K1453" s="12">
        <v>46093</v>
      </c>
      <c r="L1453" s="12">
        <v>46093</v>
      </c>
      <c r="M1453">
        <v>39</v>
      </c>
      <c r="N1453">
        <v>-7848000</v>
      </c>
      <c r="O1453">
        <v>-7848000</v>
      </c>
      <c r="P1453">
        <v>0</v>
      </c>
      <c r="Q1453">
        <v>0</v>
      </c>
      <c r="R1453">
        <v>-7848000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 t="s">
        <v>47</v>
      </c>
      <c r="AA1453" t="s">
        <v>1062</v>
      </c>
      <c r="AB1453" t="s">
        <v>51</v>
      </c>
      <c r="AC1453" t="s">
        <v>51</v>
      </c>
      <c r="AD1453" t="s">
        <v>51</v>
      </c>
      <c r="AE1453" t="s">
        <v>51</v>
      </c>
      <c r="AF1453" t="s">
        <v>1317</v>
      </c>
    </row>
    <row r="1454" spans="1:32" ht="14.5" customHeight="1" x14ac:dyDescent="0.35">
      <c r="A1454" t="s">
        <v>84</v>
      </c>
      <c r="B1454" t="s">
        <v>85</v>
      </c>
      <c r="C1454" t="s">
        <v>47</v>
      </c>
      <c r="D1454">
        <v>3001420</v>
      </c>
      <c r="E1454">
        <v>3100661</v>
      </c>
      <c r="F1454" t="s">
        <v>10</v>
      </c>
      <c r="G1454" t="s">
        <v>1305</v>
      </c>
      <c r="H1454" t="s">
        <v>54</v>
      </c>
      <c r="I1454">
        <v>6955280</v>
      </c>
      <c r="J1454" s="12">
        <v>46093</v>
      </c>
      <c r="K1454" s="12">
        <v>46093</v>
      </c>
      <c r="L1454" s="12">
        <v>46093</v>
      </c>
      <c r="M1454">
        <v>39</v>
      </c>
      <c r="N1454">
        <v>-7848000</v>
      </c>
      <c r="O1454">
        <v>-7848000</v>
      </c>
      <c r="P1454">
        <v>0</v>
      </c>
      <c r="Q1454">
        <v>0</v>
      </c>
      <c r="R1454">
        <v>-7848000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 t="s">
        <v>47</v>
      </c>
      <c r="AA1454" t="s">
        <v>1062</v>
      </c>
      <c r="AB1454" t="s">
        <v>51</v>
      </c>
      <c r="AC1454" t="s">
        <v>51</v>
      </c>
      <c r="AD1454" t="s">
        <v>51</v>
      </c>
      <c r="AE1454" t="s">
        <v>51</v>
      </c>
      <c r="AF1454" t="s">
        <v>1317</v>
      </c>
    </row>
    <row r="1455" spans="1:32" ht="14.5" customHeight="1" x14ac:dyDescent="0.35">
      <c r="A1455" t="s">
        <v>84</v>
      </c>
      <c r="B1455" t="s">
        <v>85</v>
      </c>
      <c r="C1455" t="s">
        <v>47</v>
      </c>
      <c r="D1455">
        <v>3001420</v>
      </c>
      <c r="E1455">
        <v>3100744</v>
      </c>
      <c r="F1455" t="s">
        <v>10</v>
      </c>
      <c r="G1455" t="s">
        <v>1314</v>
      </c>
      <c r="H1455" t="s">
        <v>54</v>
      </c>
      <c r="I1455">
        <v>6955462</v>
      </c>
      <c r="J1455" s="12">
        <v>46093</v>
      </c>
      <c r="K1455" s="12">
        <v>46093</v>
      </c>
      <c r="L1455" s="12">
        <v>46093</v>
      </c>
      <c r="M1455">
        <v>39</v>
      </c>
      <c r="N1455">
        <v>-11061535</v>
      </c>
      <c r="O1455">
        <v>-11061535</v>
      </c>
      <c r="P1455">
        <v>0</v>
      </c>
      <c r="Q1455">
        <v>0</v>
      </c>
      <c r="R1455">
        <v>-11061535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 t="s">
        <v>47</v>
      </c>
      <c r="AA1455" t="s">
        <v>1062</v>
      </c>
      <c r="AB1455" t="s">
        <v>51</v>
      </c>
      <c r="AC1455" t="s">
        <v>51</v>
      </c>
      <c r="AD1455" t="s">
        <v>51</v>
      </c>
      <c r="AE1455" t="s">
        <v>51</v>
      </c>
      <c r="AF1455" t="s">
        <v>1318</v>
      </c>
    </row>
    <row r="1456" spans="1:32" ht="14.5" customHeight="1" x14ac:dyDescent="0.35">
      <c r="A1456" t="s">
        <v>84</v>
      </c>
      <c r="B1456" t="s">
        <v>85</v>
      </c>
      <c r="C1456" t="s">
        <v>47</v>
      </c>
      <c r="D1456">
        <v>3001420</v>
      </c>
      <c r="E1456">
        <v>3100679</v>
      </c>
      <c r="F1456" t="s">
        <v>10</v>
      </c>
      <c r="G1456" t="s">
        <v>1309</v>
      </c>
      <c r="H1456" t="s">
        <v>54</v>
      </c>
      <c r="I1456">
        <v>6955602</v>
      </c>
      <c r="J1456" s="12">
        <v>46095</v>
      </c>
      <c r="K1456" s="12">
        <v>46095</v>
      </c>
      <c r="L1456" s="12">
        <v>46095</v>
      </c>
      <c r="M1456">
        <v>37</v>
      </c>
      <c r="N1456">
        <v>-511791</v>
      </c>
      <c r="O1456">
        <v>-511791</v>
      </c>
      <c r="P1456">
        <v>0</v>
      </c>
      <c r="Q1456">
        <v>0</v>
      </c>
      <c r="R1456">
        <v>-511791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 t="s">
        <v>47</v>
      </c>
      <c r="AA1456" t="s">
        <v>1062</v>
      </c>
      <c r="AB1456" t="s">
        <v>51</v>
      </c>
      <c r="AC1456" t="s">
        <v>51</v>
      </c>
      <c r="AD1456" t="s">
        <v>51</v>
      </c>
      <c r="AE1456" t="s">
        <v>51</v>
      </c>
      <c r="AF1456" t="s">
        <v>1319</v>
      </c>
    </row>
    <row r="1457" spans="1:32" ht="14.5" customHeight="1" x14ac:dyDescent="0.35">
      <c r="A1457" t="s">
        <v>84</v>
      </c>
      <c r="B1457" t="s">
        <v>85</v>
      </c>
      <c r="C1457" t="s">
        <v>47</v>
      </c>
      <c r="D1457">
        <v>3001420</v>
      </c>
      <c r="E1457">
        <v>3100744</v>
      </c>
      <c r="F1457" t="s">
        <v>10</v>
      </c>
      <c r="G1457" t="s">
        <v>1314</v>
      </c>
      <c r="H1457" t="s">
        <v>54</v>
      </c>
      <c r="I1457">
        <v>6955690</v>
      </c>
      <c r="J1457" s="12">
        <v>46095</v>
      </c>
      <c r="K1457" s="12">
        <v>46095</v>
      </c>
      <c r="L1457" s="12">
        <v>46095</v>
      </c>
      <c r="M1457">
        <v>37</v>
      </c>
      <c r="N1457">
        <v>-73443392</v>
      </c>
      <c r="O1457">
        <v>-73443392</v>
      </c>
      <c r="P1457">
        <v>0</v>
      </c>
      <c r="Q1457">
        <v>0</v>
      </c>
      <c r="R1457">
        <v>-73443392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 t="s">
        <v>47</v>
      </c>
      <c r="AA1457" t="s">
        <v>1062</v>
      </c>
      <c r="AB1457" t="s">
        <v>51</v>
      </c>
      <c r="AC1457" t="s">
        <v>51</v>
      </c>
      <c r="AD1457" t="s">
        <v>51</v>
      </c>
      <c r="AE1457" t="s">
        <v>51</v>
      </c>
      <c r="AF1457" t="s">
        <v>56</v>
      </c>
    </row>
    <row r="1458" spans="1:32" ht="14.5" customHeight="1" x14ac:dyDescent="0.35">
      <c r="A1458" t="s">
        <v>84</v>
      </c>
      <c r="B1458" t="s">
        <v>85</v>
      </c>
      <c r="C1458" t="s">
        <v>47</v>
      </c>
      <c r="D1458">
        <v>3001420</v>
      </c>
      <c r="E1458">
        <v>3100661</v>
      </c>
      <c r="F1458" t="s">
        <v>10</v>
      </c>
      <c r="G1458" t="s">
        <v>1305</v>
      </c>
      <c r="H1458" t="s">
        <v>54</v>
      </c>
      <c r="I1458">
        <v>6955719</v>
      </c>
      <c r="J1458" s="12">
        <v>46095</v>
      </c>
      <c r="K1458" s="12">
        <v>46095</v>
      </c>
      <c r="L1458" s="12">
        <v>46095</v>
      </c>
      <c r="M1458">
        <v>37</v>
      </c>
      <c r="N1458">
        <v>-88892639</v>
      </c>
      <c r="O1458">
        <v>-88892639</v>
      </c>
      <c r="P1458">
        <v>0</v>
      </c>
      <c r="Q1458">
        <v>0</v>
      </c>
      <c r="R1458">
        <v>-88892639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 t="s">
        <v>47</v>
      </c>
      <c r="AA1458" t="s">
        <v>1062</v>
      </c>
      <c r="AB1458" t="s">
        <v>51</v>
      </c>
      <c r="AC1458" t="s">
        <v>51</v>
      </c>
      <c r="AD1458" t="s">
        <v>51</v>
      </c>
      <c r="AE1458" t="s">
        <v>51</v>
      </c>
      <c r="AF1458" t="s">
        <v>325</v>
      </c>
    </row>
    <row r="1459" spans="1:32" ht="14.5" customHeight="1" x14ac:dyDescent="0.35">
      <c r="A1459" t="s">
        <v>84</v>
      </c>
      <c r="B1459" t="s">
        <v>85</v>
      </c>
      <c r="C1459" t="s">
        <v>47</v>
      </c>
      <c r="D1459">
        <v>3001420</v>
      </c>
      <c r="E1459">
        <v>3100679</v>
      </c>
      <c r="F1459" t="s">
        <v>10</v>
      </c>
      <c r="G1459" t="s">
        <v>1309</v>
      </c>
      <c r="H1459" t="s">
        <v>54</v>
      </c>
      <c r="I1459">
        <v>6955720</v>
      </c>
      <c r="J1459" s="12">
        <v>46095</v>
      </c>
      <c r="K1459" s="12">
        <v>46095</v>
      </c>
      <c r="L1459" s="12">
        <v>46095</v>
      </c>
      <c r="M1459">
        <v>37</v>
      </c>
      <c r="N1459">
        <v>-58959900</v>
      </c>
      <c r="O1459">
        <v>-58959900</v>
      </c>
      <c r="P1459">
        <v>0</v>
      </c>
      <c r="Q1459">
        <v>0</v>
      </c>
      <c r="R1459">
        <v>-58959900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 t="s">
        <v>47</v>
      </c>
      <c r="AA1459" t="s">
        <v>1062</v>
      </c>
      <c r="AB1459" t="s">
        <v>51</v>
      </c>
      <c r="AC1459" t="s">
        <v>51</v>
      </c>
      <c r="AD1459" t="s">
        <v>51</v>
      </c>
      <c r="AE1459" t="s">
        <v>51</v>
      </c>
      <c r="AF1459" t="s">
        <v>56</v>
      </c>
    </row>
    <row r="1460" spans="1:32" ht="14.5" customHeight="1" x14ac:dyDescent="0.35">
      <c r="A1460" t="s">
        <v>84</v>
      </c>
      <c r="B1460" t="s">
        <v>85</v>
      </c>
      <c r="C1460" t="s">
        <v>47</v>
      </c>
      <c r="D1460">
        <v>3001420</v>
      </c>
      <c r="E1460">
        <v>3100661</v>
      </c>
      <c r="F1460" t="s">
        <v>10</v>
      </c>
      <c r="G1460" t="s">
        <v>1305</v>
      </c>
      <c r="H1460" t="s">
        <v>54</v>
      </c>
      <c r="I1460">
        <v>6955784</v>
      </c>
      <c r="J1460" s="12">
        <v>46095</v>
      </c>
      <c r="K1460" s="12">
        <v>46095</v>
      </c>
      <c r="L1460" s="12">
        <v>46095</v>
      </c>
      <c r="M1460">
        <v>37</v>
      </c>
      <c r="N1460">
        <v>-587310</v>
      </c>
      <c r="O1460">
        <v>-587310</v>
      </c>
      <c r="P1460">
        <v>0</v>
      </c>
      <c r="Q1460">
        <v>0</v>
      </c>
      <c r="R1460">
        <v>-587310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 t="s">
        <v>47</v>
      </c>
      <c r="AA1460" t="s">
        <v>1062</v>
      </c>
      <c r="AB1460" t="s">
        <v>51</v>
      </c>
      <c r="AC1460" t="s">
        <v>51</v>
      </c>
      <c r="AD1460" t="s">
        <v>51</v>
      </c>
      <c r="AE1460" t="s">
        <v>51</v>
      </c>
      <c r="AF1460" t="s">
        <v>1320</v>
      </c>
    </row>
    <row r="1461" spans="1:32" ht="14.5" customHeight="1" x14ac:dyDescent="0.35">
      <c r="A1461" t="s">
        <v>84</v>
      </c>
      <c r="B1461" t="s">
        <v>85</v>
      </c>
      <c r="C1461" t="s">
        <v>47</v>
      </c>
      <c r="D1461">
        <v>3001420</v>
      </c>
      <c r="E1461">
        <v>3100661</v>
      </c>
      <c r="F1461" t="s">
        <v>10</v>
      </c>
      <c r="G1461" t="s">
        <v>1305</v>
      </c>
      <c r="H1461" t="s">
        <v>54</v>
      </c>
      <c r="I1461">
        <v>6955822</v>
      </c>
      <c r="J1461" s="12">
        <v>46095</v>
      </c>
      <c r="K1461" s="12">
        <v>46095</v>
      </c>
      <c r="L1461" s="12">
        <v>46095</v>
      </c>
      <c r="M1461">
        <v>37</v>
      </c>
      <c r="N1461">
        <v>-241518</v>
      </c>
      <c r="O1461">
        <v>-241518</v>
      </c>
      <c r="P1461">
        <v>0</v>
      </c>
      <c r="Q1461">
        <v>0</v>
      </c>
      <c r="R1461">
        <v>-241518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 t="s">
        <v>47</v>
      </c>
      <c r="AA1461" t="s">
        <v>1062</v>
      </c>
      <c r="AB1461" t="s">
        <v>51</v>
      </c>
      <c r="AC1461" t="s">
        <v>51</v>
      </c>
      <c r="AD1461" t="s">
        <v>51</v>
      </c>
      <c r="AE1461" t="s">
        <v>51</v>
      </c>
      <c r="AF1461" t="s">
        <v>1320</v>
      </c>
    </row>
    <row r="1462" spans="1:32" ht="14.5" customHeight="1" x14ac:dyDescent="0.35">
      <c r="A1462" t="s">
        <v>84</v>
      </c>
      <c r="B1462" t="s">
        <v>85</v>
      </c>
      <c r="C1462" t="s">
        <v>47</v>
      </c>
      <c r="D1462">
        <v>3001420</v>
      </c>
      <c r="E1462">
        <v>3100679</v>
      </c>
      <c r="F1462" t="s">
        <v>10</v>
      </c>
      <c r="G1462" t="s">
        <v>1309</v>
      </c>
      <c r="H1462" t="s">
        <v>54</v>
      </c>
      <c r="I1462">
        <v>6955823</v>
      </c>
      <c r="J1462" s="12">
        <v>46095</v>
      </c>
      <c r="K1462" s="12">
        <v>46095</v>
      </c>
      <c r="L1462" s="12">
        <v>46095</v>
      </c>
      <c r="M1462">
        <v>37</v>
      </c>
      <c r="N1462">
        <v>-518997</v>
      </c>
      <c r="O1462">
        <v>-518997</v>
      </c>
      <c r="P1462">
        <v>0</v>
      </c>
      <c r="Q1462">
        <v>0</v>
      </c>
      <c r="R1462">
        <v>-518997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 t="s">
        <v>47</v>
      </c>
      <c r="AA1462" t="s">
        <v>1062</v>
      </c>
      <c r="AB1462" t="s">
        <v>51</v>
      </c>
      <c r="AC1462" t="s">
        <v>51</v>
      </c>
      <c r="AD1462" t="s">
        <v>51</v>
      </c>
      <c r="AE1462" t="s">
        <v>51</v>
      </c>
      <c r="AF1462" t="s">
        <v>1319</v>
      </c>
    </row>
    <row r="1463" spans="1:32" ht="14.5" customHeight="1" x14ac:dyDescent="0.35">
      <c r="A1463" t="s">
        <v>84</v>
      </c>
      <c r="B1463" t="s">
        <v>85</v>
      </c>
      <c r="C1463" t="s">
        <v>47</v>
      </c>
      <c r="D1463">
        <v>3001420</v>
      </c>
      <c r="E1463">
        <v>3100679</v>
      </c>
      <c r="F1463" t="s">
        <v>10</v>
      </c>
      <c r="G1463" t="s">
        <v>1309</v>
      </c>
      <c r="H1463" t="s">
        <v>54</v>
      </c>
      <c r="I1463">
        <v>6955824</v>
      </c>
      <c r="J1463" s="12">
        <v>46095</v>
      </c>
      <c r="K1463" s="12">
        <v>46095</v>
      </c>
      <c r="L1463" s="12">
        <v>46095</v>
      </c>
      <c r="M1463">
        <v>37</v>
      </c>
      <c r="N1463">
        <v>-510548</v>
      </c>
      <c r="O1463">
        <v>-510548</v>
      </c>
      <c r="P1463">
        <v>0</v>
      </c>
      <c r="Q1463">
        <v>0</v>
      </c>
      <c r="R1463">
        <v>-510548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 t="s">
        <v>47</v>
      </c>
      <c r="AA1463" t="s">
        <v>1062</v>
      </c>
      <c r="AB1463" t="s">
        <v>51</v>
      </c>
      <c r="AC1463" t="s">
        <v>51</v>
      </c>
      <c r="AD1463" t="s">
        <v>51</v>
      </c>
      <c r="AE1463" t="s">
        <v>51</v>
      </c>
      <c r="AF1463" t="s">
        <v>1319</v>
      </c>
    </row>
    <row r="1464" spans="1:32" ht="14.5" customHeight="1" x14ac:dyDescent="0.35">
      <c r="A1464" t="s">
        <v>84</v>
      </c>
      <c r="B1464" t="s">
        <v>85</v>
      </c>
      <c r="C1464" t="s">
        <v>47</v>
      </c>
      <c r="D1464">
        <v>3001420</v>
      </c>
      <c r="E1464">
        <v>3100679</v>
      </c>
      <c r="F1464" t="s">
        <v>10</v>
      </c>
      <c r="G1464" t="s">
        <v>1309</v>
      </c>
      <c r="H1464" t="s">
        <v>54</v>
      </c>
      <c r="I1464">
        <v>6955825</v>
      </c>
      <c r="J1464" s="12">
        <v>46095</v>
      </c>
      <c r="K1464" s="12">
        <v>46095</v>
      </c>
      <c r="L1464" s="12">
        <v>46095</v>
      </c>
      <c r="M1464">
        <v>37</v>
      </c>
      <c r="N1464">
        <v>-2078931</v>
      </c>
      <c r="O1464">
        <v>-2078931</v>
      </c>
      <c r="P1464">
        <v>0</v>
      </c>
      <c r="Q1464">
        <v>0</v>
      </c>
      <c r="R1464">
        <v>-2078931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 t="s">
        <v>47</v>
      </c>
      <c r="AA1464" t="s">
        <v>1062</v>
      </c>
      <c r="AB1464" t="s">
        <v>51</v>
      </c>
      <c r="AC1464" t="s">
        <v>51</v>
      </c>
      <c r="AD1464" t="s">
        <v>51</v>
      </c>
      <c r="AE1464" t="s">
        <v>51</v>
      </c>
      <c r="AF1464" t="s">
        <v>1319</v>
      </c>
    </row>
    <row r="1465" spans="1:32" ht="14.5" customHeight="1" x14ac:dyDescent="0.35">
      <c r="A1465" t="s">
        <v>84</v>
      </c>
      <c r="B1465" t="s">
        <v>85</v>
      </c>
      <c r="C1465" t="s">
        <v>47</v>
      </c>
      <c r="D1465">
        <v>3001420</v>
      </c>
      <c r="E1465">
        <v>3100679</v>
      </c>
      <c r="F1465" t="s">
        <v>10</v>
      </c>
      <c r="G1465" t="s">
        <v>1309</v>
      </c>
      <c r="H1465" t="s">
        <v>54</v>
      </c>
      <c r="I1465">
        <v>6955826</v>
      </c>
      <c r="J1465" s="12">
        <v>46095</v>
      </c>
      <c r="K1465" s="12">
        <v>46095</v>
      </c>
      <c r="L1465" s="12">
        <v>46095</v>
      </c>
      <c r="M1465">
        <v>37</v>
      </c>
      <c r="N1465">
        <v>-476651</v>
      </c>
      <c r="O1465">
        <v>-476651</v>
      </c>
      <c r="P1465">
        <v>0</v>
      </c>
      <c r="Q1465">
        <v>0</v>
      </c>
      <c r="R1465">
        <v>-476651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 t="s">
        <v>47</v>
      </c>
      <c r="AA1465" t="s">
        <v>1062</v>
      </c>
      <c r="AB1465" t="s">
        <v>51</v>
      </c>
      <c r="AC1465" t="s">
        <v>51</v>
      </c>
      <c r="AD1465" t="s">
        <v>51</v>
      </c>
      <c r="AE1465" t="s">
        <v>51</v>
      </c>
      <c r="AF1465" t="s">
        <v>1319</v>
      </c>
    </row>
    <row r="1466" spans="1:32" ht="14.5" customHeight="1" x14ac:dyDescent="0.35">
      <c r="A1466" t="s">
        <v>84</v>
      </c>
      <c r="B1466" t="s">
        <v>85</v>
      </c>
      <c r="C1466" t="s">
        <v>47</v>
      </c>
      <c r="D1466">
        <v>3001420</v>
      </c>
      <c r="E1466">
        <v>3100679</v>
      </c>
      <c r="F1466" t="s">
        <v>10</v>
      </c>
      <c r="G1466" t="s">
        <v>1309</v>
      </c>
      <c r="H1466" t="s">
        <v>54</v>
      </c>
      <c r="I1466">
        <v>6955827</v>
      </c>
      <c r="J1466" s="12">
        <v>46095</v>
      </c>
      <c r="K1466" s="12">
        <v>46095</v>
      </c>
      <c r="L1466" s="12">
        <v>46095</v>
      </c>
      <c r="M1466">
        <v>37</v>
      </c>
      <c r="N1466">
        <v>-561000</v>
      </c>
      <c r="O1466">
        <v>-561000</v>
      </c>
      <c r="P1466">
        <v>0</v>
      </c>
      <c r="Q1466">
        <v>0</v>
      </c>
      <c r="R1466">
        <v>-561000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 t="s">
        <v>47</v>
      </c>
      <c r="AA1466" t="s">
        <v>1062</v>
      </c>
      <c r="AB1466" t="s">
        <v>51</v>
      </c>
      <c r="AC1466" t="s">
        <v>51</v>
      </c>
      <c r="AD1466" t="s">
        <v>51</v>
      </c>
      <c r="AE1466" t="s">
        <v>51</v>
      </c>
      <c r="AF1466" t="s">
        <v>1319</v>
      </c>
    </row>
    <row r="1467" spans="1:32" ht="14.5" customHeight="1" x14ac:dyDescent="0.35">
      <c r="A1467" t="s">
        <v>84</v>
      </c>
      <c r="B1467" t="s">
        <v>85</v>
      </c>
      <c r="C1467" t="s">
        <v>47</v>
      </c>
      <c r="D1467">
        <v>3001420</v>
      </c>
      <c r="E1467">
        <v>3100679</v>
      </c>
      <c r="F1467" t="s">
        <v>10</v>
      </c>
      <c r="G1467" t="s">
        <v>1309</v>
      </c>
      <c r="H1467" t="s">
        <v>54</v>
      </c>
      <c r="I1467">
        <v>6955828</v>
      </c>
      <c r="J1467" s="12">
        <v>46095</v>
      </c>
      <c r="K1467" s="12">
        <v>46095</v>
      </c>
      <c r="L1467" s="12">
        <v>46095</v>
      </c>
      <c r="M1467">
        <v>37</v>
      </c>
      <c r="N1467">
        <v>-2222776</v>
      </c>
      <c r="O1467">
        <v>-2222776</v>
      </c>
      <c r="P1467">
        <v>0</v>
      </c>
      <c r="Q1467">
        <v>0</v>
      </c>
      <c r="R1467">
        <v>-2222776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 t="s">
        <v>47</v>
      </c>
      <c r="AA1467" t="s">
        <v>1062</v>
      </c>
      <c r="AB1467" t="s">
        <v>51</v>
      </c>
      <c r="AC1467" t="s">
        <v>51</v>
      </c>
      <c r="AD1467" t="s">
        <v>51</v>
      </c>
      <c r="AE1467" t="s">
        <v>51</v>
      </c>
      <c r="AF1467" t="s">
        <v>1319</v>
      </c>
    </row>
    <row r="1468" spans="1:32" ht="14.5" customHeight="1" x14ac:dyDescent="0.35">
      <c r="A1468" t="s">
        <v>84</v>
      </c>
      <c r="B1468" t="s">
        <v>85</v>
      </c>
      <c r="C1468" t="s">
        <v>47</v>
      </c>
      <c r="D1468">
        <v>3001420</v>
      </c>
      <c r="E1468">
        <v>3100679</v>
      </c>
      <c r="F1468" t="s">
        <v>10</v>
      </c>
      <c r="G1468" t="s">
        <v>1309</v>
      </c>
      <c r="H1468" t="s">
        <v>54</v>
      </c>
      <c r="I1468">
        <v>6955829</v>
      </c>
      <c r="J1468" s="12">
        <v>46095</v>
      </c>
      <c r="K1468" s="12">
        <v>46095</v>
      </c>
      <c r="L1468" s="12">
        <v>46095</v>
      </c>
      <c r="M1468">
        <v>37</v>
      </c>
      <c r="N1468">
        <v>-607750</v>
      </c>
      <c r="O1468">
        <v>-607750</v>
      </c>
      <c r="P1468">
        <v>0</v>
      </c>
      <c r="Q1468">
        <v>0</v>
      </c>
      <c r="R1468">
        <v>-607750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 t="s">
        <v>47</v>
      </c>
      <c r="AA1468" t="s">
        <v>1062</v>
      </c>
      <c r="AB1468" t="s">
        <v>51</v>
      </c>
      <c r="AC1468" t="s">
        <v>51</v>
      </c>
      <c r="AD1468" t="s">
        <v>51</v>
      </c>
      <c r="AE1468" t="s">
        <v>51</v>
      </c>
      <c r="AF1468" t="s">
        <v>1319</v>
      </c>
    </row>
    <row r="1469" spans="1:32" ht="14.5" customHeight="1" x14ac:dyDescent="0.35">
      <c r="A1469" t="s">
        <v>84</v>
      </c>
      <c r="B1469" t="s">
        <v>85</v>
      </c>
      <c r="C1469" t="s">
        <v>47</v>
      </c>
      <c r="D1469">
        <v>3001420</v>
      </c>
      <c r="E1469">
        <v>3100744</v>
      </c>
      <c r="F1469" t="s">
        <v>10</v>
      </c>
      <c r="G1469" t="s">
        <v>1314</v>
      </c>
      <c r="H1469" t="s">
        <v>54</v>
      </c>
      <c r="I1469">
        <v>6956330</v>
      </c>
      <c r="J1469" s="12">
        <v>46098</v>
      </c>
      <c r="K1469" s="12">
        <v>46098</v>
      </c>
      <c r="L1469" s="12">
        <v>46098</v>
      </c>
      <c r="M1469">
        <v>34</v>
      </c>
      <c r="N1469">
        <v>-441000</v>
      </c>
      <c r="O1469">
        <v>-441000</v>
      </c>
      <c r="P1469">
        <v>0</v>
      </c>
      <c r="Q1469">
        <v>0</v>
      </c>
      <c r="R1469">
        <v>-441000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 t="s">
        <v>47</v>
      </c>
      <c r="AA1469" t="s">
        <v>1062</v>
      </c>
      <c r="AB1469" t="s">
        <v>51</v>
      </c>
      <c r="AC1469" t="s">
        <v>51</v>
      </c>
      <c r="AD1469" t="s">
        <v>51</v>
      </c>
      <c r="AE1469" t="s">
        <v>51</v>
      </c>
      <c r="AF1469" t="s">
        <v>1321</v>
      </c>
    </row>
    <row r="1470" spans="1:32" ht="14.5" customHeight="1" x14ac:dyDescent="0.35">
      <c r="A1470" t="s">
        <v>84</v>
      </c>
      <c r="B1470" t="s">
        <v>85</v>
      </c>
      <c r="C1470" t="s">
        <v>47</v>
      </c>
      <c r="D1470">
        <v>3001420</v>
      </c>
      <c r="E1470">
        <v>3100661</v>
      </c>
      <c r="F1470" t="s">
        <v>10</v>
      </c>
      <c r="G1470" t="s">
        <v>1305</v>
      </c>
      <c r="H1470" t="s">
        <v>54</v>
      </c>
      <c r="I1470">
        <v>6956370</v>
      </c>
      <c r="J1470" s="12">
        <v>46098</v>
      </c>
      <c r="K1470" s="12">
        <v>46098</v>
      </c>
      <c r="L1470" s="12">
        <v>46098</v>
      </c>
      <c r="M1470">
        <v>34</v>
      </c>
      <c r="N1470">
        <v>-2065740</v>
      </c>
      <c r="O1470">
        <v>-2065740</v>
      </c>
      <c r="P1470">
        <v>0</v>
      </c>
      <c r="Q1470">
        <v>0</v>
      </c>
      <c r="R1470">
        <v>-2065740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 t="s">
        <v>47</v>
      </c>
      <c r="AA1470" t="s">
        <v>1062</v>
      </c>
      <c r="AB1470" t="s">
        <v>51</v>
      </c>
      <c r="AC1470" t="s">
        <v>51</v>
      </c>
      <c r="AD1470" t="s">
        <v>51</v>
      </c>
      <c r="AE1470" t="s">
        <v>51</v>
      </c>
      <c r="AF1470" t="s">
        <v>1322</v>
      </c>
    </row>
    <row r="1471" spans="1:32" ht="14.5" customHeight="1" x14ac:dyDescent="0.35">
      <c r="A1471" t="s">
        <v>84</v>
      </c>
      <c r="B1471" t="s">
        <v>85</v>
      </c>
      <c r="C1471" t="s">
        <v>47</v>
      </c>
      <c r="D1471">
        <v>3001420</v>
      </c>
      <c r="E1471">
        <v>3100679</v>
      </c>
      <c r="F1471" t="s">
        <v>10</v>
      </c>
      <c r="G1471" t="s">
        <v>1309</v>
      </c>
      <c r="H1471" t="s">
        <v>54</v>
      </c>
      <c r="I1471">
        <v>6956371</v>
      </c>
      <c r="J1471" s="12">
        <v>46098</v>
      </c>
      <c r="K1471" s="12">
        <v>46098</v>
      </c>
      <c r="L1471" s="12">
        <v>46098</v>
      </c>
      <c r="M1471">
        <v>34</v>
      </c>
      <c r="N1471">
        <v>-1742453</v>
      </c>
      <c r="O1471">
        <v>-1742453</v>
      </c>
      <c r="P1471">
        <v>0</v>
      </c>
      <c r="Q1471">
        <v>0</v>
      </c>
      <c r="R1471">
        <v>-1742453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 t="s">
        <v>47</v>
      </c>
      <c r="AA1471" t="s">
        <v>1062</v>
      </c>
      <c r="AB1471" t="s">
        <v>51</v>
      </c>
      <c r="AC1471" t="s">
        <v>51</v>
      </c>
      <c r="AD1471" t="s">
        <v>51</v>
      </c>
      <c r="AE1471" t="s">
        <v>51</v>
      </c>
      <c r="AF1471" t="s">
        <v>1323</v>
      </c>
    </row>
    <row r="1472" spans="1:32" ht="14.5" customHeight="1" x14ac:dyDescent="0.35">
      <c r="A1472" t="s">
        <v>84</v>
      </c>
      <c r="B1472" t="s">
        <v>85</v>
      </c>
      <c r="C1472" t="s">
        <v>47</v>
      </c>
      <c r="D1472">
        <v>3001420</v>
      </c>
      <c r="E1472">
        <v>3100636</v>
      </c>
      <c r="F1472" t="s">
        <v>10</v>
      </c>
      <c r="G1472" t="s">
        <v>10</v>
      </c>
      <c r="H1472" t="s">
        <v>54</v>
      </c>
      <c r="I1472">
        <v>6956392</v>
      </c>
      <c r="J1472" s="12">
        <v>46098</v>
      </c>
      <c r="K1472" s="12">
        <v>46098</v>
      </c>
      <c r="L1472" s="12">
        <v>46098</v>
      </c>
      <c r="M1472">
        <v>34</v>
      </c>
      <c r="N1472">
        <v>-207316492</v>
      </c>
      <c r="O1472">
        <v>-207316492</v>
      </c>
      <c r="P1472">
        <v>0</v>
      </c>
      <c r="Q1472">
        <v>0</v>
      </c>
      <c r="R1472">
        <v>-207316492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 t="s">
        <v>47</v>
      </c>
      <c r="AA1472" t="s">
        <v>1062</v>
      </c>
      <c r="AB1472" t="s">
        <v>51</v>
      </c>
      <c r="AC1472" t="s">
        <v>51</v>
      </c>
      <c r="AD1472" t="s">
        <v>51</v>
      </c>
      <c r="AE1472" t="s">
        <v>51</v>
      </c>
      <c r="AF1472" t="s">
        <v>56</v>
      </c>
    </row>
    <row r="1473" spans="1:32" ht="14.5" customHeight="1" x14ac:dyDescent="0.35">
      <c r="A1473" t="s">
        <v>84</v>
      </c>
      <c r="B1473" t="s">
        <v>85</v>
      </c>
      <c r="C1473" t="s">
        <v>47</v>
      </c>
      <c r="D1473">
        <v>3001420</v>
      </c>
      <c r="E1473">
        <v>3100679</v>
      </c>
      <c r="F1473" t="s">
        <v>10</v>
      </c>
      <c r="G1473" t="s">
        <v>1309</v>
      </c>
      <c r="H1473" t="s">
        <v>54</v>
      </c>
      <c r="I1473">
        <v>6956426</v>
      </c>
      <c r="J1473" s="12">
        <v>46099</v>
      </c>
      <c r="K1473" s="12">
        <v>46099</v>
      </c>
      <c r="L1473" s="12">
        <v>46099</v>
      </c>
      <c r="M1473">
        <v>33</v>
      </c>
      <c r="N1473">
        <v>-1294644</v>
      </c>
      <c r="O1473">
        <v>-1294644</v>
      </c>
      <c r="P1473">
        <v>0</v>
      </c>
      <c r="Q1473">
        <v>0</v>
      </c>
      <c r="R1473">
        <v>-1294644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 t="s">
        <v>47</v>
      </c>
      <c r="AA1473" t="s">
        <v>1062</v>
      </c>
      <c r="AB1473" t="s">
        <v>51</v>
      </c>
      <c r="AC1473" t="s">
        <v>51</v>
      </c>
      <c r="AD1473" t="s">
        <v>51</v>
      </c>
      <c r="AE1473" t="s">
        <v>51</v>
      </c>
      <c r="AF1473" t="s">
        <v>366</v>
      </c>
    </row>
    <row r="1474" spans="1:32" ht="14.5" customHeight="1" x14ac:dyDescent="0.35">
      <c r="A1474" t="s">
        <v>84</v>
      </c>
      <c r="B1474" t="s">
        <v>85</v>
      </c>
      <c r="C1474" t="s">
        <v>47</v>
      </c>
      <c r="D1474">
        <v>3001420</v>
      </c>
      <c r="E1474">
        <v>3100636</v>
      </c>
      <c r="F1474" t="s">
        <v>10</v>
      </c>
      <c r="G1474" t="s">
        <v>10</v>
      </c>
      <c r="H1474" t="s">
        <v>54</v>
      </c>
      <c r="I1474">
        <v>6956439</v>
      </c>
      <c r="J1474" s="12">
        <v>46099</v>
      </c>
      <c r="K1474" s="12">
        <v>46099</v>
      </c>
      <c r="L1474" s="12">
        <v>46099</v>
      </c>
      <c r="M1474">
        <v>33</v>
      </c>
      <c r="N1474">
        <v>-83726317</v>
      </c>
      <c r="O1474">
        <v>-83726317</v>
      </c>
      <c r="P1474">
        <v>0</v>
      </c>
      <c r="Q1474">
        <v>0</v>
      </c>
      <c r="R1474">
        <v>-83726317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 t="s">
        <v>47</v>
      </c>
      <c r="AA1474" t="s">
        <v>1062</v>
      </c>
      <c r="AB1474" t="s">
        <v>51</v>
      </c>
      <c r="AC1474" t="s">
        <v>51</v>
      </c>
      <c r="AD1474" t="s">
        <v>51</v>
      </c>
      <c r="AE1474" t="s">
        <v>51</v>
      </c>
      <c r="AF1474" t="s">
        <v>1324</v>
      </c>
    </row>
    <row r="1475" spans="1:32" ht="14.5" customHeight="1" x14ac:dyDescent="0.35">
      <c r="A1475" t="s">
        <v>84</v>
      </c>
      <c r="B1475" t="s">
        <v>85</v>
      </c>
      <c r="C1475" t="s">
        <v>47</v>
      </c>
      <c r="D1475">
        <v>3001420</v>
      </c>
      <c r="E1475">
        <v>3100744</v>
      </c>
      <c r="F1475" t="s">
        <v>10</v>
      </c>
      <c r="G1475" t="s">
        <v>1314</v>
      </c>
      <c r="H1475" t="s">
        <v>54</v>
      </c>
      <c r="I1475">
        <v>6956562</v>
      </c>
      <c r="J1475" s="12">
        <v>46105</v>
      </c>
      <c r="K1475" s="12">
        <v>46105</v>
      </c>
      <c r="L1475" s="12">
        <v>46105</v>
      </c>
      <c r="M1475">
        <v>27</v>
      </c>
      <c r="N1475">
        <v>-479852</v>
      </c>
      <c r="O1475">
        <v>-479852</v>
      </c>
      <c r="P1475">
        <v>0</v>
      </c>
      <c r="Q1475">
        <v>-479852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 t="s">
        <v>47</v>
      </c>
      <c r="AA1475" t="s">
        <v>1062</v>
      </c>
      <c r="AB1475" t="s">
        <v>51</v>
      </c>
      <c r="AC1475" t="s">
        <v>51</v>
      </c>
      <c r="AD1475" t="s">
        <v>51</v>
      </c>
      <c r="AE1475" t="s">
        <v>51</v>
      </c>
      <c r="AF1475" t="s">
        <v>1325</v>
      </c>
    </row>
    <row r="1476" spans="1:32" ht="14.5" customHeight="1" x14ac:dyDescent="0.35">
      <c r="A1476" t="s">
        <v>84</v>
      </c>
      <c r="B1476" t="s">
        <v>85</v>
      </c>
      <c r="C1476" t="s">
        <v>47</v>
      </c>
      <c r="D1476">
        <v>3001420</v>
      </c>
      <c r="E1476">
        <v>3100744</v>
      </c>
      <c r="F1476" t="s">
        <v>10</v>
      </c>
      <c r="G1476" t="s">
        <v>1314</v>
      </c>
      <c r="H1476" t="s">
        <v>54</v>
      </c>
      <c r="I1476">
        <v>6956563</v>
      </c>
      <c r="J1476" s="12">
        <v>46105</v>
      </c>
      <c r="K1476" s="12">
        <v>46105</v>
      </c>
      <c r="L1476" s="12">
        <v>46105</v>
      </c>
      <c r="M1476">
        <v>27</v>
      </c>
      <c r="N1476">
        <v>-258747</v>
      </c>
      <c r="O1476">
        <v>-258747</v>
      </c>
      <c r="P1476">
        <v>0</v>
      </c>
      <c r="Q1476">
        <v>-258747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 t="s">
        <v>47</v>
      </c>
      <c r="AA1476" t="s">
        <v>1062</v>
      </c>
      <c r="AB1476" t="s">
        <v>51</v>
      </c>
      <c r="AC1476" t="s">
        <v>51</v>
      </c>
      <c r="AD1476" t="s">
        <v>51</v>
      </c>
      <c r="AE1476" t="s">
        <v>51</v>
      </c>
      <c r="AF1476" t="s">
        <v>1326</v>
      </c>
    </row>
    <row r="1477" spans="1:32" ht="14.5" customHeight="1" x14ac:dyDescent="0.35">
      <c r="A1477" t="s">
        <v>84</v>
      </c>
      <c r="B1477" t="s">
        <v>85</v>
      </c>
      <c r="C1477" t="s">
        <v>47</v>
      </c>
      <c r="D1477">
        <v>3001420</v>
      </c>
      <c r="E1477">
        <v>3100744</v>
      </c>
      <c r="F1477" t="s">
        <v>10</v>
      </c>
      <c r="G1477" t="s">
        <v>1314</v>
      </c>
      <c r="H1477" t="s">
        <v>54</v>
      </c>
      <c r="I1477">
        <v>6956564</v>
      </c>
      <c r="J1477" s="12">
        <v>46105</v>
      </c>
      <c r="K1477" s="12">
        <v>46105</v>
      </c>
      <c r="L1477" s="12">
        <v>46105</v>
      </c>
      <c r="M1477">
        <v>27</v>
      </c>
      <c r="N1477">
        <v>-364650</v>
      </c>
      <c r="O1477">
        <v>-364650</v>
      </c>
      <c r="P1477">
        <v>0</v>
      </c>
      <c r="Q1477">
        <v>-364650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 t="s">
        <v>47</v>
      </c>
      <c r="AA1477" t="s">
        <v>1062</v>
      </c>
      <c r="AB1477" t="s">
        <v>51</v>
      </c>
      <c r="AC1477" t="s">
        <v>51</v>
      </c>
      <c r="AD1477" t="s">
        <v>51</v>
      </c>
      <c r="AE1477" t="s">
        <v>51</v>
      </c>
      <c r="AF1477" t="s">
        <v>1327</v>
      </c>
    </row>
    <row r="1478" spans="1:32" ht="14.5" customHeight="1" x14ac:dyDescent="0.35">
      <c r="A1478" t="s">
        <v>84</v>
      </c>
      <c r="B1478" t="s">
        <v>85</v>
      </c>
      <c r="C1478" t="s">
        <v>47</v>
      </c>
      <c r="D1478">
        <v>3001420</v>
      </c>
      <c r="E1478">
        <v>3100744</v>
      </c>
      <c r="F1478" t="s">
        <v>10</v>
      </c>
      <c r="G1478" t="s">
        <v>1314</v>
      </c>
      <c r="H1478" t="s">
        <v>54</v>
      </c>
      <c r="I1478">
        <v>6956565</v>
      </c>
      <c r="J1478" s="12">
        <v>46105</v>
      </c>
      <c r="K1478" s="12">
        <v>46105</v>
      </c>
      <c r="L1478" s="12">
        <v>46105</v>
      </c>
      <c r="M1478">
        <v>27</v>
      </c>
      <c r="N1478">
        <v>-521626</v>
      </c>
      <c r="O1478">
        <v>-521626</v>
      </c>
      <c r="P1478">
        <v>0</v>
      </c>
      <c r="Q1478">
        <v>-521626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 t="s">
        <v>47</v>
      </c>
      <c r="AA1478" t="s">
        <v>1062</v>
      </c>
      <c r="AB1478" t="s">
        <v>51</v>
      </c>
      <c r="AC1478" t="s">
        <v>51</v>
      </c>
      <c r="AD1478" t="s">
        <v>51</v>
      </c>
      <c r="AE1478" t="s">
        <v>51</v>
      </c>
      <c r="AF1478" t="s">
        <v>1328</v>
      </c>
    </row>
    <row r="1479" spans="1:32" ht="14.5" customHeight="1" x14ac:dyDescent="0.35">
      <c r="A1479" t="s">
        <v>84</v>
      </c>
      <c r="B1479" t="s">
        <v>85</v>
      </c>
      <c r="C1479" t="s">
        <v>47</v>
      </c>
      <c r="D1479">
        <v>3001420</v>
      </c>
      <c r="E1479">
        <v>3100636</v>
      </c>
      <c r="F1479" t="s">
        <v>10</v>
      </c>
      <c r="G1479" t="s">
        <v>10</v>
      </c>
      <c r="H1479" t="s">
        <v>54</v>
      </c>
      <c r="I1479">
        <v>6956806</v>
      </c>
      <c r="J1479" s="12">
        <v>46106</v>
      </c>
      <c r="K1479" s="12">
        <v>46106</v>
      </c>
      <c r="L1479" s="12">
        <v>46106</v>
      </c>
      <c r="M1479">
        <v>26</v>
      </c>
      <c r="N1479">
        <v>-784000</v>
      </c>
      <c r="O1479">
        <v>-784000</v>
      </c>
      <c r="P1479">
        <v>0</v>
      </c>
      <c r="Q1479">
        <v>-784000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 t="s">
        <v>47</v>
      </c>
      <c r="AA1479" t="s">
        <v>1062</v>
      </c>
      <c r="AB1479" t="s">
        <v>51</v>
      </c>
      <c r="AC1479" t="s">
        <v>51</v>
      </c>
      <c r="AD1479" t="s">
        <v>51</v>
      </c>
      <c r="AE1479" t="s">
        <v>51</v>
      </c>
      <c r="AF1479" t="s">
        <v>1329</v>
      </c>
    </row>
    <row r="1480" spans="1:32" ht="14.5" customHeight="1" x14ac:dyDescent="0.35">
      <c r="A1480" t="s">
        <v>84</v>
      </c>
      <c r="B1480" t="s">
        <v>85</v>
      </c>
      <c r="C1480" t="s">
        <v>47</v>
      </c>
      <c r="D1480">
        <v>3001420</v>
      </c>
      <c r="E1480">
        <v>3100636</v>
      </c>
      <c r="F1480" t="s">
        <v>10</v>
      </c>
      <c r="G1480" t="s">
        <v>10</v>
      </c>
      <c r="H1480" t="s">
        <v>54</v>
      </c>
      <c r="I1480">
        <v>6956807</v>
      </c>
      <c r="J1480" s="12">
        <v>46106</v>
      </c>
      <c r="K1480" s="12">
        <v>46106</v>
      </c>
      <c r="L1480" s="12">
        <v>46106</v>
      </c>
      <c r="M1480">
        <v>26</v>
      </c>
      <c r="N1480">
        <v>-400000</v>
      </c>
      <c r="O1480">
        <v>-400000</v>
      </c>
      <c r="P1480">
        <v>0</v>
      </c>
      <c r="Q1480">
        <v>-400000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 t="s">
        <v>47</v>
      </c>
      <c r="AA1480" t="s">
        <v>1062</v>
      </c>
      <c r="AB1480" t="s">
        <v>51</v>
      </c>
      <c r="AC1480" t="s">
        <v>51</v>
      </c>
      <c r="AD1480" t="s">
        <v>51</v>
      </c>
      <c r="AE1480" t="s">
        <v>51</v>
      </c>
      <c r="AF1480" t="s">
        <v>1330</v>
      </c>
    </row>
    <row r="1481" spans="1:32" ht="14.5" customHeight="1" x14ac:dyDescent="0.35">
      <c r="A1481" t="s">
        <v>84</v>
      </c>
      <c r="B1481" t="s">
        <v>85</v>
      </c>
      <c r="C1481" t="s">
        <v>47</v>
      </c>
      <c r="D1481">
        <v>3001420</v>
      </c>
      <c r="E1481">
        <v>3100636</v>
      </c>
      <c r="F1481" t="s">
        <v>10</v>
      </c>
      <c r="G1481" t="s">
        <v>10</v>
      </c>
      <c r="H1481" t="s">
        <v>54</v>
      </c>
      <c r="I1481">
        <v>6956808</v>
      </c>
      <c r="J1481" s="12">
        <v>46106</v>
      </c>
      <c r="K1481" s="12">
        <v>46106</v>
      </c>
      <c r="L1481" s="12">
        <v>46106</v>
      </c>
      <c r="M1481">
        <v>26</v>
      </c>
      <c r="N1481">
        <v>-100000</v>
      </c>
      <c r="O1481">
        <v>-100000</v>
      </c>
      <c r="P1481">
        <v>0</v>
      </c>
      <c r="Q1481">
        <v>-100000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 t="s">
        <v>47</v>
      </c>
      <c r="AA1481" t="s">
        <v>1062</v>
      </c>
      <c r="AB1481" t="s">
        <v>51</v>
      </c>
      <c r="AC1481" t="s">
        <v>51</v>
      </c>
      <c r="AD1481" t="s">
        <v>51</v>
      </c>
      <c r="AE1481" t="s">
        <v>51</v>
      </c>
      <c r="AF1481" t="s">
        <v>1331</v>
      </c>
    </row>
    <row r="1482" spans="1:32" ht="14.5" customHeight="1" x14ac:dyDescent="0.35">
      <c r="A1482" t="s">
        <v>84</v>
      </c>
      <c r="B1482" t="s">
        <v>85</v>
      </c>
      <c r="C1482" t="s">
        <v>47</v>
      </c>
      <c r="D1482">
        <v>3001420</v>
      </c>
      <c r="E1482">
        <v>3100744</v>
      </c>
      <c r="F1482" t="s">
        <v>10</v>
      </c>
      <c r="G1482" t="s">
        <v>1314</v>
      </c>
      <c r="H1482" t="s">
        <v>54</v>
      </c>
      <c r="I1482">
        <v>6956810</v>
      </c>
      <c r="J1482" s="12">
        <v>46106</v>
      </c>
      <c r="K1482" s="12">
        <v>46106</v>
      </c>
      <c r="L1482" s="12">
        <v>46106</v>
      </c>
      <c r="M1482">
        <v>26</v>
      </c>
      <c r="N1482">
        <v>-1176000</v>
      </c>
      <c r="O1482">
        <v>-1176000</v>
      </c>
      <c r="P1482">
        <v>0</v>
      </c>
      <c r="Q1482">
        <v>-1176000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 t="s">
        <v>47</v>
      </c>
      <c r="AA1482" t="s">
        <v>1062</v>
      </c>
      <c r="AB1482" t="s">
        <v>51</v>
      </c>
      <c r="AC1482" t="s">
        <v>51</v>
      </c>
      <c r="AD1482" t="s">
        <v>51</v>
      </c>
      <c r="AE1482" t="s">
        <v>51</v>
      </c>
      <c r="AF1482" t="s">
        <v>1332</v>
      </c>
    </row>
    <row r="1483" spans="1:32" ht="14.5" customHeight="1" x14ac:dyDescent="0.35">
      <c r="A1483" t="s">
        <v>84</v>
      </c>
      <c r="B1483" t="s">
        <v>85</v>
      </c>
      <c r="C1483" t="s">
        <v>47</v>
      </c>
      <c r="D1483">
        <v>3001420</v>
      </c>
      <c r="E1483">
        <v>3100744</v>
      </c>
      <c r="F1483" t="s">
        <v>10</v>
      </c>
      <c r="G1483" t="s">
        <v>1314</v>
      </c>
      <c r="H1483" t="s">
        <v>54</v>
      </c>
      <c r="I1483">
        <v>6956811</v>
      </c>
      <c r="J1483" s="12">
        <v>46106</v>
      </c>
      <c r="K1483" s="12">
        <v>46106</v>
      </c>
      <c r="L1483" s="12">
        <v>46106</v>
      </c>
      <c r="M1483">
        <v>26</v>
      </c>
      <c r="N1483">
        <v>-1176000</v>
      </c>
      <c r="O1483">
        <v>-1176000</v>
      </c>
      <c r="P1483">
        <v>0</v>
      </c>
      <c r="Q1483">
        <v>-1176000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 t="s">
        <v>47</v>
      </c>
      <c r="AA1483" t="s">
        <v>1062</v>
      </c>
      <c r="AB1483" t="s">
        <v>51</v>
      </c>
      <c r="AC1483" t="s">
        <v>51</v>
      </c>
      <c r="AD1483" t="s">
        <v>51</v>
      </c>
      <c r="AE1483" t="s">
        <v>51</v>
      </c>
      <c r="AF1483" t="s">
        <v>1333</v>
      </c>
    </row>
    <row r="1484" spans="1:32" ht="14.5" customHeight="1" x14ac:dyDescent="0.35">
      <c r="A1484" t="s">
        <v>84</v>
      </c>
      <c r="B1484" t="s">
        <v>85</v>
      </c>
      <c r="C1484" t="s">
        <v>47</v>
      </c>
      <c r="D1484">
        <v>3001420</v>
      </c>
      <c r="E1484">
        <v>3100679</v>
      </c>
      <c r="F1484" t="s">
        <v>10</v>
      </c>
      <c r="G1484" t="s">
        <v>1309</v>
      </c>
      <c r="H1484" t="s">
        <v>54</v>
      </c>
      <c r="I1484">
        <v>6956953</v>
      </c>
      <c r="J1484" s="12">
        <v>46106</v>
      </c>
      <c r="K1484" s="12">
        <v>46106</v>
      </c>
      <c r="L1484" s="12">
        <v>46106</v>
      </c>
      <c r="M1484">
        <v>26</v>
      </c>
      <c r="N1484">
        <v>-8131312</v>
      </c>
      <c r="O1484">
        <v>-8131312</v>
      </c>
      <c r="P1484">
        <v>0</v>
      </c>
      <c r="Q1484">
        <v>-8131312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 t="s">
        <v>47</v>
      </c>
      <c r="AA1484" t="s">
        <v>1062</v>
      </c>
      <c r="AB1484" t="s">
        <v>51</v>
      </c>
      <c r="AC1484" t="s">
        <v>51</v>
      </c>
      <c r="AD1484" t="s">
        <v>51</v>
      </c>
      <c r="AE1484" t="s">
        <v>51</v>
      </c>
      <c r="AF1484" t="s">
        <v>1334</v>
      </c>
    </row>
    <row r="1485" spans="1:32" ht="14.5" customHeight="1" x14ac:dyDescent="0.35">
      <c r="A1485" t="s">
        <v>84</v>
      </c>
      <c r="B1485" t="s">
        <v>85</v>
      </c>
      <c r="C1485" t="s">
        <v>47</v>
      </c>
      <c r="D1485">
        <v>3001420</v>
      </c>
      <c r="E1485">
        <v>3100636</v>
      </c>
      <c r="F1485" t="s">
        <v>10</v>
      </c>
      <c r="G1485" t="s">
        <v>10</v>
      </c>
      <c r="H1485" t="s">
        <v>54</v>
      </c>
      <c r="I1485">
        <v>6957032</v>
      </c>
      <c r="J1485" s="12">
        <v>46106</v>
      </c>
      <c r="K1485" s="12">
        <v>46106</v>
      </c>
      <c r="L1485" s="12">
        <v>46106</v>
      </c>
      <c r="M1485">
        <v>26</v>
      </c>
      <c r="N1485">
        <v>-31206383</v>
      </c>
      <c r="O1485">
        <v>-31206383</v>
      </c>
      <c r="P1485">
        <v>0</v>
      </c>
      <c r="Q1485">
        <v>-31206383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 t="s">
        <v>47</v>
      </c>
      <c r="AA1485" t="s">
        <v>1062</v>
      </c>
      <c r="AB1485" t="s">
        <v>51</v>
      </c>
      <c r="AC1485" t="s">
        <v>51</v>
      </c>
      <c r="AD1485" t="s">
        <v>51</v>
      </c>
      <c r="AE1485" t="s">
        <v>51</v>
      </c>
      <c r="AF1485" t="s">
        <v>1334</v>
      </c>
    </row>
    <row r="1486" spans="1:32" ht="14.5" customHeight="1" x14ac:dyDescent="0.35">
      <c r="A1486" t="s">
        <v>84</v>
      </c>
      <c r="B1486" t="s">
        <v>85</v>
      </c>
      <c r="C1486" t="s">
        <v>47</v>
      </c>
      <c r="D1486">
        <v>3001420</v>
      </c>
      <c r="E1486">
        <v>3100636</v>
      </c>
      <c r="F1486" t="s">
        <v>10</v>
      </c>
      <c r="G1486" t="s">
        <v>10</v>
      </c>
      <c r="H1486" t="s">
        <v>54</v>
      </c>
      <c r="I1486">
        <v>6957113</v>
      </c>
      <c r="J1486" s="12">
        <v>46106</v>
      </c>
      <c r="K1486" s="12">
        <v>46106</v>
      </c>
      <c r="L1486" s="12">
        <v>46106</v>
      </c>
      <c r="M1486">
        <v>26</v>
      </c>
      <c r="N1486">
        <v>-882000</v>
      </c>
      <c r="O1486">
        <v>-882000</v>
      </c>
      <c r="P1486">
        <v>0</v>
      </c>
      <c r="Q1486">
        <v>-882000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 t="s">
        <v>47</v>
      </c>
      <c r="AA1486" t="s">
        <v>1062</v>
      </c>
      <c r="AB1486" t="s">
        <v>51</v>
      </c>
      <c r="AC1486" t="s">
        <v>51</v>
      </c>
      <c r="AD1486" t="s">
        <v>51</v>
      </c>
      <c r="AE1486" t="s">
        <v>51</v>
      </c>
      <c r="AF1486" t="s">
        <v>1335</v>
      </c>
    </row>
    <row r="1487" spans="1:32" ht="14.5" customHeight="1" x14ac:dyDescent="0.35">
      <c r="A1487" t="s">
        <v>84</v>
      </c>
      <c r="B1487" t="s">
        <v>85</v>
      </c>
      <c r="C1487" t="s">
        <v>47</v>
      </c>
      <c r="D1487">
        <v>3001420</v>
      </c>
      <c r="E1487">
        <v>3100636</v>
      </c>
      <c r="F1487" t="s">
        <v>10</v>
      </c>
      <c r="G1487" t="s">
        <v>10</v>
      </c>
      <c r="H1487" t="s">
        <v>54</v>
      </c>
      <c r="I1487">
        <v>6957114</v>
      </c>
      <c r="J1487" s="12">
        <v>46106</v>
      </c>
      <c r="K1487" s="12">
        <v>46106</v>
      </c>
      <c r="L1487" s="12">
        <v>46106</v>
      </c>
      <c r="M1487">
        <v>26</v>
      </c>
      <c r="N1487">
        <v>-441000</v>
      </c>
      <c r="O1487">
        <v>-441000</v>
      </c>
      <c r="P1487">
        <v>0</v>
      </c>
      <c r="Q1487">
        <v>-441000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 t="s">
        <v>47</v>
      </c>
      <c r="AA1487" t="s">
        <v>1062</v>
      </c>
      <c r="AB1487" t="s">
        <v>51</v>
      </c>
      <c r="AC1487" t="s">
        <v>51</v>
      </c>
      <c r="AD1487" t="s">
        <v>51</v>
      </c>
      <c r="AE1487" t="s">
        <v>51</v>
      </c>
      <c r="AF1487" t="s">
        <v>1336</v>
      </c>
    </row>
    <row r="1488" spans="1:32" ht="14.5" customHeight="1" x14ac:dyDescent="0.35">
      <c r="A1488" t="s">
        <v>84</v>
      </c>
      <c r="B1488" t="s">
        <v>85</v>
      </c>
      <c r="C1488" t="s">
        <v>47</v>
      </c>
      <c r="D1488">
        <v>3001420</v>
      </c>
      <c r="E1488">
        <v>3100636</v>
      </c>
      <c r="F1488" t="s">
        <v>10</v>
      </c>
      <c r="G1488" t="s">
        <v>10</v>
      </c>
      <c r="H1488" t="s">
        <v>54</v>
      </c>
      <c r="I1488">
        <v>6957115</v>
      </c>
      <c r="J1488" s="12">
        <v>46106</v>
      </c>
      <c r="K1488" s="12">
        <v>46106</v>
      </c>
      <c r="L1488" s="12">
        <v>46106</v>
      </c>
      <c r="M1488">
        <v>26</v>
      </c>
      <c r="N1488">
        <v>-588000</v>
      </c>
      <c r="O1488">
        <v>-588000</v>
      </c>
      <c r="P1488">
        <v>0</v>
      </c>
      <c r="Q1488">
        <v>-588000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 t="s">
        <v>47</v>
      </c>
      <c r="AA1488" t="s">
        <v>1062</v>
      </c>
      <c r="AB1488" t="s">
        <v>51</v>
      </c>
      <c r="AC1488" t="s">
        <v>51</v>
      </c>
      <c r="AD1488" t="s">
        <v>51</v>
      </c>
      <c r="AE1488" t="s">
        <v>51</v>
      </c>
      <c r="AF1488" t="s">
        <v>1337</v>
      </c>
    </row>
    <row r="1489" spans="1:32" ht="14.5" customHeight="1" x14ac:dyDescent="0.35">
      <c r="A1489" t="s">
        <v>84</v>
      </c>
      <c r="B1489" t="s">
        <v>85</v>
      </c>
      <c r="C1489" t="s">
        <v>47</v>
      </c>
      <c r="D1489">
        <v>3001420</v>
      </c>
      <c r="E1489">
        <v>3100636</v>
      </c>
      <c r="F1489" t="s">
        <v>10</v>
      </c>
      <c r="G1489" t="s">
        <v>10</v>
      </c>
      <c r="H1489" t="s">
        <v>54</v>
      </c>
      <c r="I1489">
        <v>6957116</v>
      </c>
      <c r="J1489" s="12">
        <v>46106</v>
      </c>
      <c r="K1489" s="12">
        <v>46106</v>
      </c>
      <c r="L1489" s="12">
        <v>46106</v>
      </c>
      <c r="M1489">
        <v>26</v>
      </c>
      <c r="N1489">
        <v>-882000</v>
      </c>
      <c r="O1489">
        <v>-882000</v>
      </c>
      <c r="P1489">
        <v>0</v>
      </c>
      <c r="Q1489">
        <v>-882000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 t="s">
        <v>47</v>
      </c>
      <c r="AA1489" t="s">
        <v>1062</v>
      </c>
      <c r="AB1489" t="s">
        <v>51</v>
      </c>
      <c r="AC1489" t="s">
        <v>51</v>
      </c>
      <c r="AD1489" t="s">
        <v>51</v>
      </c>
      <c r="AE1489" t="s">
        <v>51</v>
      </c>
      <c r="AF1489" t="s">
        <v>1338</v>
      </c>
    </row>
    <row r="1490" spans="1:32" ht="14.5" customHeight="1" x14ac:dyDescent="0.35">
      <c r="A1490" t="s">
        <v>84</v>
      </c>
      <c r="B1490" t="s">
        <v>85</v>
      </c>
      <c r="C1490" t="s">
        <v>47</v>
      </c>
      <c r="D1490">
        <v>3001420</v>
      </c>
      <c r="E1490">
        <v>3100636</v>
      </c>
      <c r="F1490" t="s">
        <v>10</v>
      </c>
      <c r="G1490" t="s">
        <v>10</v>
      </c>
      <c r="H1490" t="s">
        <v>54</v>
      </c>
      <c r="I1490">
        <v>6957117</v>
      </c>
      <c r="J1490" s="12">
        <v>46106</v>
      </c>
      <c r="K1490" s="12">
        <v>46106</v>
      </c>
      <c r="L1490" s="12">
        <v>46106</v>
      </c>
      <c r="M1490">
        <v>26</v>
      </c>
      <c r="N1490">
        <v>-882000</v>
      </c>
      <c r="O1490">
        <v>-882000</v>
      </c>
      <c r="P1490">
        <v>0</v>
      </c>
      <c r="Q1490">
        <v>-882000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 t="s">
        <v>47</v>
      </c>
      <c r="AA1490" t="s">
        <v>1062</v>
      </c>
      <c r="AB1490" t="s">
        <v>51</v>
      </c>
      <c r="AC1490" t="s">
        <v>51</v>
      </c>
      <c r="AD1490" t="s">
        <v>51</v>
      </c>
      <c r="AE1490" t="s">
        <v>51</v>
      </c>
      <c r="AF1490" t="s">
        <v>1339</v>
      </c>
    </row>
    <row r="1491" spans="1:32" ht="14.5" customHeight="1" x14ac:dyDescent="0.35">
      <c r="A1491" t="s">
        <v>84</v>
      </c>
      <c r="B1491" t="s">
        <v>85</v>
      </c>
      <c r="C1491" t="s">
        <v>47</v>
      </c>
      <c r="D1491">
        <v>3001420</v>
      </c>
      <c r="E1491">
        <v>3100636</v>
      </c>
      <c r="F1491" t="s">
        <v>10</v>
      </c>
      <c r="G1491" t="s">
        <v>10</v>
      </c>
      <c r="H1491" t="s">
        <v>54</v>
      </c>
      <c r="I1491">
        <v>6957118</v>
      </c>
      <c r="J1491" s="12">
        <v>46106</v>
      </c>
      <c r="K1491" s="12">
        <v>46106</v>
      </c>
      <c r="L1491" s="12">
        <v>46106</v>
      </c>
      <c r="M1491">
        <v>26</v>
      </c>
      <c r="N1491">
        <v>-882000</v>
      </c>
      <c r="O1491">
        <v>-882000</v>
      </c>
      <c r="P1491">
        <v>0</v>
      </c>
      <c r="Q1491">
        <v>-882000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 t="s">
        <v>47</v>
      </c>
      <c r="AA1491" t="s">
        <v>1062</v>
      </c>
      <c r="AB1491" t="s">
        <v>51</v>
      </c>
      <c r="AC1491" t="s">
        <v>51</v>
      </c>
      <c r="AD1491" t="s">
        <v>51</v>
      </c>
      <c r="AE1491" t="s">
        <v>51</v>
      </c>
      <c r="AF1491" t="s">
        <v>1340</v>
      </c>
    </row>
    <row r="1492" spans="1:32" ht="14.5" customHeight="1" x14ac:dyDescent="0.35">
      <c r="A1492" t="s">
        <v>84</v>
      </c>
      <c r="B1492" t="s">
        <v>85</v>
      </c>
      <c r="C1492" t="s">
        <v>47</v>
      </c>
      <c r="D1492">
        <v>3001420</v>
      </c>
      <c r="E1492">
        <v>3100636</v>
      </c>
      <c r="F1492" t="s">
        <v>10</v>
      </c>
      <c r="G1492" t="s">
        <v>10</v>
      </c>
      <c r="H1492" t="s">
        <v>54</v>
      </c>
      <c r="I1492">
        <v>6957155</v>
      </c>
      <c r="J1492" s="12">
        <v>46106</v>
      </c>
      <c r="K1492" s="12">
        <v>46106</v>
      </c>
      <c r="L1492" s="12">
        <v>46106</v>
      </c>
      <c r="M1492">
        <v>26</v>
      </c>
      <c r="N1492">
        <v>-588000</v>
      </c>
      <c r="O1492">
        <v>-588000</v>
      </c>
      <c r="P1492">
        <v>0</v>
      </c>
      <c r="Q1492">
        <v>-588000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 t="s">
        <v>47</v>
      </c>
      <c r="AA1492" t="s">
        <v>1062</v>
      </c>
      <c r="AB1492" t="s">
        <v>51</v>
      </c>
      <c r="AC1492" t="s">
        <v>51</v>
      </c>
      <c r="AD1492" t="s">
        <v>51</v>
      </c>
      <c r="AE1492" t="s">
        <v>51</v>
      </c>
      <c r="AF1492" t="s">
        <v>1341</v>
      </c>
    </row>
    <row r="1493" spans="1:32" ht="14.5" customHeight="1" x14ac:dyDescent="0.35">
      <c r="A1493" t="s">
        <v>84</v>
      </c>
      <c r="B1493" t="s">
        <v>85</v>
      </c>
      <c r="C1493" t="s">
        <v>47</v>
      </c>
      <c r="D1493">
        <v>3001420</v>
      </c>
      <c r="E1493">
        <v>3100636</v>
      </c>
      <c r="F1493" t="s">
        <v>10</v>
      </c>
      <c r="G1493" t="s">
        <v>10</v>
      </c>
      <c r="H1493" t="s">
        <v>54</v>
      </c>
      <c r="I1493">
        <v>6957156</v>
      </c>
      <c r="J1493" s="12">
        <v>46106</v>
      </c>
      <c r="K1493" s="12">
        <v>46106</v>
      </c>
      <c r="L1493" s="12">
        <v>46106</v>
      </c>
      <c r="M1493">
        <v>26</v>
      </c>
      <c r="N1493">
        <v>-882000</v>
      </c>
      <c r="O1493">
        <v>-882000</v>
      </c>
      <c r="P1493">
        <v>0</v>
      </c>
      <c r="Q1493">
        <v>-882000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 t="s">
        <v>47</v>
      </c>
      <c r="AA1493" t="s">
        <v>1062</v>
      </c>
      <c r="AB1493" t="s">
        <v>51</v>
      </c>
      <c r="AC1493" t="s">
        <v>51</v>
      </c>
      <c r="AD1493" t="s">
        <v>51</v>
      </c>
      <c r="AE1493" t="s">
        <v>51</v>
      </c>
      <c r="AF1493" t="s">
        <v>1342</v>
      </c>
    </row>
    <row r="1494" spans="1:32" ht="14.5" customHeight="1" x14ac:dyDescent="0.35">
      <c r="A1494" t="s">
        <v>84</v>
      </c>
      <c r="B1494" t="s">
        <v>85</v>
      </c>
      <c r="C1494" t="s">
        <v>47</v>
      </c>
      <c r="D1494">
        <v>3001420</v>
      </c>
      <c r="E1494">
        <v>3100698</v>
      </c>
      <c r="F1494" t="s">
        <v>10</v>
      </c>
      <c r="G1494" t="s">
        <v>1343</v>
      </c>
      <c r="H1494" t="s">
        <v>54</v>
      </c>
      <c r="I1494">
        <v>6957492</v>
      </c>
      <c r="J1494" s="12">
        <v>46107</v>
      </c>
      <c r="K1494" s="12">
        <v>46107</v>
      </c>
      <c r="L1494" s="12">
        <v>46107</v>
      </c>
      <c r="M1494">
        <v>25</v>
      </c>
      <c r="N1494">
        <v>-7825768</v>
      </c>
      <c r="O1494">
        <v>-7825768</v>
      </c>
      <c r="P1494">
        <v>0</v>
      </c>
      <c r="Q1494">
        <v>-7825768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 t="s">
        <v>47</v>
      </c>
      <c r="AA1494" t="s">
        <v>1062</v>
      </c>
      <c r="AB1494" t="s">
        <v>51</v>
      </c>
      <c r="AC1494" t="s">
        <v>51</v>
      </c>
      <c r="AD1494" t="s">
        <v>51</v>
      </c>
      <c r="AE1494" t="s">
        <v>51</v>
      </c>
      <c r="AF1494" t="s">
        <v>1334</v>
      </c>
    </row>
    <row r="1495" spans="1:32" ht="14.5" customHeight="1" x14ac:dyDescent="0.35">
      <c r="A1495" t="s">
        <v>84</v>
      </c>
      <c r="B1495" t="s">
        <v>85</v>
      </c>
      <c r="C1495" t="s">
        <v>47</v>
      </c>
      <c r="D1495">
        <v>3001420</v>
      </c>
      <c r="E1495">
        <v>3100761</v>
      </c>
      <c r="F1495" t="s">
        <v>10</v>
      </c>
      <c r="G1495" t="s">
        <v>1344</v>
      </c>
      <c r="H1495" t="s">
        <v>54</v>
      </c>
      <c r="I1495">
        <v>6957493</v>
      </c>
      <c r="J1495" s="12">
        <v>46107</v>
      </c>
      <c r="K1495" s="12">
        <v>46107</v>
      </c>
      <c r="L1495" s="12">
        <v>46107</v>
      </c>
      <c r="M1495">
        <v>25</v>
      </c>
      <c r="N1495">
        <v>-196000</v>
      </c>
      <c r="O1495">
        <v>-196000</v>
      </c>
      <c r="P1495">
        <v>0</v>
      </c>
      <c r="Q1495">
        <v>-196000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 t="s">
        <v>47</v>
      </c>
      <c r="AA1495" t="s">
        <v>1062</v>
      </c>
      <c r="AB1495" t="s">
        <v>51</v>
      </c>
      <c r="AC1495" t="s">
        <v>51</v>
      </c>
      <c r="AD1495" t="s">
        <v>51</v>
      </c>
      <c r="AE1495" t="s">
        <v>51</v>
      </c>
      <c r="AF1495" t="s">
        <v>1345</v>
      </c>
    </row>
    <row r="1496" spans="1:32" ht="14.5" customHeight="1" x14ac:dyDescent="0.35">
      <c r="A1496" t="s">
        <v>84</v>
      </c>
      <c r="B1496" t="s">
        <v>85</v>
      </c>
      <c r="C1496" t="s">
        <v>846</v>
      </c>
      <c r="D1496">
        <v>3001420</v>
      </c>
      <c r="E1496">
        <v>3100637</v>
      </c>
      <c r="F1496" t="s">
        <v>10</v>
      </c>
      <c r="G1496" t="s">
        <v>10</v>
      </c>
      <c r="H1496" t="s">
        <v>111</v>
      </c>
      <c r="I1496">
        <v>6957639</v>
      </c>
      <c r="J1496" s="12">
        <v>46111</v>
      </c>
      <c r="K1496" s="12">
        <v>46111</v>
      </c>
      <c r="L1496" s="12">
        <v>46111</v>
      </c>
      <c r="M1496">
        <v>21</v>
      </c>
      <c r="N1496">
        <v>-3265531</v>
      </c>
      <c r="O1496">
        <v>-3265531</v>
      </c>
      <c r="P1496">
        <v>0</v>
      </c>
      <c r="Q1496">
        <v>-3265531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 t="s">
        <v>846</v>
      </c>
      <c r="AA1496" t="s">
        <v>1062</v>
      </c>
      <c r="AB1496" t="s">
        <v>51</v>
      </c>
      <c r="AC1496" t="s">
        <v>51</v>
      </c>
      <c r="AD1496" t="s">
        <v>51</v>
      </c>
      <c r="AE1496" t="s">
        <v>51</v>
      </c>
      <c r="AF1496" t="s">
        <v>206</v>
      </c>
    </row>
    <row r="1497" spans="1:32" ht="14.5" customHeight="1" x14ac:dyDescent="0.35">
      <c r="A1497" t="s">
        <v>84</v>
      </c>
      <c r="B1497" t="s">
        <v>85</v>
      </c>
      <c r="C1497" t="s">
        <v>47</v>
      </c>
      <c r="D1497">
        <v>3001420</v>
      </c>
      <c r="E1497">
        <v>3100763</v>
      </c>
      <c r="F1497" t="s">
        <v>10</v>
      </c>
      <c r="G1497" t="s">
        <v>1346</v>
      </c>
      <c r="H1497" t="s">
        <v>54</v>
      </c>
      <c r="I1497">
        <v>6957680</v>
      </c>
      <c r="J1497" s="12">
        <v>46111</v>
      </c>
      <c r="K1497" s="12">
        <v>46111</v>
      </c>
      <c r="L1497" s="12">
        <v>46111</v>
      </c>
      <c r="M1497">
        <v>21</v>
      </c>
      <c r="N1497">
        <v>-8157697</v>
      </c>
      <c r="O1497">
        <v>-8157697</v>
      </c>
      <c r="P1497">
        <v>0</v>
      </c>
      <c r="Q1497">
        <v>-8157697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 t="s">
        <v>47</v>
      </c>
      <c r="AA1497" t="s">
        <v>1062</v>
      </c>
      <c r="AB1497" t="s">
        <v>51</v>
      </c>
      <c r="AC1497" t="s">
        <v>51</v>
      </c>
      <c r="AD1497" t="s">
        <v>51</v>
      </c>
      <c r="AE1497" t="s">
        <v>51</v>
      </c>
      <c r="AF1497" t="s">
        <v>1347</v>
      </c>
    </row>
    <row r="1498" spans="1:32" ht="14.5" customHeight="1" x14ac:dyDescent="0.35">
      <c r="A1498" t="s">
        <v>84</v>
      </c>
      <c r="B1498" t="s">
        <v>85</v>
      </c>
      <c r="C1498" t="s">
        <v>47</v>
      </c>
      <c r="D1498">
        <v>3001420</v>
      </c>
      <c r="E1498">
        <v>3100744</v>
      </c>
      <c r="F1498" t="s">
        <v>10</v>
      </c>
      <c r="G1498" t="s">
        <v>1314</v>
      </c>
      <c r="H1498" t="s">
        <v>54</v>
      </c>
      <c r="I1498">
        <v>6957700</v>
      </c>
      <c r="J1498" s="12">
        <v>46112</v>
      </c>
      <c r="K1498" s="12">
        <v>46112</v>
      </c>
      <c r="L1498" s="12">
        <v>46112</v>
      </c>
      <c r="M1498">
        <v>20</v>
      </c>
      <c r="N1498">
        <v>-2834262</v>
      </c>
      <c r="O1498">
        <v>-2834262</v>
      </c>
      <c r="P1498">
        <v>0</v>
      </c>
      <c r="Q1498">
        <v>-2834262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 t="s">
        <v>47</v>
      </c>
      <c r="AA1498" t="s">
        <v>1062</v>
      </c>
      <c r="AB1498" t="s">
        <v>51</v>
      </c>
      <c r="AC1498" t="s">
        <v>51</v>
      </c>
      <c r="AD1498" t="s">
        <v>51</v>
      </c>
      <c r="AE1498" t="s">
        <v>51</v>
      </c>
      <c r="AF1498" t="s">
        <v>1348</v>
      </c>
    </row>
    <row r="1499" spans="1:32" ht="14.5" customHeight="1" x14ac:dyDescent="0.35">
      <c r="A1499" t="s">
        <v>84</v>
      </c>
      <c r="B1499" t="s">
        <v>85</v>
      </c>
      <c r="C1499" t="s">
        <v>47</v>
      </c>
      <c r="D1499">
        <v>3001420</v>
      </c>
      <c r="E1499">
        <v>3100696</v>
      </c>
      <c r="F1499" t="s">
        <v>10</v>
      </c>
      <c r="G1499" t="s">
        <v>1349</v>
      </c>
      <c r="H1499" t="s">
        <v>54</v>
      </c>
      <c r="I1499">
        <v>6958012</v>
      </c>
      <c r="J1499" s="12">
        <v>46118</v>
      </c>
      <c r="K1499" s="12">
        <v>46118</v>
      </c>
      <c r="L1499" s="12">
        <v>46118</v>
      </c>
      <c r="M1499">
        <v>14</v>
      </c>
      <c r="N1499">
        <v>-37337274</v>
      </c>
      <c r="O1499">
        <v>-37337274</v>
      </c>
      <c r="P1499">
        <v>0</v>
      </c>
      <c r="Q1499">
        <v>-37337274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 t="s">
        <v>47</v>
      </c>
      <c r="AA1499" t="s">
        <v>1062</v>
      </c>
      <c r="AB1499" t="s">
        <v>51</v>
      </c>
      <c r="AC1499" t="s">
        <v>51</v>
      </c>
      <c r="AD1499" t="s">
        <v>51</v>
      </c>
      <c r="AE1499" t="s">
        <v>51</v>
      </c>
      <c r="AF1499" t="s">
        <v>312</v>
      </c>
    </row>
    <row r="1500" spans="1:32" ht="14.5" customHeight="1" x14ac:dyDescent="0.35">
      <c r="A1500" t="s">
        <v>84</v>
      </c>
      <c r="B1500" t="s">
        <v>85</v>
      </c>
      <c r="C1500" t="s">
        <v>47</v>
      </c>
      <c r="D1500">
        <v>3001420</v>
      </c>
      <c r="E1500">
        <v>3100698</v>
      </c>
      <c r="F1500" t="s">
        <v>10</v>
      </c>
      <c r="G1500" t="s">
        <v>1343</v>
      </c>
      <c r="H1500" t="s">
        <v>54</v>
      </c>
      <c r="I1500">
        <v>6958013</v>
      </c>
      <c r="J1500" s="12">
        <v>46118</v>
      </c>
      <c r="K1500" s="12">
        <v>46118</v>
      </c>
      <c r="L1500" s="12">
        <v>46118</v>
      </c>
      <c r="M1500">
        <v>14</v>
      </c>
      <c r="N1500">
        <v>-62199484</v>
      </c>
      <c r="O1500">
        <v>-62199484</v>
      </c>
      <c r="P1500">
        <v>0</v>
      </c>
      <c r="Q1500">
        <v>-62199484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 t="s">
        <v>47</v>
      </c>
      <c r="AA1500" t="s">
        <v>1062</v>
      </c>
      <c r="AB1500" t="s">
        <v>51</v>
      </c>
      <c r="AC1500" t="s">
        <v>51</v>
      </c>
      <c r="AD1500" t="s">
        <v>51</v>
      </c>
      <c r="AE1500" t="s">
        <v>51</v>
      </c>
      <c r="AF1500" t="s">
        <v>312</v>
      </c>
    </row>
    <row r="1501" spans="1:32" ht="14.5" customHeight="1" x14ac:dyDescent="0.35">
      <c r="A1501" t="s">
        <v>84</v>
      </c>
      <c r="B1501" t="s">
        <v>85</v>
      </c>
      <c r="C1501" t="s">
        <v>47</v>
      </c>
      <c r="D1501">
        <v>3001420</v>
      </c>
      <c r="E1501">
        <v>3100700</v>
      </c>
      <c r="F1501" t="s">
        <v>10</v>
      </c>
      <c r="G1501" t="s">
        <v>1350</v>
      </c>
      <c r="H1501" t="s">
        <v>54</v>
      </c>
      <c r="I1501">
        <v>6958014</v>
      </c>
      <c r="J1501" s="12">
        <v>46118</v>
      </c>
      <c r="K1501" s="12">
        <v>46118</v>
      </c>
      <c r="L1501" s="12">
        <v>46118</v>
      </c>
      <c r="M1501">
        <v>14</v>
      </c>
      <c r="N1501">
        <v>-26942462</v>
      </c>
      <c r="O1501">
        <v>-26942462</v>
      </c>
      <c r="P1501">
        <v>0</v>
      </c>
      <c r="Q1501">
        <v>-26942462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 t="s">
        <v>47</v>
      </c>
      <c r="AA1501" t="s">
        <v>1062</v>
      </c>
      <c r="AB1501" t="s">
        <v>51</v>
      </c>
      <c r="AC1501" t="s">
        <v>51</v>
      </c>
      <c r="AD1501" t="s">
        <v>51</v>
      </c>
      <c r="AE1501" t="s">
        <v>51</v>
      </c>
      <c r="AF1501" t="s">
        <v>312</v>
      </c>
    </row>
    <row r="1502" spans="1:32" ht="14.5" customHeight="1" x14ac:dyDescent="0.35">
      <c r="A1502" t="s">
        <v>84</v>
      </c>
      <c r="B1502" t="s">
        <v>85</v>
      </c>
      <c r="C1502" t="s">
        <v>47</v>
      </c>
      <c r="D1502">
        <v>3001420</v>
      </c>
      <c r="E1502">
        <v>3100702</v>
      </c>
      <c r="F1502" t="s">
        <v>10</v>
      </c>
      <c r="G1502" t="s">
        <v>1351</v>
      </c>
      <c r="H1502" t="s">
        <v>54</v>
      </c>
      <c r="I1502">
        <v>6958015</v>
      </c>
      <c r="J1502" s="12">
        <v>46118</v>
      </c>
      <c r="K1502" s="12">
        <v>46118</v>
      </c>
      <c r="L1502" s="12">
        <v>46118</v>
      </c>
      <c r="M1502">
        <v>14</v>
      </c>
      <c r="N1502">
        <v>-49533253</v>
      </c>
      <c r="O1502">
        <v>-49533253</v>
      </c>
      <c r="P1502">
        <v>0</v>
      </c>
      <c r="Q1502">
        <v>-49533253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 t="s">
        <v>47</v>
      </c>
      <c r="AA1502" t="s">
        <v>1062</v>
      </c>
      <c r="AB1502" t="s">
        <v>51</v>
      </c>
      <c r="AC1502" t="s">
        <v>51</v>
      </c>
      <c r="AD1502" t="s">
        <v>51</v>
      </c>
      <c r="AE1502" t="s">
        <v>51</v>
      </c>
      <c r="AF1502" t="s">
        <v>660</v>
      </c>
    </row>
    <row r="1503" spans="1:32" ht="14.5" customHeight="1" x14ac:dyDescent="0.35">
      <c r="A1503" t="s">
        <v>84</v>
      </c>
      <c r="B1503" t="s">
        <v>85</v>
      </c>
      <c r="C1503" t="s">
        <v>846</v>
      </c>
      <c r="D1503">
        <v>3001420</v>
      </c>
      <c r="E1503">
        <v>3100745</v>
      </c>
      <c r="F1503" t="s">
        <v>10</v>
      </c>
      <c r="G1503" t="s">
        <v>1314</v>
      </c>
      <c r="H1503" t="s">
        <v>111</v>
      </c>
      <c r="I1503">
        <v>6958260</v>
      </c>
      <c r="J1503" s="12">
        <v>46120</v>
      </c>
      <c r="K1503" s="12">
        <v>46120</v>
      </c>
      <c r="L1503" s="12">
        <v>46120</v>
      </c>
      <c r="M1503">
        <v>12</v>
      </c>
      <c r="N1503">
        <v>-937515</v>
      </c>
      <c r="O1503">
        <v>-937515</v>
      </c>
      <c r="P1503">
        <v>0</v>
      </c>
      <c r="Q1503">
        <v>-937515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 t="s">
        <v>846</v>
      </c>
      <c r="AA1503" t="s">
        <v>1062</v>
      </c>
      <c r="AB1503" t="s">
        <v>51</v>
      </c>
      <c r="AC1503" t="s">
        <v>51</v>
      </c>
      <c r="AD1503" t="s">
        <v>51</v>
      </c>
      <c r="AE1503" t="s">
        <v>51</v>
      </c>
      <c r="AF1503" t="s">
        <v>1352</v>
      </c>
    </row>
    <row r="1504" spans="1:32" ht="14.5" customHeight="1" x14ac:dyDescent="0.35">
      <c r="A1504" t="s">
        <v>84</v>
      </c>
      <c r="B1504" t="s">
        <v>85</v>
      </c>
      <c r="C1504" t="s">
        <v>846</v>
      </c>
      <c r="D1504">
        <v>3001420</v>
      </c>
      <c r="E1504">
        <v>3100680</v>
      </c>
      <c r="F1504" t="s">
        <v>10</v>
      </c>
      <c r="G1504" t="s">
        <v>1309</v>
      </c>
      <c r="H1504" t="s">
        <v>111</v>
      </c>
      <c r="I1504">
        <v>6958261</v>
      </c>
      <c r="J1504" s="12">
        <v>46120</v>
      </c>
      <c r="K1504" s="12">
        <v>46120</v>
      </c>
      <c r="L1504" s="12">
        <v>46120</v>
      </c>
      <c r="M1504">
        <v>12</v>
      </c>
      <c r="N1504">
        <v>-1328883</v>
      </c>
      <c r="O1504">
        <v>-1328883</v>
      </c>
      <c r="P1504">
        <v>0</v>
      </c>
      <c r="Q1504">
        <v>-1328883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 t="s">
        <v>846</v>
      </c>
      <c r="AA1504" t="s">
        <v>1062</v>
      </c>
      <c r="AB1504" t="s">
        <v>51</v>
      </c>
      <c r="AC1504" t="s">
        <v>51</v>
      </c>
      <c r="AD1504" t="s">
        <v>51</v>
      </c>
      <c r="AE1504" t="s">
        <v>51</v>
      </c>
      <c r="AF1504" t="s">
        <v>352</v>
      </c>
    </row>
    <row r="1505" spans="1:32" ht="14.5" customHeight="1" x14ac:dyDescent="0.35">
      <c r="A1505" t="s">
        <v>84</v>
      </c>
      <c r="B1505" t="s">
        <v>85</v>
      </c>
      <c r="C1505" t="s">
        <v>846</v>
      </c>
      <c r="D1505">
        <v>3001420</v>
      </c>
      <c r="E1505">
        <v>3100680</v>
      </c>
      <c r="F1505" t="s">
        <v>10</v>
      </c>
      <c r="G1505" t="s">
        <v>1309</v>
      </c>
      <c r="H1505" t="s">
        <v>111</v>
      </c>
      <c r="I1505">
        <v>6958262</v>
      </c>
      <c r="J1505" s="12">
        <v>46120</v>
      </c>
      <c r="K1505" s="12">
        <v>46120</v>
      </c>
      <c r="L1505" s="12">
        <v>46120</v>
      </c>
      <c r="M1505">
        <v>12</v>
      </c>
      <c r="N1505">
        <v>-352461</v>
      </c>
      <c r="O1505">
        <v>-352461</v>
      </c>
      <c r="P1505">
        <v>0</v>
      </c>
      <c r="Q1505">
        <v>-352461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 t="s">
        <v>846</v>
      </c>
      <c r="AA1505" t="s">
        <v>1062</v>
      </c>
      <c r="AB1505" t="s">
        <v>51</v>
      </c>
      <c r="AC1505" t="s">
        <v>51</v>
      </c>
      <c r="AD1505" t="s">
        <v>51</v>
      </c>
      <c r="AE1505" t="s">
        <v>51</v>
      </c>
      <c r="AF1505" t="s">
        <v>172</v>
      </c>
    </row>
    <row r="1506" spans="1:32" ht="14.5" customHeight="1" x14ac:dyDescent="0.35">
      <c r="A1506" t="s">
        <v>84</v>
      </c>
      <c r="B1506" t="s">
        <v>85</v>
      </c>
      <c r="C1506" t="s">
        <v>846</v>
      </c>
      <c r="D1506">
        <v>3001420</v>
      </c>
      <c r="E1506">
        <v>3100764</v>
      </c>
      <c r="F1506" t="s">
        <v>10</v>
      </c>
      <c r="G1506" t="s">
        <v>1346</v>
      </c>
      <c r="H1506" t="s">
        <v>111</v>
      </c>
      <c r="I1506">
        <v>6958266</v>
      </c>
      <c r="J1506" s="12">
        <v>46120</v>
      </c>
      <c r="K1506" s="12">
        <v>46120</v>
      </c>
      <c r="L1506" s="12">
        <v>46120</v>
      </c>
      <c r="M1506">
        <v>12</v>
      </c>
      <c r="N1506">
        <v>-30446743</v>
      </c>
      <c r="O1506">
        <v>-30446743</v>
      </c>
      <c r="P1506">
        <v>0</v>
      </c>
      <c r="Q1506">
        <v>-30446743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 t="s">
        <v>846</v>
      </c>
      <c r="AA1506" t="s">
        <v>1062</v>
      </c>
      <c r="AB1506" t="s">
        <v>51</v>
      </c>
      <c r="AC1506" t="s">
        <v>51</v>
      </c>
      <c r="AD1506" t="s">
        <v>51</v>
      </c>
      <c r="AE1506" t="s">
        <v>51</v>
      </c>
      <c r="AF1506" t="s">
        <v>1134</v>
      </c>
    </row>
    <row r="1507" spans="1:32" ht="14.5" customHeight="1" x14ac:dyDescent="0.35">
      <c r="A1507" t="s">
        <v>84</v>
      </c>
      <c r="B1507" t="s">
        <v>85</v>
      </c>
      <c r="C1507" t="s">
        <v>47</v>
      </c>
      <c r="D1507">
        <v>3001420</v>
      </c>
      <c r="E1507">
        <v>3100744</v>
      </c>
      <c r="F1507" t="s">
        <v>10</v>
      </c>
      <c r="G1507" t="s">
        <v>1314</v>
      </c>
      <c r="H1507" t="s">
        <v>54</v>
      </c>
      <c r="I1507">
        <v>6958366</v>
      </c>
      <c r="J1507" s="12">
        <v>46121</v>
      </c>
      <c r="K1507" s="12">
        <v>46121</v>
      </c>
      <c r="L1507" s="12">
        <v>46121</v>
      </c>
      <c r="M1507">
        <v>11</v>
      </c>
      <c r="N1507">
        <v>-16205200</v>
      </c>
      <c r="O1507">
        <v>-16205200</v>
      </c>
      <c r="P1507">
        <v>0</v>
      </c>
      <c r="Q1507">
        <v>-16205200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 t="s">
        <v>47</v>
      </c>
      <c r="AA1507" t="s">
        <v>1062</v>
      </c>
      <c r="AB1507" t="s">
        <v>51</v>
      </c>
      <c r="AC1507" t="s">
        <v>51</v>
      </c>
      <c r="AD1507" t="s">
        <v>51</v>
      </c>
      <c r="AE1507" t="s">
        <v>51</v>
      </c>
      <c r="AF1507" t="s">
        <v>1353</v>
      </c>
    </row>
    <row r="1508" spans="1:32" ht="14.5" customHeight="1" x14ac:dyDescent="0.35">
      <c r="A1508" t="s">
        <v>84</v>
      </c>
      <c r="B1508" t="s">
        <v>85</v>
      </c>
      <c r="C1508" t="s">
        <v>47</v>
      </c>
      <c r="D1508">
        <v>3001420</v>
      </c>
      <c r="E1508">
        <v>3100679</v>
      </c>
      <c r="F1508" t="s">
        <v>10</v>
      </c>
      <c r="G1508" t="s">
        <v>1309</v>
      </c>
      <c r="H1508" t="s">
        <v>54</v>
      </c>
      <c r="I1508">
        <v>6958435</v>
      </c>
      <c r="J1508" s="12">
        <v>46121</v>
      </c>
      <c r="K1508" s="12">
        <v>46121</v>
      </c>
      <c r="L1508" s="12">
        <v>46121</v>
      </c>
      <c r="M1508">
        <v>11</v>
      </c>
      <c r="N1508">
        <v>-468011</v>
      </c>
      <c r="O1508">
        <v>-468011</v>
      </c>
      <c r="P1508">
        <v>0</v>
      </c>
      <c r="Q1508">
        <v>-468011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 t="s">
        <v>47</v>
      </c>
      <c r="AA1508" t="s">
        <v>1062</v>
      </c>
      <c r="AB1508" t="s">
        <v>51</v>
      </c>
      <c r="AC1508" t="s">
        <v>51</v>
      </c>
      <c r="AD1508" t="s">
        <v>51</v>
      </c>
      <c r="AE1508" t="s">
        <v>51</v>
      </c>
      <c r="AF1508" t="s">
        <v>1319</v>
      </c>
    </row>
    <row r="1509" spans="1:32" ht="14.5" customHeight="1" x14ac:dyDescent="0.35">
      <c r="A1509" t="s">
        <v>84</v>
      </c>
      <c r="B1509" t="s">
        <v>85</v>
      </c>
      <c r="C1509" t="s">
        <v>47</v>
      </c>
      <c r="D1509">
        <v>3001420</v>
      </c>
      <c r="E1509">
        <v>3100698</v>
      </c>
      <c r="F1509" t="s">
        <v>10</v>
      </c>
      <c r="G1509" t="s">
        <v>1343</v>
      </c>
      <c r="H1509" t="s">
        <v>54</v>
      </c>
      <c r="I1509">
        <v>6958436</v>
      </c>
      <c r="J1509" s="12">
        <v>46121</v>
      </c>
      <c r="K1509" s="12">
        <v>46121</v>
      </c>
      <c r="L1509" s="12">
        <v>46121</v>
      </c>
      <c r="M1509">
        <v>11</v>
      </c>
      <c r="N1509">
        <v>-8607693</v>
      </c>
      <c r="O1509">
        <v>-8607693</v>
      </c>
      <c r="P1509">
        <v>0</v>
      </c>
      <c r="Q1509">
        <v>-8607693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 t="s">
        <v>47</v>
      </c>
      <c r="AA1509" t="s">
        <v>1062</v>
      </c>
      <c r="AB1509" t="s">
        <v>51</v>
      </c>
      <c r="AC1509" t="s">
        <v>51</v>
      </c>
      <c r="AD1509" t="s">
        <v>51</v>
      </c>
      <c r="AE1509" t="s">
        <v>51</v>
      </c>
      <c r="AF1509" t="s">
        <v>1354</v>
      </c>
    </row>
    <row r="1510" spans="1:32" ht="14.5" customHeight="1" x14ac:dyDescent="0.35">
      <c r="A1510" t="s">
        <v>84</v>
      </c>
      <c r="B1510" t="s">
        <v>85</v>
      </c>
      <c r="C1510" t="s">
        <v>47</v>
      </c>
      <c r="D1510">
        <v>3001420</v>
      </c>
      <c r="E1510">
        <v>3100698</v>
      </c>
      <c r="F1510" t="s">
        <v>10</v>
      </c>
      <c r="G1510" t="s">
        <v>1343</v>
      </c>
      <c r="H1510" t="s">
        <v>54</v>
      </c>
      <c r="I1510">
        <v>6958437</v>
      </c>
      <c r="J1510" s="12">
        <v>46121</v>
      </c>
      <c r="K1510" s="12">
        <v>46121</v>
      </c>
      <c r="L1510" s="12">
        <v>46121</v>
      </c>
      <c r="M1510">
        <v>11</v>
      </c>
      <c r="N1510">
        <v>-3445112</v>
      </c>
      <c r="O1510">
        <v>-3445112</v>
      </c>
      <c r="P1510">
        <v>0</v>
      </c>
      <c r="Q1510">
        <v>-3445112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 t="s">
        <v>47</v>
      </c>
      <c r="AA1510" t="s">
        <v>1062</v>
      </c>
      <c r="AB1510" t="s">
        <v>51</v>
      </c>
      <c r="AC1510" t="s">
        <v>51</v>
      </c>
      <c r="AD1510" t="s">
        <v>51</v>
      </c>
      <c r="AE1510" t="s">
        <v>51</v>
      </c>
      <c r="AF1510" t="s">
        <v>1354</v>
      </c>
    </row>
    <row r="1511" spans="1:32" ht="14.5" customHeight="1" x14ac:dyDescent="0.35">
      <c r="A1511" t="s">
        <v>84</v>
      </c>
      <c r="B1511" t="s">
        <v>85</v>
      </c>
      <c r="C1511" t="s">
        <v>47</v>
      </c>
      <c r="D1511">
        <v>3001420</v>
      </c>
      <c r="E1511">
        <v>3100698</v>
      </c>
      <c r="F1511" t="s">
        <v>10</v>
      </c>
      <c r="G1511" t="s">
        <v>1343</v>
      </c>
      <c r="H1511" t="s">
        <v>54</v>
      </c>
      <c r="I1511">
        <v>6958438</v>
      </c>
      <c r="J1511" s="12">
        <v>46121</v>
      </c>
      <c r="K1511" s="12">
        <v>46121</v>
      </c>
      <c r="L1511" s="12">
        <v>46121</v>
      </c>
      <c r="M1511">
        <v>11</v>
      </c>
      <c r="N1511">
        <v>-1900690</v>
      </c>
      <c r="O1511">
        <v>-1900690</v>
      </c>
      <c r="P1511">
        <v>0</v>
      </c>
      <c r="Q1511">
        <v>-1900690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 t="s">
        <v>47</v>
      </c>
      <c r="AA1511" t="s">
        <v>1062</v>
      </c>
      <c r="AB1511" t="s">
        <v>51</v>
      </c>
      <c r="AC1511" t="s">
        <v>51</v>
      </c>
      <c r="AD1511" t="s">
        <v>51</v>
      </c>
      <c r="AE1511" t="s">
        <v>51</v>
      </c>
      <c r="AF1511" t="s">
        <v>1354</v>
      </c>
    </row>
    <row r="1512" spans="1:32" ht="14.5" customHeight="1" x14ac:dyDescent="0.35">
      <c r="A1512" t="s">
        <v>84</v>
      </c>
      <c r="B1512" t="s">
        <v>85</v>
      </c>
      <c r="C1512" t="s">
        <v>47</v>
      </c>
      <c r="D1512">
        <v>3001420</v>
      </c>
      <c r="E1512">
        <v>3100698</v>
      </c>
      <c r="F1512" t="s">
        <v>10</v>
      </c>
      <c r="G1512" t="s">
        <v>1343</v>
      </c>
      <c r="H1512" t="s">
        <v>54</v>
      </c>
      <c r="I1512">
        <v>6958439</v>
      </c>
      <c r="J1512" s="12">
        <v>46121</v>
      </c>
      <c r="K1512" s="12">
        <v>46121</v>
      </c>
      <c r="L1512" s="12">
        <v>46121</v>
      </c>
      <c r="M1512">
        <v>11</v>
      </c>
      <c r="N1512">
        <v>-821406</v>
      </c>
      <c r="O1512">
        <v>-821406</v>
      </c>
      <c r="P1512">
        <v>0</v>
      </c>
      <c r="Q1512">
        <v>-821406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 t="s">
        <v>47</v>
      </c>
      <c r="AA1512" t="s">
        <v>1062</v>
      </c>
      <c r="AB1512" t="s">
        <v>51</v>
      </c>
      <c r="AC1512" t="s">
        <v>51</v>
      </c>
      <c r="AD1512" t="s">
        <v>51</v>
      </c>
      <c r="AE1512" t="s">
        <v>51</v>
      </c>
      <c r="AF1512" t="s">
        <v>1354</v>
      </c>
    </row>
    <row r="1513" spans="1:32" ht="14.5" customHeight="1" x14ac:dyDescent="0.35">
      <c r="A1513" t="s">
        <v>84</v>
      </c>
      <c r="B1513" t="s">
        <v>85</v>
      </c>
      <c r="C1513" t="s">
        <v>47</v>
      </c>
      <c r="D1513">
        <v>3001420</v>
      </c>
      <c r="E1513">
        <v>3100744</v>
      </c>
      <c r="F1513" t="s">
        <v>10</v>
      </c>
      <c r="G1513" t="s">
        <v>1314</v>
      </c>
      <c r="H1513" t="s">
        <v>54</v>
      </c>
      <c r="I1513">
        <v>6958441</v>
      </c>
      <c r="J1513" s="12">
        <v>46121</v>
      </c>
      <c r="K1513" s="12">
        <v>46121</v>
      </c>
      <c r="L1513" s="12">
        <v>46121</v>
      </c>
      <c r="M1513">
        <v>11</v>
      </c>
      <c r="N1513">
        <v>-9810000</v>
      </c>
      <c r="O1513">
        <v>-9810000</v>
      </c>
      <c r="P1513">
        <v>0</v>
      </c>
      <c r="Q1513">
        <v>-9810000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 t="s">
        <v>47</v>
      </c>
      <c r="AA1513" t="s">
        <v>1062</v>
      </c>
      <c r="AB1513" t="s">
        <v>51</v>
      </c>
      <c r="AC1513" t="s">
        <v>51</v>
      </c>
      <c r="AD1513" t="s">
        <v>51</v>
      </c>
      <c r="AE1513" t="s">
        <v>51</v>
      </c>
      <c r="AF1513" t="s">
        <v>1315</v>
      </c>
    </row>
    <row r="1514" spans="1:32" ht="14.5" customHeight="1" x14ac:dyDescent="0.35">
      <c r="A1514" t="s">
        <v>84</v>
      </c>
      <c r="B1514" t="s">
        <v>85</v>
      </c>
      <c r="C1514" t="s">
        <v>47</v>
      </c>
      <c r="D1514">
        <v>3001420</v>
      </c>
      <c r="E1514">
        <v>3100761</v>
      </c>
      <c r="F1514" t="s">
        <v>10</v>
      </c>
      <c r="G1514" t="s">
        <v>1344</v>
      </c>
      <c r="H1514" t="s">
        <v>54</v>
      </c>
      <c r="I1514">
        <v>6958442</v>
      </c>
      <c r="J1514" s="12">
        <v>46121</v>
      </c>
      <c r="K1514" s="12">
        <v>46121</v>
      </c>
      <c r="L1514" s="12">
        <v>46121</v>
      </c>
      <c r="M1514">
        <v>11</v>
      </c>
      <c r="N1514">
        <v>-22709986</v>
      </c>
      <c r="O1514">
        <v>-22709986</v>
      </c>
      <c r="P1514">
        <v>0</v>
      </c>
      <c r="Q1514">
        <v>-22709986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 t="s">
        <v>47</v>
      </c>
      <c r="AA1514" t="s">
        <v>1062</v>
      </c>
      <c r="AB1514" t="s">
        <v>51</v>
      </c>
      <c r="AC1514" t="s">
        <v>51</v>
      </c>
      <c r="AD1514" t="s">
        <v>51</v>
      </c>
      <c r="AE1514" t="s">
        <v>51</v>
      </c>
      <c r="AF1514" t="s">
        <v>1355</v>
      </c>
    </row>
    <row r="1515" spans="1:32" ht="14.5" customHeight="1" x14ac:dyDescent="0.35">
      <c r="A1515" t="s">
        <v>84</v>
      </c>
      <c r="B1515" t="s">
        <v>85</v>
      </c>
      <c r="C1515" t="s">
        <v>47</v>
      </c>
      <c r="D1515">
        <v>3001420</v>
      </c>
      <c r="E1515">
        <v>3100761</v>
      </c>
      <c r="F1515" t="s">
        <v>10</v>
      </c>
      <c r="G1515" t="s">
        <v>1344</v>
      </c>
      <c r="H1515" t="s">
        <v>54</v>
      </c>
      <c r="I1515">
        <v>6958443</v>
      </c>
      <c r="J1515" s="12">
        <v>46121</v>
      </c>
      <c r="K1515" s="12">
        <v>46121</v>
      </c>
      <c r="L1515" s="12">
        <v>46121</v>
      </c>
      <c r="M1515">
        <v>11</v>
      </c>
      <c r="N1515">
        <v>-958925</v>
      </c>
      <c r="O1515">
        <v>-958925</v>
      </c>
      <c r="P1515">
        <v>0</v>
      </c>
      <c r="Q1515">
        <v>-958925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 t="s">
        <v>47</v>
      </c>
      <c r="AA1515" t="s">
        <v>1062</v>
      </c>
      <c r="AB1515" t="s">
        <v>51</v>
      </c>
      <c r="AC1515" t="s">
        <v>51</v>
      </c>
      <c r="AD1515" t="s">
        <v>51</v>
      </c>
      <c r="AE1515" t="s">
        <v>51</v>
      </c>
      <c r="AF1515" t="s">
        <v>1356</v>
      </c>
    </row>
    <row r="1516" spans="1:32" ht="14.5" customHeight="1" x14ac:dyDescent="0.35">
      <c r="A1516" t="s">
        <v>84</v>
      </c>
      <c r="B1516" t="s">
        <v>85</v>
      </c>
      <c r="C1516" t="s">
        <v>47</v>
      </c>
      <c r="D1516">
        <v>3001420</v>
      </c>
      <c r="E1516">
        <v>3100763</v>
      </c>
      <c r="F1516" t="s">
        <v>10</v>
      </c>
      <c r="G1516" t="s">
        <v>1346</v>
      </c>
      <c r="H1516" t="s">
        <v>54</v>
      </c>
      <c r="I1516">
        <v>6958444</v>
      </c>
      <c r="J1516" s="12">
        <v>46121</v>
      </c>
      <c r="K1516" s="12">
        <v>46121</v>
      </c>
      <c r="L1516" s="12">
        <v>46121</v>
      </c>
      <c r="M1516">
        <v>11</v>
      </c>
      <c r="N1516">
        <v>-736653</v>
      </c>
      <c r="O1516">
        <v>-736653</v>
      </c>
      <c r="P1516">
        <v>0</v>
      </c>
      <c r="Q1516">
        <v>-736653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 t="s">
        <v>47</v>
      </c>
      <c r="AA1516" t="s">
        <v>1062</v>
      </c>
      <c r="AB1516" t="s">
        <v>51</v>
      </c>
      <c r="AC1516" t="s">
        <v>51</v>
      </c>
      <c r="AD1516" t="s">
        <v>51</v>
      </c>
      <c r="AE1516" t="s">
        <v>51</v>
      </c>
      <c r="AF1516" t="s">
        <v>1357</v>
      </c>
    </row>
    <row r="1517" spans="1:32" ht="14.5" customHeight="1" x14ac:dyDescent="0.35">
      <c r="A1517" t="s">
        <v>84</v>
      </c>
      <c r="B1517" t="s">
        <v>85</v>
      </c>
      <c r="C1517" t="s">
        <v>47</v>
      </c>
      <c r="D1517">
        <v>3001420</v>
      </c>
      <c r="E1517">
        <v>3100763</v>
      </c>
      <c r="F1517" t="s">
        <v>10</v>
      </c>
      <c r="G1517" t="s">
        <v>1346</v>
      </c>
      <c r="H1517" t="s">
        <v>54</v>
      </c>
      <c r="I1517">
        <v>6958445</v>
      </c>
      <c r="J1517" s="12">
        <v>46121</v>
      </c>
      <c r="K1517" s="12">
        <v>46121</v>
      </c>
      <c r="L1517" s="12">
        <v>46121</v>
      </c>
      <c r="M1517">
        <v>11</v>
      </c>
      <c r="N1517">
        <v>-722902</v>
      </c>
      <c r="O1517">
        <v>-722902</v>
      </c>
      <c r="P1517">
        <v>0</v>
      </c>
      <c r="Q1517">
        <v>-722902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 t="s">
        <v>47</v>
      </c>
      <c r="AA1517" t="s">
        <v>1062</v>
      </c>
      <c r="AB1517" t="s">
        <v>51</v>
      </c>
      <c r="AC1517" t="s">
        <v>51</v>
      </c>
      <c r="AD1517" t="s">
        <v>51</v>
      </c>
      <c r="AE1517" t="s">
        <v>51</v>
      </c>
      <c r="AF1517" t="s">
        <v>1358</v>
      </c>
    </row>
    <row r="1518" spans="1:32" ht="14.5" customHeight="1" x14ac:dyDescent="0.35">
      <c r="A1518" t="s">
        <v>84</v>
      </c>
      <c r="B1518" t="s">
        <v>85</v>
      </c>
      <c r="C1518" t="s">
        <v>47</v>
      </c>
      <c r="D1518">
        <v>3001420</v>
      </c>
      <c r="E1518">
        <v>3100763</v>
      </c>
      <c r="F1518" t="s">
        <v>10</v>
      </c>
      <c r="G1518" t="s">
        <v>1346</v>
      </c>
      <c r="H1518" t="s">
        <v>54</v>
      </c>
      <c r="I1518">
        <v>6958446</v>
      </c>
      <c r="J1518" s="12">
        <v>46121</v>
      </c>
      <c r="K1518" s="12">
        <v>46121</v>
      </c>
      <c r="L1518" s="12">
        <v>46121</v>
      </c>
      <c r="M1518">
        <v>11</v>
      </c>
      <c r="N1518">
        <v>-78135</v>
      </c>
      <c r="O1518">
        <v>-78135</v>
      </c>
      <c r="P1518">
        <v>0</v>
      </c>
      <c r="Q1518">
        <v>-78135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 t="s">
        <v>47</v>
      </c>
      <c r="AA1518" t="s">
        <v>1062</v>
      </c>
      <c r="AB1518" t="s">
        <v>51</v>
      </c>
      <c r="AC1518" t="s">
        <v>51</v>
      </c>
      <c r="AD1518" t="s">
        <v>51</v>
      </c>
      <c r="AE1518" t="s">
        <v>51</v>
      </c>
      <c r="AF1518" t="s">
        <v>1358</v>
      </c>
    </row>
    <row r="1519" spans="1:32" ht="14.5" customHeight="1" x14ac:dyDescent="0.35">
      <c r="A1519" t="s">
        <v>84</v>
      </c>
      <c r="B1519" t="s">
        <v>85</v>
      </c>
      <c r="C1519" t="s">
        <v>47</v>
      </c>
      <c r="D1519">
        <v>3001420</v>
      </c>
      <c r="E1519">
        <v>3100763</v>
      </c>
      <c r="F1519" t="s">
        <v>10</v>
      </c>
      <c r="G1519" t="s">
        <v>1346</v>
      </c>
      <c r="H1519" t="s">
        <v>54</v>
      </c>
      <c r="I1519">
        <v>6958447</v>
      </c>
      <c r="J1519" s="12">
        <v>46121</v>
      </c>
      <c r="K1519" s="12">
        <v>46121</v>
      </c>
      <c r="L1519" s="12">
        <v>46121</v>
      </c>
      <c r="M1519">
        <v>11</v>
      </c>
      <c r="N1519">
        <v>-65450</v>
      </c>
      <c r="O1519">
        <v>-65450</v>
      </c>
      <c r="P1519">
        <v>0</v>
      </c>
      <c r="Q1519">
        <v>-65450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 t="s">
        <v>47</v>
      </c>
      <c r="AA1519" t="s">
        <v>1062</v>
      </c>
      <c r="AB1519" t="s">
        <v>51</v>
      </c>
      <c r="AC1519" t="s">
        <v>51</v>
      </c>
      <c r="AD1519" t="s">
        <v>51</v>
      </c>
      <c r="AE1519" t="s">
        <v>51</v>
      </c>
      <c r="AF1519" t="s">
        <v>1358</v>
      </c>
    </row>
    <row r="1520" spans="1:32" ht="14.5" customHeight="1" x14ac:dyDescent="0.35">
      <c r="A1520" t="s">
        <v>84</v>
      </c>
      <c r="B1520" t="s">
        <v>85</v>
      </c>
      <c r="C1520" t="s">
        <v>47</v>
      </c>
      <c r="D1520">
        <v>3001420</v>
      </c>
      <c r="E1520">
        <v>3100763</v>
      </c>
      <c r="F1520" t="s">
        <v>10</v>
      </c>
      <c r="G1520" t="s">
        <v>1346</v>
      </c>
      <c r="H1520" t="s">
        <v>54</v>
      </c>
      <c r="I1520">
        <v>6958448</v>
      </c>
      <c r="J1520" s="12">
        <v>46121</v>
      </c>
      <c r="K1520" s="12">
        <v>46121</v>
      </c>
      <c r="L1520" s="12">
        <v>46121</v>
      </c>
      <c r="M1520">
        <v>11</v>
      </c>
      <c r="N1520">
        <v>-560476</v>
      </c>
      <c r="O1520">
        <v>-560476</v>
      </c>
      <c r="P1520">
        <v>0</v>
      </c>
      <c r="Q1520">
        <v>-560476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 t="s">
        <v>47</v>
      </c>
      <c r="AA1520" t="s">
        <v>1062</v>
      </c>
      <c r="AB1520" t="s">
        <v>51</v>
      </c>
      <c r="AC1520" t="s">
        <v>51</v>
      </c>
      <c r="AD1520" t="s">
        <v>51</v>
      </c>
      <c r="AE1520" t="s">
        <v>51</v>
      </c>
      <c r="AF1520" t="s">
        <v>1358</v>
      </c>
    </row>
    <row r="1521" spans="1:32" ht="14.5" customHeight="1" x14ac:dyDescent="0.35">
      <c r="A1521" t="s">
        <v>84</v>
      </c>
      <c r="B1521" t="s">
        <v>85</v>
      </c>
      <c r="C1521" t="s">
        <v>47</v>
      </c>
      <c r="D1521">
        <v>3001420</v>
      </c>
      <c r="E1521">
        <v>3100763</v>
      </c>
      <c r="F1521" t="s">
        <v>10</v>
      </c>
      <c r="G1521" t="s">
        <v>1346</v>
      </c>
      <c r="H1521" t="s">
        <v>54</v>
      </c>
      <c r="I1521">
        <v>6958449</v>
      </c>
      <c r="J1521" s="12">
        <v>46121</v>
      </c>
      <c r="K1521" s="12">
        <v>46121</v>
      </c>
      <c r="L1521" s="12">
        <v>46121</v>
      </c>
      <c r="M1521">
        <v>11</v>
      </c>
      <c r="N1521">
        <v>-818097</v>
      </c>
      <c r="O1521">
        <v>-818097</v>
      </c>
      <c r="P1521">
        <v>0</v>
      </c>
      <c r="Q1521">
        <v>-818097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 t="s">
        <v>47</v>
      </c>
      <c r="AA1521" t="s">
        <v>1062</v>
      </c>
      <c r="AB1521" t="s">
        <v>51</v>
      </c>
      <c r="AC1521" t="s">
        <v>51</v>
      </c>
      <c r="AD1521" t="s">
        <v>51</v>
      </c>
      <c r="AE1521" t="s">
        <v>51</v>
      </c>
      <c r="AF1521" t="s">
        <v>1359</v>
      </c>
    </row>
    <row r="1522" spans="1:32" ht="14.5" customHeight="1" x14ac:dyDescent="0.35">
      <c r="A1522" t="s">
        <v>84</v>
      </c>
      <c r="B1522" t="s">
        <v>85</v>
      </c>
      <c r="C1522" t="s">
        <v>47</v>
      </c>
      <c r="D1522">
        <v>3001420</v>
      </c>
      <c r="E1522">
        <v>3100763</v>
      </c>
      <c r="F1522" t="s">
        <v>10</v>
      </c>
      <c r="G1522" t="s">
        <v>1346</v>
      </c>
      <c r="H1522" t="s">
        <v>54</v>
      </c>
      <c r="I1522">
        <v>6958450</v>
      </c>
      <c r="J1522" s="12">
        <v>46121</v>
      </c>
      <c r="K1522" s="12">
        <v>46121</v>
      </c>
      <c r="L1522" s="12">
        <v>46121</v>
      </c>
      <c r="M1522">
        <v>11</v>
      </c>
      <c r="N1522">
        <v>-188629</v>
      </c>
      <c r="O1522">
        <v>-188629</v>
      </c>
      <c r="P1522">
        <v>0</v>
      </c>
      <c r="Q1522">
        <v>-188629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 t="s">
        <v>47</v>
      </c>
      <c r="AA1522" t="s">
        <v>1062</v>
      </c>
      <c r="AB1522" t="s">
        <v>51</v>
      </c>
      <c r="AC1522" t="s">
        <v>51</v>
      </c>
      <c r="AD1522" t="s">
        <v>51</v>
      </c>
      <c r="AE1522" t="s">
        <v>51</v>
      </c>
      <c r="AF1522" t="s">
        <v>1360</v>
      </c>
    </row>
    <row r="1523" spans="1:32" ht="14.5" customHeight="1" x14ac:dyDescent="0.35">
      <c r="A1523" t="s">
        <v>84</v>
      </c>
      <c r="B1523" t="s">
        <v>85</v>
      </c>
      <c r="C1523" t="s">
        <v>47</v>
      </c>
      <c r="D1523">
        <v>3001420</v>
      </c>
      <c r="E1523">
        <v>3100763</v>
      </c>
      <c r="F1523" t="s">
        <v>10</v>
      </c>
      <c r="G1523" t="s">
        <v>1346</v>
      </c>
      <c r="H1523" t="s">
        <v>54</v>
      </c>
      <c r="I1523">
        <v>6958451</v>
      </c>
      <c r="J1523" s="12">
        <v>46121</v>
      </c>
      <c r="K1523" s="12">
        <v>46121</v>
      </c>
      <c r="L1523" s="12">
        <v>46121</v>
      </c>
      <c r="M1523">
        <v>11</v>
      </c>
      <c r="N1523">
        <v>-791880</v>
      </c>
      <c r="O1523">
        <v>-791880</v>
      </c>
      <c r="P1523">
        <v>0</v>
      </c>
      <c r="Q1523">
        <v>-791880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 t="s">
        <v>47</v>
      </c>
      <c r="AA1523" t="s">
        <v>1062</v>
      </c>
      <c r="AB1523" t="s">
        <v>51</v>
      </c>
      <c r="AC1523" t="s">
        <v>51</v>
      </c>
      <c r="AD1523" t="s">
        <v>51</v>
      </c>
      <c r="AE1523" t="s">
        <v>51</v>
      </c>
      <c r="AF1523" t="s">
        <v>1359</v>
      </c>
    </row>
    <row r="1524" spans="1:32" ht="14.5" customHeight="1" x14ac:dyDescent="0.35">
      <c r="A1524" t="s">
        <v>84</v>
      </c>
      <c r="B1524" t="s">
        <v>85</v>
      </c>
      <c r="C1524" t="s">
        <v>47</v>
      </c>
      <c r="D1524">
        <v>3001420</v>
      </c>
      <c r="E1524">
        <v>3100763</v>
      </c>
      <c r="F1524" t="s">
        <v>10</v>
      </c>
      <c r="G1524" t="s">
        <v>1346</v>
      </c>
      <c r="H1524" t="s">
        <v>54</v>
      </c>
      <c r="I1524">
        <v>6958452</v>
      </c>
      <c r="J1524" s="12">
        <v>46121</v>
      </c>
      <c r="K1524" s="12">
        <v>46121</v>
      </c>
      <c r="L1524" s="12">
        <v>46121</v>
      </c>
      <c r="M1524">
        <v>11</v>
      </c>
      <c r="N1524">
        <v>-84150</v>
      </c>
      <c r="O1524">
        <v>-84150</v>
      </c>
      <c r="P1524">
        <v>0</v>
      </c>
      <c r="Q1524">
        <v>-84150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 t="s">
        <v>47</v>
      </c>
      <c r="AA1524" t="s">
        <v>1062</v>
      </c>
      <c r="AB1524" t="s">
        <v>51</v>
      </c>
      <c r="AC1524" t="s">
        <v>51</v>
      </c>
      <c r="AD1524" t="s">
        <v>51</v>
      </c>
      <c r="AE1524" t="s">
        <v>51</v>
      </c>
      <c r="AF1524" t="s">
        <v>1358</v>
      </c>
    </row>
    <row r="1525" spans="1:32" ht="14.5" customHeight="1" x14ac:dyDescent="0.35">
      <c r="A1525" t="s">
        <v>84</v>
      </c>
      <c r="B1525" t="s">
        <v>85</v>
      </c>
      <c r="C1525" t="s">
        <v>47</v>
      </c>
      <c r="D1525">
        <v>3001420</v>
      </c>
      <c r="E1525">
        <v>3100763</v>
      </c>
      <c r="F1525" t="s">
        <v>10</v>
      </c>
      <c r="G1525" t="s">
        <v>1346</v>
      </c>
      <c r="H1525" t="s">
        <v>54</v>
      </c>
      <c r="I1525">
        <v>6958453</v>
      </c>
      <c r="J1525" s="12">
        <v>46121</v>
      </c>
      <c r="K1525" s="12">
        <v>46121</v>
      </c>
      <c r="L1525" s="12">
        <v>46121</v>
      </c>
      <c r="M1525">
        <v>11</v>
      </c>
      <c r="N1525">
        <v>-93500</v>
      </c>
      <c r="O1525">
        <v>-93500</v>
      </c>
      <c r="P1525">
        <v>0</v>
      </c>
      <c r="Q1525">
        <v>-93500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 t="s">
        <v>47</v>
      </c>
      <c r="AA1525" t="s">
        <v>1062</v>
      </c>
      <c r="AB1525" t="s">
        <v>51</v>
      </c>
      <c r="AC1525" t="s">
        <v>51</v>
      </c>
      <c r="AD1525" t="s">
        <v>51</v>
      </c>
      <c r="AE1525" t="s">
        <v>51</v>
      </c>
      <c r="AF1525" t="s">
        <v>1358</v>
      </c>
    </row>
    <row r="1526" spans="1:32" ht="14.5" customHeight="1" x14ac:dyDescent="0.35">
      <c r="A1526" t="s">
        <v>84</v>
      </c>
      <c r="B1526" t="s">
        <v>85</v>
      </c>
      <c r="C1526" t="s">
        <v>47</v>
      </c>
      <c r="D1526">
        <v>3001420</v>
      </c>
      <c r="E1526">
        <v>3100763</v>
      </c>
      <c r="F1526" t="s">
        <v>10</v>
      </c>
      <c r="G1526" t="s">
        <v>1346</v>
      </c>
      <c r="H1526" t="s">
        <v>54</v>
      </c>
      <c r="I1526">
        <v>6958454</v>
      </c>
      <c r="J1526" s="12">
        <v>46121</v>
      </c>
      <c r="K1526" s="12">
        <v>46121</v>
      </c>
      <c r="L1526" s="12">
        <v>46121</v>
      </c>
      <c r="M1526">
        <v>11</v>
      </c>
      <c r="N1526">
        <v>-748813</v>
      </c>
      <c r="O1526">
        <v>-748813</v>
      </c>
      <c r="P1526">
        <v>0</v>
      </c>
      <c r="Q1526">
        <v>-748813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 t="s">
        <v>47</v>
      </c>
      <c r="AA1526" t="s">
        <v>1062</v>
      </c>
      <c r="AB1526" t="s">
        <v>51</v>
      </c>
      <c r="AC1526" t="s">
        <v>51</v>
      </c>
      <c r="AD1526" t="s">
        <v>51</v>
      </c>
      <c r="AE1526" t="s">
        <v>51</v>
      </c>
      <c r="AF1526" t="s">
        <v>1358</v>
      </c>
    </row>
    <row r="1527" spans="1:32" ht="14.5" customHeight="1" x14ac:dyDescent="0.35">
      <c r="A1527" t="s">
        <v>84</v>
      </c>
      <c r="B1527" t="s">
        <v>85</v>
      </c>
      <c r="C1527" t="s">
        <v>47</v>
      </c>
      <c r="D1527">
        <v>3001420</v>
      </c>
      <c r="E1527">
        <v>3100763</v>
      </c>
      <c r="F1527" t="s">
        <v>10</v>
      </c>
      <c r="G1527" t="s">
        <v>1346</v>
      </c>
      <c r="H1527" t="s">
        <v>54</v>
      </c>
      <c r="I1527">
        <v>6958455</v>
      </c>
      <c r="J1527" s="12">
        <v>46121</v>
      </c>
      <c r="K1527" s="12">
        <v>46121</v>
      </c>
      <c r="L1527" s="12">
        <v>46121</v>
      </c>
      <c r="M1527">
        <v>11</v>
      </c>
      <c r="N1527">
        <v>-886861</v>
      </c>
      <c r="O1527">
        <v>-886861</v>
      </c>
      <c r="P1527">
        <v>0</v>
      </c>
      <c r="Q1527">
        <v>-886861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 t="s">
        <v>47</v>
      </c>
      <c r="AA1527" t="s">
        <v>1062</v>
      </c>
      <c r="AB1527" t="s">
        <v>51</v>
      </c>
      <c r="AC1527" t="s">
        <v>51</v>
      </c>
      <c r="AD1527" t="s">
        <v>51</v>
      </c>
      <c r="AE1527" t="s">
        <v>51</v>
      </c>
      <c r="AF1527" t="s">
        <v>1358</v>
      </c>
    </row>
    <row r="1528" spans="1:32" ht="14.5" customHeight="1" x14ac:dyDescent="0.35">
      <c r="A1528" t="s">
        <v>84</v>
      </c>
      <c r="B1528" t="s">
        <v>85</v>
      </c>
      <c r="C1528" t="s">
        <v>47</v>
      </c>
      <c r="D1528">
        <v>3001420</v>
      </c>
      <c r="E1528">
        <v>3100763</v>
      </c>
      <c r="F1528" t="s">
        <v>10</v>
      </c>
      <c r="G1528" t="s">
        <v>1346</v>
      </c>
      <c r="H1528" t="s">
        <v>54</v>
      </c>
      <c r="I1528">
        <v>6958456</v>
      </c>
      <c r="J1528" s="12">
        <v>46121</v>
      </c>
      <c r="K1528" s="12">
        <v>46121</v>
      </c>
      <c r="L1528" s="12">
        <v>46121</v>
      </c>
      <c r="M1528">
        <v>11</v>
      </c>
      <c r="N1528">
        <v>-255806</v>
      </c>
      <c r="O1528">
        <v>-255806</v>
      </c>
      <c r="P1528">
        <v>0</v>
      </c>
      <c r="Q1528">
        <v>-255806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 t="s">
        <v>47</v>
      </c>
      <c r="AA1528" t="s">
        <v>1062</v>
      </c>
      <c r="AB1528" t="s">
        <v>51</v>
      </c>
      <c r="AC1528" t="s">
        <v>51</v>
      </c>
      <c r="AD1528" t="s">
        <v>51</v>
      </c>
      <c r="AE1528" t="s">
        <v>51</v>
      </c>
      <c r="AF1528" t="s">
        <v>1361</v>
      </c>
    </row>
    <row r="1529" spans="1:32" ht="14.5" customHeight="1" x14ac:dyDescent="0.35">
      <c r="A1529" t="s">
        <v>84</v>
      </c>
      <c r="B1529" t="s">
        <v>85</v>
      </c>
      <c r="C1529" t="s">
        <v>47</v>
      </c>
      <c r="D1529">
        <v>3001420</v>
      </c>
      <c r="E1529">
        <v>3100763</v>
      </c>
      <c r="F1529" t="s">
        <v>10</v>
      </c>
      <c r="G1529" t="s">
        <v>1346</v>
      </c>
      <c r="H1529" t="s">
        <v>54</v>
      </c>
      <c r="I1529">
        <v>6958457</v>
      </c>
      <c r="J1529" s="12">
        <v>46121</v>
      </c>
      <c r="K1529" s="12">
        <v>46121</v>
      </c>
      <c r="L1529" s="12">
        <v>46121</v>
      </c>
      <c r="M1529">
        <v>11</v>
      </c>
      <c r="N1529">
        <v>-140569</v>
      </c>
      <c r="O1529">
        <v>-140569</v>
      </c>
      <c r="P1529">
        <v>0</v>
      </c>
      <c r="Q1529">
        <v>-140569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 t="s">
        <v>47</v>
      </c>
      <c r="AA1529" t="s">
        <v>1062</v>
      </c>
      <c r="AB1529" t="s">
        <v>51</v>
      </c>
      <c r="AC1529" t="s">
        <v>51</v>
      </c>
      <c r="AD1529" t="s">
        <v>51</v>
      </c>
      <c r="AE1529" t="s">
        <v>51</v>
      </c>
      <c r="AF1529" t="s">
        <v>1360</v>
      </c>
    </row>
    <row r="1530" spans="1:32" ht="14.5" customHeight="1" x14ac:dyDescent="0.35">
      <c r="A1530" t="s">
        <v>84</v>
      </c>
      <c r="B1530" t="s">
        <v>85</v>
      </c>
      <c r="C1530" t="s">
        <v>47</v>
      </c>
      <c r="D1530">
        <v>3001420</v>
      </c>
      <c r="E1530">
        <v>3100761</v>
      </c>
      <c r="F1530" t="s">
        <v>10</v>
      </c>
      <c r="G1530" t="s">
        <v>1344</v>
      </c>
      <c r="H1530" t="s">
        <v>54</v>
      </c>
      <c r="I1530">
        <v>6958628</v>
      </c>
      <c r="J1530" s="12">
        <v>46121</v>
      </c>
      <c r="K1530" s="12">
        <v>46121</v>
      </c>
      <c r="L1530" s="12">
        <v>46121</v>
      </c>
      <c r="M1530">
        <v>11</v>
      </c>
      <c r="N1530">
        <v>-113660437</v>
      </c>
      <c r="O1530">
        <v>-113660437</v>
      </c>
      <c r="P1530">
        <v>0</v>
      </c>
      <c r="Q1530">
        <v>-113660437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 t="s">
        <v>47</v>
      </c>
      <c r="AA1530" t="s">
        <v>1062</v>
      </c>
      <c r="AB1530" t="s">
        <v>51</v>
      </c>
      <c r="AC1530" t="s">
        <v>51</v>
      </c>
      <c r="AD1530" t="s">
        <v>51</v>
      </c>
      <c r="AE1530" t="s">
        <v>51</v>
      </c>
      <c r="AF1530" t="s">
        <v>1362</v>
      </c>
    </row>
    <row r="1531" spans="1:32" ht="14.5" customHeight="1" x14ac:dyDescent="0.35">
      <c r="A1531" t="s">
        <v>84</v>
      </c>
      <c r="B1531" t="s">
        <v>85</v>
      </c>
      <c r="C1531" t="s">
        <v>47</v>
      </c>
      <c r="D1531">
        <v>3001420</v>
      </c>
      <c r="E1531">
        <v>3100696</v>
      </c>
      <c r="F1531" t="s">
        <v>10</v>
      </c>
      <c r="G1531" t="s">
        <v>1349</v>
      </c>
      <c r="H1531" t="s">
        <v>54</v>
      </c>
      <c r="I1531">
        <v>6958723</v>
      </c>
      <c r="J1531" s="12">
        <v>46122</v>
      </c>
      <c r="K1531" s="12">
        <v>46122</v>
      </c>
      <c r="L1531" s="12">
        <v>46122</v>
      </c>
      <c r="M1531">
        <v>10</v>
      </c>
      <c r="N1531">
        <v>-218000</v>
      </c>
      <c r="O1531">
        <v>-218000</v>
      </c>
      <c r="P1531">
        <v>0</v>
      </c>
      <c r="Q1531">
        <v>-218000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 t="s">
        <v>47</v>
      </c>
      <c r="AA1531" t="s">
        <v>1062</v>
      </c>
      <c r="AB1531" t="s">
        <v>51</v>
      </c>
      <c r="AC1531" t="s">
        <v>51</v>
      </c>
      <c r="AD1531" t="s">
        <v>51</v>
      </c>
      <c r="AE1531" t="s">
        <v>51</v>
      </c>
      <c r="AF1531" t="s">
        <v>1363</v>
      </c>
    </row>
    <row r="1532" spans="1:32" ht="14.5" customHeight="1" x14ac:dyDescent="0.35">
      <c r="A1532" t="s">
        <v>84</v>
      </c>
      <c r="B1532" t="s">
        <v>85</v>
      </c>
      <c r="C1532" t="s">
        <v>47</v>
      </c>
      <c r="D1532">
        <v>3001420</v>
      </c>
      <c r="E1532">
        <v>3100696</v>
      </c>
      <c r="F1532" t="s">
        <v>10</v>
      </c>
      <c r="G1532" t="s">
        <v>1349</v>
      </c>
      <c r="H1532" t="s">
        <v>54</v>
      </c>
      <c r="I1532">
        <v>6958724</v>
      </c>
      <c r="J1532" s="12">
        <v>46122</v>
      </c>
      <c r="K1532" s="12">
        <v>46122</v>
      </c>
      <c r="L1532" s="12">
        <v>46122</v>
      </c>
      <c r="M1532">
        <v>10</v>
      </c>
      <c r="N1532">
        <v>-272500</v>
      </c>
      <c r="O1532">
        <v>-272500</v>
      </c>
      <c r="P1532">
        <v>0</v>
      </c>
      <c r="Q1532">
        <v>-272500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 t="s">
        <v>47</v>
      </c>
      <c r="AA1532" t="s">
        <v>1062</v>
      </c>
      <c r="AB1532" t="s">
        <v>51</v>
      </c>
      <c r="AC1532" t="s">
        <v>51</v>
      </c>
      <c r="AD1532" t="s">
        <v>51</v>
      </c>
      <c r="AE1532" t="s">
        <v>51</v>
      </c>
      <c r="AF1532" t="s">
        <v>1363</v>
      </c>
    </row>
    <row r="1533" spans="1:32" ht="14.5" customHeight="1" x14ac:dyDescent="0.35">
      <c r="A1533" t="s">
        <v>84</v>
      </c>
      <c r="B1533" t="s">
        <v>85</v>
      </c>
      <c r="C1533" t="s">
        <v>47</v>
      </c>
      <c r="D1533">
        <v>3001420</v>
      </c>
      <c r="E1533">
        <v>3100696</v>
      </c>
      <c r="F1533" t="s">
        <v>10</v>
      </c>
      <c r="G1533" t="s">
        <v>1349</v>
      </c>
      <c r="H1533" t="s">
        <v>54</v>
      </c>
      <c r="I1533">
        <v>6958725</v>
      </c>
      <c r="J1533" s="12">
        <v>46122</v>
      </c>
      <c r="K1533" s="12">
        <v>46122</v>
      </c>
      <c r="L1533" s="12">
        <v>46122</v>
      </c>
      <c r="M1533">
        <v>10</v>
      </c>
      <c r="N1533">
        <v>-545000</v>
      </c>
      <c r="O1533">
        <v>-545000</v>
      </c>
      <c r="P1533">
        <v>0</v>
      </c>
      <c r="Q1533">
        <v>-545000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 t="s">
        <v>47</v>
      </c>
      <c r="AA1533" t="s">
        <v>1062</v>
      </c>
      <c r="AB1533" t="s">
        <v>51</v>
      </c>
      <c r="AC1533" t="s">
        <v>51</v>
      </c>
      <c r="AD1533" t="s">
        <v>51</v>
      </c>
      <c r="AE1533" t="s">
        <v>51</v>
      </c>
      <c r="AF1533" t="s">
        <v>1363</v>
      </c>
    </row>
    <row r="1534" spans="1:32" ht="14.5" customHeight="1" x14ac:dyDescent="0.35">
      <c r="A1534" t="s">
        <v>84</v>
      </c>
      <c r="B1534" t="s">
        <v>85</v>
      </c>
      <c r="C1534" t="s">
        <v>47</v>
      </c>
      <c r="D1534">
        <v>3001420</v>
      </c>
      <c r="E1534">
        <v>3100696</v>
      </c>
      <c r="F1534" t="s">
        <v>10</v>
      </c>
      <c r="G1534" t="s">
        <v>1349</v>
      </c>
      <c r="H1534" t="s">
        <v>54</v>
      </c>
      <c r="I1534">
        <v>6958726</v>
      </c>
      <c r="J1534" s="12">
        <v>46122</v>
      </c>
      <c r="K1534" s="12">
        <v>46122</v>
      </c>
      <c r="L1534" s="12">
        <v>46122</v>
      </c>
      <c r="M1534">
        <v>10</v>
      </c>
      <c r="N1534">
        <v>-1526000</v>
      </c>
      <c r="O1534">
        <v>-1526000</v>
      </c>
      <c r="P1534">
        <v>0</v>
      </c>
      <c r="Q1534">
        <v>-1526000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 t="s">
        <v>47</v>
      </c>
      <c r="AA1534" t="s">
        <v>1062</v>
      </c>
      <c r="AB1534" t="s">
        <v>51</v>
      </c>
      <c r="AC1534" t="s">
        <v>51</v>
      </c>
      <c r="AD1534" t="s">
        <v>51</v>
      </c>
      <c r="AE1534" t="s">
        <v>51</v>
      </c>
      <c r="AF1534" t="s">
        <v>1363</v>
      </c>
    </row>
    <row r="1535" spans="1:32" ht="14.5" customHeight="1" x14ac:dyDescent="0.35">
      <c r="A1535" t="s">
        <v>84</v>
      </c>
      <c r="B1535" t="s">
        <v>85</v>
      </c>
      <c r="C1535" t="s">
        <v>47</v>
      </c>
      <c r="D1535">
        <v>3001420</v>
      </c>
      <c r="E1535">
        <v>3100696</v>
      </c>
      <c r="F1535" t="s">
        <v>10</v>
      </c>
      <c r="G1535" t="s">
        <v>1349</v>
      </c>
      <c r="H1535" t="s">
        <v>54</v>
      </c>
      <c r="I1535">
        <v>6958727</v>
      </c>
      <c r="J1535" s="12">
        <v>46122</v>
      </c>
      <c r="K1535" s="12">
        <v>46122</v>
      </c>
      <c r="L1535" s="12">
        <v>46122</v>
      </c>
      <c r="M1535">
        <v>10</v>
      </c>
      <c r="N1535">
        <v>-817500</v>
      </c>
      <c r="O1535">
        <v>-817500</v>
      </c>
      <c r="P1535">
        <v>0</v>
      </c>
      <c r="Q1535">
        <v>-817500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 t="s">
        <v>47</v>
      </c>
      <c r="AA1535" t="s">
        <v>1062</v>
      </c>
      <c r="AB1535" t="s">
        <v>51</v>
      </c>
      <c r="AC1535" t="s">
        <v>51</v>
      </c>
      <c r="AD1535" t="s">
        <v>51</v>
      </c>
      <c r="AE1535" t="s">
        <v>51</v>
      </c>
      <c r="AF1535" t="s">
        <v>1363</v>
      </c>
    </row>
    <row r="1536" spans="1:32" ht="14.5" customHeight="1" x14ac:dyDescent="0.35">
      <c r="A1536" t="s">
        <v>84</v>
      </c>
      <c r="B1536" t="s">
        <v>85</v>
      </c>
      <c r="C1536" t="s">
        <v>47</v>
      </c>
      <c r="D1536">
        <v>3001420</v>
      </c>
      <c r="E1536">
        <v>3100696</v>
      </c>
      <c r="F1536" t="s">
        <v>10</v>
      </c>
      <c r="G1536" t="s">
        <v>1349</v>
      </c>
      <c r="H1536" t="s">
        <v>54</v>
      </c>
      <c r="I1536">
        <v>6958728</v>
      </c>
      <c r="J1536" s="12">
        <v>46122</v>
      </c>
      <c r="K1536" s="12">
        <v>46122</v>
      </c>
      <c r="L1536" s="12">
        <v>46122</v>
      </c>
      <c r="M1536">
        <v>10</v>
      </c>
      <c r="N1536">
        <v>-272500</v>
      </c>
      <c r="O1536">
        <v>-272500</v>
      </c>
      <c r="P1536">
        <v>0</v>
      </c>
      <c r="Q1536">
        <v>-272500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 t="s">
        <v>47</v>
      </c>
      <c r="AA1536" t="s">
        <v>1062</v>
      </c>
      <c r="AB1536" t="s">
        <v>51</v>
      </c>
      <c r="AC1536" t="s">
        <v>51</v>
      </c>
      <c r="AD1536" t="s">
        <v>51</v>
      </c>
      <c r="AE1536" t="s">
        <v>51</v>
      </c>
      <c r="AF1536" t="s">
        <v>1363</v>
      </c>
    </row>
    <row r="1537" spans="1:32" ht="14.5" customHeight="1" x14ac:dyDescent="0.35">
      <c r="A1537" t="s">
        <v>84</v>
      </c>
      <c r="B1537" t="s">
        <v>85</v>
      </c>
      <c r="C1537" t="s">
        <v>47</v>
      </c>
      <c r="D1537">
        <v>3001420</v>
      </c>
      <c r="E1537">
        <v>3100698</v>
      </c>
      <c r="F1537" t="s">
        <v>10</v>
      </c>
      <c r="G1537" t="s">
        <v>1343</v>
      </c>
      <c r="H1537" t="s">
        <v>54</v>
      </c>
      <c r="I1537">
        <v>6958729</v>
      </c>
      <c r="J1537" s="12">
        <v>46122</v>
      </c>
      <c r="K1537" s="12">
        <v>46122</v>
      </c>
      <c r="L1537" s="12">
        <v>46122</v>
      </c>
      <c r="M1537">
        <v>10</v>
      </c>
      <c r="N1537">
        <v>-150001</v>
      </c>
      <c r="O1537">
        <v>-150001</v>
      </c>
      <c r="P1537">
        <v>0</v>
      </c>
      <c r="Q1537">
        <v>-150001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 t="s">
        <v>47</v>
      </c>
      <c r="AA1537" t="s">
        <v>1062</v>
      </c>
      <c r="AB1537" t="s">
        <v>51</v>
      </c>
      <c r="AC1537" t="s">
        <v>51</v>
      </c>
      <c r="AD1537" t="s">
        <v>51</v>
      </c>
      <c r="AE1537" t="s">
        <v>51</v>
      </c>
      <c r="AF1537" t="s">
        <v>1363</v>
      </c>
    </row>
    <row r="1538" spans="1:32" ht="14.5" customHeight="1" x14ac:dyDescent="0.35">
      <c r="A1538" t="s">
        <v>84</v>
      </c>
      <c r="B1538" t="s">
        <v>85</v>
      </c>
      <c r="C1538" t="s">
        <v>47</v>
      </c>
      <c r="D1538">
        <v>3001420</v>
      </c>
      <c r="E1538">
        <v>3100698</v>
      </c>
      <c r="F1538" t="s">
        <v>10</v>
      </c>
      <c r="G1538" t="s">
        <v>1343</v>
      </c>
      <c r="H1538" t="s">
        <v>54</v>
      </c>
      <c r="I1538">
        <v>6958730</v>
      </c>
      <c r="J1538" s="12">
        <v>46122</v>
      </c>
      <c r="K1538" s="12">
        <v>46122</v>
      </c>
      <c r="L1538" s="12">
        <v>46122</v>
      </c>
      <c r="M1538">
        <v>10</v>
      </c>
      <c r="N1538">
        <v>-299999</v>
      </c>
      <c r="O1538">
        <v>-299999</v>
      </c>
      <c r="P1538">
        <v>0</v>
      </c>
      <c r="Q1538">
        <v>-299999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 t="s">
        <v>47</v>
      </c>
      <c r="AA1538" t="s">
        <v>1062</v>
      </c>
      <c r="AB1538" t="s">
        <v>51</v>
      </c>
      <c r="AC1538" t="s">
        <v>51</v>
      </c>
      <c r="AD1538" t="s">
        <v>51</v>
      </c>
      <c r="AE1538" t="s">
        <v>51</v>
      </c>
      <c r="AF1538" t="s">
        <v>1363</v>
      </c>
    </row>
    <row r="1539" spans="1:32" ht="14.5" customHeight="1" x14ac:dyDescent="0.35">
      <c r="A1539" t="s">
        <v>84</v>
      </c>
      <c r="B1539" t="s">
        <v>85</v>
      </c>
      <c r="C1539" t="s">
        <v>47</v>
      </c>
      <c r="D1539">
        <v>3001420</v>
      </c>
      <c r="E1539">
        <v>3100698</v>
      </c>
      <c r="F1539" t="s">
        <v>10</v>
      </c>
      <c r="G1539" t="s">
        <v>1343</v>
      </c>
      <c r="H1539" t="s">
        <v>54</v>
      </c>
      <c r="I1539">
        <v>6958731</v>
      </c>
      <c r="J1539" s="12">
        <v>46122</v>
      </c>
      <c r="K1539" s="12">
        <v>46122</v>
      </c>
      <c r="L1539" s="12">
        <v>46122</v>
      </c>
      <c r="M1539">
        <v>10</v>
      </c>
      <c r="N1539">
        <v>-75000</v>
      </c>
      <c r="O1539">
        <v>-75000</v>
      </c>
      <c r="P1539">
        <v>0</v>
      </c>
      <c r="Q1539">
        <v>-75000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 t="s">
        <v>47</v>
      </c>
      <c r="AA1539" t="s">
        <v>1062</v>
      </c>
      <c r="AB1539" t="s">
        <v>51</v>
      </c>
      <c r="AC1539" t="s">
        <v>51</v>
      </c>
      <c r="AD1539" t="s">
        <v>51</v>
      </c>
      <c r="AE1539" t="s">
        <v>51</v>
      </c>
      <c r="AF1539" t="s">
        <v>1363</v>
      </c>
    </row>
    <row r="1540" spans="1:32" ht="14.5" customHeight="1" x14ac:dyDescent="0.35">
      <c r="A1540" t="s">
        <v>84</v>
      </c>
      <c r="B1540" t="s">
        <v>85</v>
      </c>
      <c r="C1540" t="s">
        <v>47</v>
      </c>
      <c r="D1540">
        <v>3001420</v>
      </c>
      <c r="E1540">
        <v>3100761</v>
      </c>
      <c r="F1540" t="s">
        <v>10</v>
      </c>
      <c r="G1540" t="s">
        <v>1344</v>
      </c>
      <c r="H1540" t="s">
        <v>54</v>
      </c>
      <c r="I1540">
        <v>6958735</v>
      </c>
      <c r="J1540" s="12">
        <v>46122</v>
      </c>
      <c r="K1540" s="12">
        <v>46122</v>
      </c>
      <c r="L1540" s="12">
        <v>46122</v>
      </c>
      <c r="M1540">
        <v>10</v>
      </c>
      <c r="N1540">
        <v>-220946</v>
      </c>
      <c r="O1540">
        <v>-220946</v>
      </c>
      <c r="P1540">
        <v>0</v>
      </c>
      <c r="Q1540">
        <v>-220946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 t="s">
        <v>47</v>
      </c>
      <c r="AA1540" t="s">
        <v>1062</v>
      </c>
      <c r="AB1540" t="s">
        <v>51</v>
      </c>
      <c r="AC1540" t="s">
        <v>51</v>
      </c>
      <c r="AD1540" t="s">
        <v>51</v>
      </c>
      <c r="AE1540" t="s">
        <v>51</v>
      </c>
      <c r="AF1540" t="s">
        <v>1364</v>
      </c>
    </row>
    <row r="1541" spans="1:32" ht="14.5" customHeight="1" x14ac:dyDescent="0.35">
      <c r="A1541" t="s">
        <v>84</v>
      </c>
      <c r="B1541" t="s">
        <v>85</v>
      </c>
      <c r="C1541" t="s">
        <v>47</v>
      </c>
      <c r="D1541">
        <v>3001420</v>
      </c>
      <c r="E1541">
        <v>3100761</v>
      </c>
      <c r="F1541" t="s">
        <v>10</v>
      </c>
      <c r="G1541" t="s">
        <v>1344</v>
      </c>
      <c r="H1541" t="s">
        <v>54</v>
      </c>
      <c r="I1541">
        <v>6958736</v>
      </c>
      <c r="J1541" s="12">
        <v>46122</v>
      </c>
      <c r="K1541" s="12">
        <v>46122</v>
      </c>
      <c r="L1541" s="12">
        <v>46122</v>
      </c>
      <c r="M1541">
        <v>10</v>
      </c>
      <c r="N1541">
        <v>-163500</v>
      </c>
      <c r="O1541">
        <v>-163500</v>
      </c>
      <c r="P1541">
        <v>0</v>
      </c>
      <c r="Q1541">
        <v>-163500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 t="s">
        <v>47</v>
      </c>
      <c r="AA1541" t="s">
        <v>1062</v>
      </c>
      <c r="AB1541" t="s">
        <v>51</v>
      </c>
      <c r="AC1541" t="s">
        <v>51</v>
      </c>
      <c r="AD1541" t="s">
        <v>51</v>
      </c>
      <c r="AE1541" t="s">
        <v>51</v>
      </c>
      <c r="AF1541" t="s">
        <v>1364</v>
      </c>
    </row>
    <row r="1542" spans="1:32" ht="14.5" customHeight="1" x14ac:dyDescent="0.35">
      <c r="A1542" t="s">
        <v>84</v>
      </c>
      <c r="B1542" t="s">
        <v>85</v>
      </c>
      <c r="C1542" t="s">
        <v>47</v>
      </c>
      <c r="D1542">
        <v>3001420</v>
      </c>
      <c r="E1542">
        <v>3100696</v>
      </c>
      <c r="F1542" t="s">
        <v>10</v>
      </c>
      <c r="G1542" t="s">
        <v>1349</v>
      </c>
      <c r="H1542" t="s">
        <v>54</v>
      </c>
      <c r="I1542">
        <v>6958776</v>
      </c>
      <c r="J1542" s="12">
        <v>46122</v>
      </c>
      <c r="K1542" s="12">
        <v>46122</v>
      </c>
      <c r="L1542" s="12">
        <v>46122</v>
      </c>
      <c r="M1542">
        <v>10</v>
      </c>
      <c r="N1542">
        <v>-5833428</v>
      </c>
      <c r="O1542">
        <v>-5833428</v>
      </c>
      <c r="P1542">
        <v>0</v>
      </c>
      <c r="Q1542">
        <v>-5833428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 t="s">
        <v>47</v>
      </c>
      <c r="AA1542" t="s">
        <v>1062</v>
      </c>
      <c r="AB1542" t="s">
        <v>51</v>
      </c>
      <c r="AC1542" t="s">
        <v>51</v>
      </c>
      <c r="AD1542" t="s">
        <v>51</v>
      </c>
      <c r="AE1542" t="s">
        <v>51</v>
      </c>
      <c r="AF1542" t="s">
        <v>1334</v>
      </c>
    </row>
    <row r="1543" spans="1:32" ht="14.5" customHeight="1" x14ac:dyDescent="0.35">
      <c r="A1543" t="s">
        <v>84</v>
      </c>
      <c r="B1543" t="s">
        <v>85</v>
      </c>
      <c r="C1543" t="s">
        <v>47</v>
      </c>
      <c r="D1543">
        <v>3001420</v>
      </c>
      <c r="E1543">
        <v>3100700</v>
      </c>
      <c r="F1543" t="s">
        <v>10</v>
      </c>
      <c r="G1543" t="s">
        <v>1350</v>
      </c>
      <c r="H1543" t="s">
        <v>54</v>
      </c>
      <c r="I1543">
        <v>6958777</v>
      </c>
      <c r="J1543" s="12">
        <v>46122</v>
      </c>
      <c r="K1543" s="12">
        <v>46122</v>
      </c>
      <c r="L1543" s="12">
        <v>46122</v>
      </c>
      <c r="M1543">
        <v>10</v>
      </c>
      <c r="N1543">
        <v>-4960812</v>
      </c>
      <c r="O1543">
        <v>-4960812</v>
      </c>
      <c r="P1543">
        <v>0</v>
      </c>
      <c r="Q1543">
        <v>-4960812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 t="s">
        <v>47</v>
      </c>
      <c r="AA1543" t="s">
        <v>1062</v>
      </c>
      <c r="AB1543" t="s">
        <v>51</v>
      </c>
      <c r="AC1543" t="s">
        <v>51</v>
      </c>
      <c r="AD1543" t="s">
        <v>51</v>
      </c>
      <c r="AE1543" t="s">
        <v>51</v>
      </c>
      <c r="AF1543" t="s">
        <v>1334</v>
      </c>
    </row>
    <row r="1544" spans="1:32" ht="14.5" customHeight="1" x14ac:dyDescent="0.35">
      <c r="A1544" t="s">
        <v>84</v>
      </c>
      <c r="B1544" t="s">
        <v>85</v>
      </c>
      <c r="C1544" t="s">
        <v>47</v>
      </c>
      <c r="D1544">
        <v>3001420</v>
      </c>
      <c r="E1544">
        <v>3100702</v>
      </c>
      <c r="F1544" t="s">
        <v>10</v>
      </c>
      <c r="G1544" t="s">
        <v>1351</v>
      </c>
      <c r="H1544" t="s">
        <v>54</v>
      </c>
      <c r="I1544">
        <v>6958779</v>
      </c>
      <c r="J1544" s="12">
        <v>46122</v>
      </c>
      <c r="K1544" s="12">
        <v>46122</v>
      </c>
      <c r="L1544" s="12">
        <v>46122</v>
      </c>
      <c r="M1544">
        <v>10</v>
      </c>
      <c r="N1544">
        <v>-8413382</v>
      </c>
      <c r="O1544">
        <v>-8413382</v>
      </c>
      <c r="P1544">
        <v>0</v>
      </c>
      <c r="Q1544">
        <v>-8413382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 t="s">
        <v>47</v>
      </c>
      <c r="AA1544" t="s">
        <v>1062</v>
      </c>
      <c r="AB1544" t="s">
        <v>51</v>
      </c>
      <c r="AC1544" t="s">
        <v>51</v>
      </c>
      <c r="AD1544" t="s">
        <v>51</v>
      </c>
      <c r="AE1544" t="s">
        <v>51</v>
      </c>
      <c r="AF1544" t="s">
        <v>1334</v>
      </c>
    </row>
    <row r="1545" spans="1:32" ht="14.5" customHeight="1" x14ac:dyDescent="0.35">
      <c r="A1545" t="s">
        <v>84</v>
      </c>
      <c r="B1545" t="s">
        <v>85</v>
      </c>
      <c r="C1545" t="s">
        <v>47</v>
      </c>
      <c r="D1545">
        <v>3001420</v>
      </c>
      <c r="E1545">
        <v>3100661</v>
      </c>
      <c r="F1545" t="s">
        <v>10</v>
      </c>
      <c r="G1545" t="s">
        <v>1305</v>
      </c>
      <c r="H1545" t="s">
        <v>54</v>
      </c>
      <c r="I1545">
        <v>6958784</v>
      </c>
      <c r="J1545" s="12">
        <v>46122</v>
      </c>
      <c r="K1545" s="12">
        <v>46122</v>
      </c>
      <c r="L1545" s="12">
        <v>46122</v>
      </c>
      <c r="M1545">
        <v>10</v>
      </c>
      <c r="N1545">
        <v>-13754062</v>
      </c>
      <c r="O1545">
        <v>-13754062</v>
      </c>
      <c r="P1545">
        <v>0</v>
      </c>
      <c r="Q1545">
        <v>-13754062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 t="s">
        <v>47</v>
      </c>
      <c r="AA1545" t="s">
        <v>1062</v>
      </c>
      <c r="AB1545" t="s">
        <v>51</v>
      </c>
      <c r="AC1545" t="s">
        <v>51</v>
      </c>
      <c r="AD1545" t="s">
        <v>51</v>
      </c>
      <c r="AE1545" t="s">
        <v>51</v>
      </c>
      <c r="AF1545" t="s">
        <v>1334</v>
      </c>
    </row>
    <row r="1546" spans="1:32" ht="14.5" customHeight="1" x14ac:dyDescent="0.35">
      <c r="A1546" t="s">
        <v>84</v>
      </c>
      <c r="B1546" t="s">
        <v>85</v>
      </c>
      <c r="C1546" t="s">
        <v>846</v>
      </c>
      <c r="D1546">
        <v>3001420</v>
      </c>
      <c r="E1546">
        <v>3100764</v>
      </c>
      <c r="F1546" t="s">
        <v>10</v>
      </c>
      <c r="G1546" t="s">
        <v>1346</v>
      </c>
      <c r="H1546" t="s">
        <v>111</v>
      </c>
      <c r="I1546">
        <v>6958785</v>
      </c>
      <c r="J1546" s="12">
        <v>46123</v>
      </c>
      <c r="K1546" s="12">
        <v>46123</v>
      </c>
      <c r="L1546" s="12">
        <v>46123</v>
      </c>
      <c r="M1546">
        <v>9</v>
      </c>
      <c r="N1546">
        <v>-1813964</v>
      </c>
      <c r="O1546">
        <v>-1813964</v>
      </c>
      <c r="P1546">
        <v>0</v>
      </c>
      <c r="Q1546">
        <v>-1813964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 t="s">
        <v>846</v>
      </c>
      <c r="AA1546" t="s">
        <v>1062</v>
      </c>
      <c r="AB1546" t="s">
        <v>51</v>
      </c>
      <c r="AC1546" t="s">
        <v>51</v>
      </c>
      <c r="AD1546" t="s">
        <v>51</v>
      </c>
      <c r="AE1546" t="s">
        <v>51</v>
      </c>
      <c r="AF1546" t="s">
        <v>72</v>
      </c>
    </row>
    <row r="1547" spans="1:32" ht="14.5" customHeight="1" x14ac:dyDescent="0.35">
      <c r="A1547" t="s">
        <v>84</v>
      </c>
      <c r="B1547" t="s">
        <v>85</v>
      </c>
      <c r="C1547" t="s">
        <v>846</v>
      </c>
      <c r="D1547">
        <v>3001420</v>
      </c>
      <c r="E1547">
        <v>3100764</v>
      </c>
      <c r="F1547" t="s">
        <v>10</v>
      </c>
      <c r="G1547" t="s">
        <v>1346</v>
      </c>
      <c r="H1547" t="s">
        <v>111</v>
      </c>
      <c r="I1547">
        <v>6958786</v>
      </c>
      <c r="J1547" s="12">
        <v>46123</v>
      </c>
      <c r="K1547" s="12">
        <v>46123</v>
      </c>
      <c r="L1547" s="12">
        <v>46123</v>
      </c>
      <c r="M1547">
        <v>9</v>
      </c>
      <c r="N1547">
        <v>-814505</v>
      </c>
      <c r="O1547">
        <v>-814505</v>
      </c>
      <c r="P1547">
        <v>0</v>
      </c>
      <c r="Q1547">
        <v>-814505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 t="s">
        <v>846</v>
      </c>
      <c r="AA1547" t="s">
        <v>1062</v>
      </c>
      <c r="AB1547" t="s">
        <v>51</v>
      </c>
      <c r="AC1547" t="s">
        <v>51</v>
      </c>
      <c r="AD1547" t="s">
        <v>51</v>
      </c>
      <c r="AE1547" t="s">
        <v>51</v>
      </c>
      <c r="AF1547" t="s">
        <v>367</v>
      </c>
    </row>
    <row r="1548" spans="1:32" ht="14.5" customHeight="1" x14ac:dyDescent="0.35">
      <c r="A1548" t="s">
        <v>84</v>
      </c>
      <c r="B1548" t="s">
        <v>85</v>
      </c>
      <c r="C1548" t="s">
        <v>47</v>
      </c>
      <c r="D1548">
        <v>3001420</v>
      </c>
      <c r="E1548">
        <v>3100661</v>
      </c>
      <c r="F1548" t="s">
        <v>10</v>
      </c>
      <c r="G1548" t="s">
        <v>1305</v>
      </c>
      <c r="H1548" t="s">
        <v>54</v>
      </c>
      <c r="I1548">
        <v>6959513</v>
      </c>
      <c r="J1548" s="12">
        <v>46127</v>
      </c>
      <c r="K1548" s="12">
        <v>46127</v>
      </c>
      <c r="L1548" s="12">
        <v>46127</v>
      </c>
      <c r="M1548">
        <v>5</v>
      </c>
      <c r="N1548">
        <v>-14348962</v>
      </c>
      <c r="O1548">
        <v>-14348962</v>
      </c>
      <c r="P1548">
        <v>0</v>
      </c>
      <c r="Q1548">
        <v>-14348962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 t="s">
        <v>47</v>
      </c>
      <c r="AA1548" t="s">
        <v>1062</v>
      </c>
      <c r="AB1548" t="s">
        <v>51</v>
      </c>
      <c r="AC1548" t="s">
        <v>51</v>
      </c>
      <c r="AD1548" t="s">
        <v>51</v>
      </c>
      <c r="AE1548" t="s">
        <v>51</v>
      </c>
      <c r="AF1548" t="s">
        <v>1365</v>
      </c>
    </row>
    <row r="1549" spans="1:32" ht="14.5" customHeight="1" x14ac:dyDescent="0.35">
      <c r="A1549" t="s">
        <v>84</v>
      </c>
      <c r="B1549" t="s">
        <v>85</v>
      </c>
      <c r="C1549" t="s">
        <v>47</v>
      </c>
      <c r="D1549">
        <v>3001420</v>
      </c>
      <c r="E1549">
        <v>3100744</v>
      </c>
      <c r="F1549" t="s">
        <v>10</v>
      </c>
      <c r="G1549" t="s">
        <v>1314</v>
      </c>
      <c r="H1549" t="s">
        <v>54</v>
      </c>
      <c r="I1549">
        <v>6959515</v>
      </c>
      <c r="J1549" s="12">
        <v>46127</v>
      </c>
      <c r="K1549" s="12">
        <v>46127</v>
      </c>
      <c r="L1549" s="12">
        <v>46127</v>
      </c>
      <c r="M1549">
        <v>5</v>
      </c>
      <c r="N1549">
        <v>-9810000</v>
      </c>
      <c r="O1549">
        <v>-9810000</v>
      </c>
      <c r="P1549">
        <v>0</v>
      </c>
      <c r="Q1549">
        <v>-9810000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 t="s">
        <v>47</v>
      </c>
      <c r="AA1549" t="s">
        <v>1062</v>
      </c>
      <c r="AB1549" t="s">
        <v>51</v>
      </c>
      <c r="AC1549" t="s">
        <v>51</v>
      </c>
      <c r="AD1549" t="s">
        <v>51</v>
      </c>
      <c r="AE1549" t="s">
        <v>51</v>
      </c>
      <c r="AF1549" t="s">
        <v>1315</v>
      </c>
    </row>
    <row r="1550" spans="1:32" ht="14.5" customHeight="1" x14ac:dyDescent="0.35">
      <c r="A1550" t="s">
        <v>84</v>
      </c>
      <c r="B1550" t="s">
        <v>85</v>
      </c>
      <c r="C1550" t="s">
        <v>47</v>
      </c>
      <c r="D1550">
        <v>3001420</v>
      </c>
      <c r="E1550">
        <v>3100761</v>
      </c>
      <c r="F1550" t="s">
        <v>10</v>
      </c>
      <c r="G1550" t="s">
        <v>1344</v>
      </c>
      <c r="H1550" t="s">
        <v>54</v>
      </c>
      <c r="I1550">
        <v>6959516</v>
      </c>
      <c r="J1550" s="12">
        <v>46127</v>
      </c>
      <c r="K1550" s="12">
        <v>46127</v>
      </c>
      <c r="L1550" s="12">
        <v>46127</v>
      </c>
      <c r="M1550">
        <v>5</v>
      </c>
      <c r="N1550">
        <v>-4654151</v>
      </c>
      <c r="O1550">
        <v>-4654151</v>
      </c>
      <c r="P1550">
        <v>0</v>
      </c>
      <c r="Q1550">
        <v>-4654151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 t="s">
        <v>47</v>
      </c>
      <c r="AA1550" t="s">
        <v>1062</v>
      </c>
      <c r="AB1550" t="s">
        <v>51</v>
      </c>
      <c r="AC1550" t="s">
        <v>51</v>
      </c>
      <c r="AD1550" t="s">
        <v>51</v>
      </c>
      <c r="AE1550" t="s">
        <v>51</v>
      </c>
      <c r="AF1550" t="s">
        <v>1366</v>
      </c>
    </row>
    <row r="1551" spans="1:32" ht="14.5" customHeight="1" x14ac:dyDescent="0.35">
      <c r="A1551" t="s">
        <v>84</v>
      </c>
      <c r="B1551" t="s">
        <v>85</v>
      </c>
      <c r="C1551" t="s">
        <v>47</v>
      </c>
      <c r="D1551">
        <v>3001420</v>
      </c>
      <c r="E1551">
        <v>3100763</v>
      </c>
      <c r="F1551" t="s">
        <v>10</v>
      </c>
      <c r="G1551" t="s">
        <v>1346</v>
      </c>
      <c r="H1551" t="s">
        <v>54</v>
      </c>
      <c r="I1551">
        <v>6959517</v>
      </c>
      <c r="J1551" s="12">
        <v>46127</v>
      </c>
      <c r="K1551" s="12">
        <v>46127</v>
      </c>
      <c r="L1551" s="12">
        <v>46127</v>
      </c>
      <c r="M1551">
        <v>5</v>
      </c>
      <c r="N1551">
        <v>-26342945</v>
      </c>
      <c r="O1551">
        <v>-26342945</v>
      </c>
      <c r="P1551">
        <v>0</v>
      </c>
      <c r="Q1551">
        <v>-26342945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 t="s">
        <v>47</v>
      </c>
      <c r="AA1551" t="s">
        <v>1062</v>
      </c>
      <c r="AB1551" t="s">
        <v>51</v>
      </c>
      <c r="AC1551" t="s">
        <v>51</v>
      </c>
      <c r="AD1551" t="s">
        <v>51</v>
      </c>
      <c r="AE1551" t="s">
        <v>51</v>
      </c>
      <c r="AF1551" t="s">
        <v>1355</v>
      </c>
    </row>
    <row r="1552" spans="1:32" ht="14.5" customHeight="1" x14ac:dyDescent="0.35">
      <c r="A1552" t="s">
        <v>84</v>
      </c>
      <c r="B1552" t="s">
        <v>85</v>
      </c>
      <c r="C1552" t="s">
        <v>47</v>
      </c>
      <c r="D1552">
        <v>3001420</v>
      </c>
      <c r="E1552">
        <v>3100636</v>
      </c>
      <c r="F1552" t="s">
        <v>10</v>
      </c>
      <c r="G1552" t="s">
        <v>10</v>
      </c>
      <c r="H1552" t="s">
        <v>54</v>
      </c>
      <c r="I1552">
        <v>6959542</v>
      </c>
      <c r="J1552" s="12">
        <v>46127</v>
      </c>
      <c r="K1552" s="12">
        <v>46127</v>
      </c>
      <c r="L1552" s="12">
        <v>46127</v>
      </c>
      <c r="M1552">
        <v>5</v>
      </c>
      <c r="N1552">
        <v>-88856381</v>
      </c>
      <c r="O1552">
        <v>-88856381</v>
      </c>
      <c r="P1552">
        <v>0</v>
      </c>
      <c r="Q1552">
        <v>-88856381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 t="s">
        <v>47</v>
      </c>
      <c r="AA1552" t="s">
        <v>1062</v>
      </c>
      <c r="AB1552" t="s">
        <v>51</v>
      </c>
      <c r="AC1552" t="s">
        <v>51</v>
      </c>
      <c r="AD1552" t="s">
        <v>51</v>
      </c>
      <c r="AE1552" t="s">
        <v>51</v>
      </c>
      <c r="AF1552" t="s">
        <v>1365</v>
      </c>
    </row>
    <row r="1553" spans="1:32" ht="14.5" customHeight="1" x14ac:dyDescent="0.35">
      <c r="A1553" t="s">
        <v>84</v>
      </c>
      <c r="B1553" t="s">
        <v>85</v>
      </c>
      <c r="C1553" t="s">
        <v>47</v>
      </c>
      <c r="D1553">
        <v>3001420</v>
      </c>
      <c r="E1553">
        <v>3100636</v>
      </c>
      <c r="F1553" t="s">
        <v>10</v>
      </c>
      <c r="G1553" t="s">
        <v>10</v>
      </c>
      <c r="H1553" t="s">
        <v>54</v>
      </c>
      <c r="I1553">
        <v>6959543</v>
      </c>
      <c r="J1553" s="12">
        <v>46127</v>
      </c>
      <c r="K1553" s="12">
        <v>46127</v>
      </c>
      <c r="L1553" s="12">
        <v>46127</v>
      </c>
      <c r="M1553">
        <v>5</v>
      </c>
      <c r="N1553">
        <v>-1800000</v>
      </c>
      <c r="O1553">
        <v>-1800000</v>
      </c>
      <c r="P1553">
        <v>0</v>
      </c>
      <c r="Q1553">
        <v>-1800000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 t="s">
        <v>47</v>
      </c>
      <c r="AA1553" t="s">
        <v>1062</v>
      </c>
      <c r="AB1553" t="s">
        <v>51</v>
      </c>
      <c r="AC1553" t="s">
        <v>51</v>
      </c>
      <c r="AD1553" t="s">
        <v>51</v>
      </c>
      <c r="AE1553" t="s">
        <v>51</v>
      </c>
      <c r="AF1553" t="s">
        <v>1367</v>
      </c>
    </row>
    <row r="1554" spans="1:32" ht="14.5" customHeight="1" x14ac:dyDescent="0.35">
      <c r="A1554" t="s">
        <v>84</v>
      </c>
      <c r="B1554" t="s">
        <v>85</v>
      </c>
      <c r="C1554" t="s">
        <v>47</v>
      </c>
      <c r="D1554">
        <v>3001420</v>
      </c>
      <c r="E1554">
        <v>3100636</v>
      </c>
      <c r="F1554" t="s">
        <v>10</v>
      </c>
      <c r="G1554" t="s">
        <v>10</v>
      </c>
      <c r="H1554" t="s">
        <v>54</v>
      </c>
      <c r="I1554">
        <v>6959544</v>
      </c>
      <c r="J1554" s="12">
        <v>46127</v>
      </c>
      <c r="K1554" s="12">
        <v>46127</v>
      </c>
      <c r="L1554" s="12">
        <v>46127</v>
      </c>
      <c r="M1554">
        <v>5</v>
      </c>
      <c r="N1554">
        <v>-2058000</v>
      </c>
      <c r="O1554">
        <v>-2058000</v>
      </c>
      <c r="P1554">
        <v>0</v>
      </c>
      <c r="Q1554">
        <v>-2058000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 t="s">
        <v>47</v>
      </c>
      <c r="AA1554" t="s">
        <v>1062</v>
      </c>
      <c r="AB1554" t="s">
        <v>51</v>
      </c>
      <c r="AC1554" t="s">
        <v>51</v>
      </c>
      <c r="AD1554" t="s">
        <v>51</v>
      </c>
      <c r="AE1554" t="s">
        <v>51</v>
      </c>
      <c r="AF1554" t="s">
        <v>1368</v>
      </c>
    </row>
    <row r="1555" spans="1:32" ht="14.5" customHeight="1" x14ac:dyDescent="0.35">
      <c r="A1555" t="s">
        <v>84</v>
      </c>
      <c r="B1555" t="s">
        <v>85</v>
      </c>
      <c r="C1555" t="s">
        <v>47</v>
      </c>
      <c r="D1555">
        <v>3001420</v>
      </c>
      <c r="E1555">
        <v>3100636</v>
      </c>
      <c r="F1555" t="s">
        <v>10</v>
      </c>
      <c r="G1555" t="s">
        <v>10</v>
      </c>
      <c r="H1555" t="s">
        <v>54</v>
      </c>
      <c r="I1555">
        <v>6959545</v>
      </c>
      <c r="J1555" s="12">
        <v>46127</v>
      </c>
      <c r="K1555" s="12">
        <v>46127</v>
      </c>
      <c r="L1555" s="12">
        <v>46127</v>
      </c>
      <c r="M1555">
        <v>5</v>
      </c>
      <c r="N1555">
        <v>-882000</v>
      </c>
      <c r="O1555">
        <v>-882000</v>
      </c>
      <c r="P1555">
        <v>0</v>
      </c>
      <c r="Q1555">
        <v>-882000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 t="s">
        <v>47</v>
      </c>
      <c r="AA1555" t="s">
        <v>1062</v>
      </c>
      <c r="AB1555" t="s">
        <v>51</v>
      </c>
      <c r="AC1555" t="s">
        <v>51</v>
      </c>
      <c r="AD1555" t="s">
        <v>51</v>
      </c>
      <c r="AE1555" t="s">
        <v>51</v>
      </c>
      <c r="AF1555" t="s">
        <v>1369</v>
      </c>
    </row>
    <row r="1556" spans="1:32" ht="14.5" customHeight="1" x14ac:dyDescent="0.35">
      <c r="A1556" t="s">
        <v>84</v>
      </c>
      <c r="B1556" t="s">
        <v>85</v>
      </c>
      <c r="C1556" t="s">
        <v>47</v>
      </c>
      <c r="D1556">
        <v>3001420</v>
      </c>
      <c r="E1556">
        <v>3100661</v>
      </c>
      <c r="F1556" t="s">
        <v>10</v>
      </c>
      <c r="G1556" t="s">
        <v>1305</v>
      </c>
      <c r="H1556" t="s">
        <v>54</v>
      </c>
      <c r="I1556">
        <v>6959624</v>
      </c>
      <c r="J1556" s="12">
        <v>46127</v>
      </c>
      <c r="K1556" s="12">
        <v>46127</v>
      </c>
      <c r="L1556" s="12">
        <v>46127</v>
      </c>
      <c r="M1556">
        <v>5</v>
      </c>
      <c r="N1556">
        <v>-6540000</v>
      </c>
      <c r="O1556">
        <v>-6540000</v>
      </c>
      <c r="P1556">
        <v>0</v>
      </c>
      <c r="Q1556">
        <v>-6540000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 t="s">
        <v>47</v>
      </c>
      <c r="AA1556" t="s">
        <v>1062</v>
      </c>
      <c r="AB1556" t="s">
        <v>51</v>
      </c>
      <c r="AC1556" t="s">
        <v>51</v>
      </c>
      <c r="AD1556" t="s">
        <v>51</v>
      </c>
      <c r="AE1556" t="s">
        <v>51</v>
      </c>
      <c r="AF1556" t="s">
        <v>1316</v>
      </c>
    </row>
    <row r="1557" spans="1:32" ht="14.5" customHeight="1" x14ac:dyDescent="0.35">
      <c r="A1557" t="s">
        <v>84</v>
      </c>
      <c r="B1557" t="s">
        <v>85</v>
      </c>
      <c r="C1557" t="s">
        <v>47</v>
      </c>
      <c r="D1557">
        <v>3001420</v>
      </c>
      <c r="E1557">
        <v>3100661</v>
      </c>
      <c r="F1557" t="s">
        <v>10</v>
      </c>
      <c r="G1557" t="s">
        <v>1305</v>
      </c>
      <c r="H1557" t="s">
        <v>54</v>
      </c>
      <c r="I1557">
        <v>6959625</v>
      </c>
      <c r="J1557" s="12">
        <v>46127</v>
      </c>
      <c r="K1557" s="12">
        <v>46127</v>
      </c>
      <c r="L1557" s="12">
        <v>46127</v>
      </c>
      <c r="M1557">
        <v>5</v>
      </c>
      <c r="N1557">
        <v>-882000</v>
      </c>
      <c r="O1557">
        <v>-882000</v>
      </c>
      <c r="P1557">
        <v>0</v>
      </c>
      <c r="Q1557">
        <v>-882000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 t="s">
        <v>47</v>
      </c>
      <c r="AA1557" t="s">
        <v>1062</v>
      </c>
      <c r="AB1557" t="s">
        <v>51</v>
      </c>
      <c r="AC1557" t="s">
        <v>51</v>
      </c>
      <c r="AD1557" t="s">
        <v>51</v>
      </c>
      <c r="AE1557" t="s">
        <v>51</v>
      </c>
      <c r="AF1557" t="s">
        <v>1370</v>
      </c>
    </row>
    <row r="1558" spans="1:32" ht="14.5" customHeight="1" x14ac:dyDescent="0.35">
      <c r="A1558" t="s">
        <v>84</v>
      </c>
      <c r="B1558" t="s">
        <v>85</v>
      </c>
      <c r="C1558" t="s">
        <v>47</v>
      </c>
      <c r="D1558">
        <v>3001420</v>
      </c>
      <c r="E1558">
        <v>3100661</v>
      </c>
      <c r="F1558" t="s">
        <v>10</v>
      </c>
      <c r="G1558" t="s">
        <v>1305</v>
      </c>
      <c r="H1558" t="s">
        <v>54</v>
      </c>
      <c r="I1558">
        <v>6959626</v>
      </c>
      <c r="J1558" s="12">
        <v>46127</v>
      </c>
      <c r="K1558" s="12">
        <v>46127</v>
      </c>
      <c r="L1558" s="12">
        <v>46127</v>
      </c>
      <c r="M1558">
        <v>5</v>
      </c>
      <c r="N1558">
        <v>-5559000</v>
      </c>
      <c r="O1558">
        <v>-5559000</v>
      </c>
      <c r="P1558">
        <v>0</v>
      </c>
      <c r="Q1558">
        <v>-5559000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 t="s">
        <v>47</v>
      </c>
      <c r="AA1558" t="s">
        <v>1062</v>
      </c>
      <c r="AB1558" t="s">
        <v>51</v>
      </c>
      <c r="AC1558" t="s">
        <v>51</v>
      </c>
      <c r="AD1558" t="s">
        <v>51</v>
      </c>
      <c r="AE1558" t="s">
        <v>51</v>
      </c>
      <c r="AF1558" t="s">
        <v>1317</v>
      </c>
    </row>
    <row r="1559" spans="1:32" ht="14.5" customHeight="1" x14ac:dyDescent="0.35">
      <c r="A1559" t="s">
        <v>84</v>
      </c>
      <c r="B1559" t="s">
        <v>85</v>
      </c>
      <c r="C1559" t="s">
        <v>47</v>
      </c>
      <c r="D1559">
        <v>3001420</v>
      </c>
      <c r="E1559">
        <v>3100696</v>
      </c>
      <c r="F1559" t="s">
        <v>10</v>
      </c>
      <c r="G1559" t="s">
        <v>1349</v>
      </c>
      <c r="H1559" t="s">
        <v>54</v>
      </c>
      <c r="I1559">
        <v>6959627</v>
      </c>
      <c r="J1559" s="12">
        <v>46127</v>
      </c>
      <c r="K1559" s="12">
        <v>46127</v>
      </c>
      <c r="L1559" s="12">
        <v>46127</v>
      </c>
      <c r="M1559">
        <v>5</v>
      </c>
      <c r="N1559">
        <v>-8142794</v>
      </c>
      <c r="O1559">
        <v>-8142794</v>
      </c>
      <c r="P1559">
        <v>0</v>
      </c>
      <c r="Q1559">
        <v>-8142794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 t="s">
        <v>47</v>
      </c>
      <c r="AA1559" t="s">
        <v>1062</v>
      </c>
      <c r="AB1559" t="s">
        <v>51</v>
      </c>
      <c r="AC1559" t="s">
        <v>51</v>
      </c>
      <c r="AD1559" t="s">
        <v>51</v>
      </c>
      <c r="AE1559" t="s">
        <v>51</v>
      </c>
      <c r="AF1559" t="s">
        <v>1365</v>
      </c>
    </row>
    <row r="1560" spans="1:32" ht="14.5" customHeight="1" x14ac:dyDescent="0.35">
      <c r="A1560" t="s">
        <v>84</v>
      </c>
      <c r="B1560" t="s">
        <v>85</v>
      </c>
      <c r="C1560" t="s">
        <v>47</v>
      </c>
      <c r="D1560">
        <v>3001420</v>
      </c>
      <c r="E1560">
        <v>3100698</v>
      </c>
      <c r="F1560" t="s">
        <v>10</v>
      </c>
      <c r="G1560" t="s">
        <v>1343</v>
      </c>
      <c r="H1560" t="s">
        <v>54</v>
      </c>
      <c r="I1560">
        <v>6959628</v>
      </c>
      <c r="J1560" s="12">
        <v>46127</v>
      </c>
      <c r="K1560" s="12">
        <v>46127</v>
      </c>
      <c r="L1560" s="12">
        <v>46127</v>
      </c>
      <c r="M1560">
        <v>5</v>
      </c>
      <c r="N1560">
        <v>-8087796</v>
      </c>
      <c r="O1560">
        <v>-8087796</v>
      </c>
      <c r="P1560">
        <v>0</v>
      </c>
      <c r="Q1560">
        <v>-8087796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 t="s">
        <v>47</v>
      </c>
      <c r="AA1560" t="s">
        <v>1062</v>
      </c>
      <c r="AB1560" t="s">
        <v>51</v>
      </c>
      <c r="AC1560" t="s">
        <v>51</v>
      </c>
      <c r="AD1560" t="s">
        <v>51</v>
      </c>
      <c r="AE1560" t="s">
        <v>51</v>
      </c>
      <c r="AF1560" t="s">
        <v>1365</v>
      </c>
    </row>
    <row r="1561" spans="1:32" ht="14.5" customHeight="1" x14ac:dyDescent="0.35">
      <c r="A1561" t="s">
        <v>84</v>
      </c>
      <c r="B1561" t="s">
        <v>85</v>
      </c>
      <c r="C1561" t="s">
        <v>47</v>
      </c>
      <c r="D1561">
        <v>3001420</v>
      </c>
      <c r="E1561">
        <v>3100698</v>
      </c>
      <c r="F1561" t="s">
        <v>10</v>
      </c>
      <c r="G1561" t="s">
        <v>1343</v>
      </c>
      <c r="H1561" t="s">
        <v>54</v>
      </c>
      <c r="I1561">
        <v>6959629</v>
      </c>
      <c r="J1561" s="12">
        <v>46127</v>
      </c>
      <c r="K1561" s="12">
        <v>46127</v>
      </c>
      <c r="L1561" s="12">
        <v>46127</v>
      </c>
      <c r="M1561">
        <v>5</v>
      </c>
      <c r="N1561">
        <v>-4500000</v>
      </c>
      <c r="O1561">
        <v>-4500000</v>
      </c>
      <c r="P1561">
        <v>0</v>
      </c>
      <c r="Q1561">
        <v>-4500000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 t="s">
        <v>47</v>
      </c>
      <c r="AA1561" t="s">
        <v>1062</v>
      </c>
      <c r="AB1561" t="s">
        <v>51</v>
      </c>
      <c r="AC1561" t="s">
        <v>51</v>
      </c>
      <c r="AD1561" t="s">
        <v>51</v>
      </c>
      <c r="AE1561" t="s">
        <v>51</v>
      </c>
      <c r="AF1561" t="s">
        <v>1316</v>
      </c>
    </row>
    <row r="1562" spans="1:32" ht="14.5" customHeight="1" x14ac:dyDescent="0.35">
      <c r="A1562" t="s">
        <v>84</v>
      </c>
      <c r="B1562" t="s">
        <v>85</v>
      </c>
      <c r="C1562" t="s">
        <v>47</v>
      </c>
      <c r="D1562">
        <v>3001420</v>
      </c>
      <c r="E1562">
        <v>3100698</v>
      </c>
      <c r="F1562" t="s">
        <v>10</v>
      </c>
      <c r="G1562" t="s">
        <v>1343</v>
      </c>
      <c r="H1562" t="s">
        <v>54</v>
      </c>
      <c r="I1562">
        <v>6959630</v>
      </c>
      <c r="J1562" s="12">
        <v>46127</v>
      </c>
      <c r="K1562" s="12">
        <v>46127</v>
      </c>
      <c r="L1562" s="12">
        <v>46127</v>
      </c>
      <c r="M1562">
        <v>5</v>
      </c>
      <c r="N1562">
        <v>-5100000</v>
      </c>
      <c r="O1562">
        <v>-5100000</v>
      </c>
      <c r="P1562">
        <v>0</v>
      </c>
      <c r="Q1562">
        <v>-5100000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 t="s">
        <v>47</v>
      </c>
      <c r="AA1562" t="s">
        <v>1062</v>
      </c>
      <c r="AB1562" t="s">
        <v>51</v>
      </c>
      <c r="AC1562" t="s">
        <v>51</v>
      </c>
      <c r="AD1562" t="s">
        <v>51</v>
      </c>
      <c r="AE1562" t="s">
        <v>51</v>
      </c>
      <c r="AF1562" t="s">
        <v>1371</v>
      </c>
    </row>
    <row r="1563" spans="1:32" ht="14.5" customHeight="1" x14ac:dyDescent="0.35">
      <c r="A1563" t="s">
        <v>84</v>
      </c>
      <c r="B1563" t="s">
        <v>85</v>
      </c>
      <c r="C1563" t="s">
        <v>47</v>
      </c>
      <c r="D1563">
        <v>3001420</v>
      </c>
      <c r="E1563">
        <v>3100698</v>
      </c>
      <c r="F1563" t="s">
        <v>10</v>
      </c>
      <c r="G1563" t="s">
        <v>1343</v>
      </c>
      <c r="H1563" t="s">
        <v>54</v>
      </c>
      <c r="I1563">
        <v>6959631</v>
      </c>
      <c r="J1563" s="12">
        <v>46127</v>
      </c>
      <c r="K1563" s="12">
        <v>46127</v>
      </c>
      <c r="L1563" s="12">
        <v>46127</v>
      </c>
      <c r="M1563">
        <v>5</v>
      </c>
      <c r="N1563">
        <v>-3000000</v>
      </c>
      <c r="O1563">
        <v>-3000000</v>
      </c>
      <c r="P1563">
        <v>0</v>
      </c>
      <c r="Q1563">
        <v>-3000000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 t="s">
        <v>47</v>
      </c>
      <c r="AA1563" t="s">
        <v>1062</v>
      </c>
      <c r="AB1563" t="s">
        <v>51</v>
      </c>
      <c r="AC1563" t="s">
        <v>51</v>
      </c>
      <c r="AD1563" t="s">
        <v>51</v>
      </c>
      <c r="AE1563" t="s">
        <v>51</v>
      </c>
      <c r="AF1563" t="s">
        <v>1371</v>
      </c>
    </row>
    <row r="1564" spans="1:32" ht="14.5" customHeight="1" x14ac:dyDescent="0.35">
      <c r="A1564" t="s">
        <v>84</v>
      </c>
      <c r="B1564" t="s">
        <v>85</v>
      </c>
      <c r="C1564" t="s">
        <v>47</v>
      </c>
      <c r="D1564">
        <v>3001420</v>
      </c>
      <c r="E1564">
        <v>3100698</v>
      </c>
      <c r="F1564" t="s">
        <v>10</v>
      </c>
      <c r="G1564" t="s">
        <v>1343</v>
      </c>
      <c r="H1564" t="s">
        <v>54</v>
      </c>
      <c r="I1564">
        <v>6959632</v>
      </c>
      <c r="J1564" s="12">
        <v>46127</v>
      </c>
      <c r="K1564" s="12">
        <v>46127</v>
      </c>
      <c r="L1564" s="12">
        <v>46127</v>
      </c>
      <c r="M1564">
        <v>5</v>
      </c>
      <c r="N1564">
        <v>-1500000</v>
      </c>
      <c r="O1564">
        <v>-1500000</v>
      </c>
      <c r="P1564">
        <v>0</v>
      </c>
      <c r="Q1564">
        <v>-1500000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 t="s">
        <v>47</v>
      </c>
      <c r="AA1564" t="s">
        <v>1062</v>
      </c>
      <c r="AB1564" t="s">
        <v>51</v>
      </c>
      <c r="AC1564" t="s">
        <v>51</v>
      </c>
      <c r="AD1564" t="s">
        <v>51</v>
      </c>
      <c r="AE1564" t="s">
        <v>51</v>
      </c>
      <c r="AF1564" t="s">
        <v>1371</v>
      </c>
    </row>
    <row r="1565" spans="1:32" ht="14.5" customHeight="1" x14ac:dyDescent="0.35">
      <c r="A1565" t="s">
        <v>84</v>
      </c>
      <c r="B1565" t="s">
        <v>85</v>
      </c>
      <c r="C1565" t="s">
        <v>47</v>
      </c>
      <c r="D1565">
        <v>3001420</v>
      </c>
      <c r="E1565">
        <v>3100698</v>
      </c>
      <c r="F1565" t="s">
        <v>10</v>
      </c>
      <c r="G1565" t="s">
        <v>1343</v>
      </c>
      <c r="H1565" t="s">
        <v>54</v>
      </c>
      <c r="I1565">
        <v>6959633</v>
      </c>
      <c r="J1565" s="12">
        <v>46127</v>
      </c>
      <c r="K1565" s="12">
        <v>46127</v>
      </c>
      <c r="L1565" s="12">
        <v>46127</v>
      </c>
      <c r="M1565">
        <v>5</v>
      </c>
      <c r="N1565">
        <v>-4500000</v>
      </c>
      <c r="O1565">
        <v>-4500000</v>
      </c>
      <c r="P1565">
        <v>0</v>
      </c>
      <c r="Q1565">
        <v>-4500000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 t="s">
        <v>47</v>
      </c>
      <c r="AA1565" t="s">
        <v>1062</v>
      </c>
      <c r="AB1565" t="s">
        <v>51</v>
      </c>
      <c r="AC1565" t="s">
        <v>51</v>
      </c>
      <c r="AD1565" t="s">
        <v>51</v>
      </c>
      <c r="AE1565" t="s">
        <v>51</v>
      </c>
      <c r="AF1565" t="s">
        <v>1371</v>
      </c>
    </row>
    <row r="1566" spans="1:32" ht="14.5" customHeight="1" x14ac:dyDescent="0.35">
      <c r="A1566" t="s">
        <v>84</v>
      </c>
      <c r="B1566" t="s">
        <v>85</v>
      </c>
      <c r="C1566" t="s">
        <v>47</v>
      </c>
      <c r="D1566">
        <v>3001420</v>
      </c>
      <c r="E1566">
        <v>3100700</v>
      </c>
      <c r="F1566" t="s">
        <v>10</v>
      </c>
      <c r="G1566" t="s">
        <v>1350</v>
      </c>
      <c r="H1566" t="s">
        <v>54</v>
      </c>
      <c r="I1566">
        <v>6959634</v>
      </c>
      <c r="J1566" s="12">
        <v>46127</v>
      </c>
      <c r="K1566" s="12">
        <v>46127</v>
      </c>
      <c r="L1566" s="12">
        <v>46127</v>
      </c>
      <c r="M1566">
        <v>5</v>
      </c>
      <c r="N1566">
        <v>-3990110</v>
      </c>
      <c r="O1566">
        <v>-3990110</v>
      </c>
      <c r="P1566">
        <v>0</v>
      </c>
      <c r="Q1566">
        <v>-3990110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 t="s">
        <v>47</v>
      </c>
      <c r="AA1566" t="s">
        <v>1062</v>
      </c>
      <c r="AB1566" t="s">
        <v>51</v>
      </c>
      <c r="AC1566" t="s">
        <v>51</v>
      </c>
      <c r="AD1566" t="s">
        <v>51</v>
      </c>
      <c r="AE1566" t="s">
        <v>51</v>
      </c>
      <c r="AF1566" t="s">
        <v>1365</v>
      </c>
    </row>
    <row r="1567" spans="1:32" ht="14.5" customHeight="1" x14ac:dyDescent="0.35">
      <c r="A1567" t="s">
        <v>84</v>
      </c>
      <c r="B1567" t="s">
        <v>85</v>
      </c>
      <c r="C1567" t="s">
        <v>47</v>
      </c>
      <c r="D1567">
        <v>3001420</v>
      </c>
      <c r="E1567">
        <v>3100700</v>
      </c>
      <c r="F1567" t="s">
        <v>10</v>
      </c>
      <c r="G1567" t="s">
        <v>1350</v>
      </c>
      <c r="H1567" t="s">
        <v>54</v>
      </c>
      <c r="I1567">
        <v>6959635</v>
      </c>
      <c r="J1567" s="12">
        <v>46127</v>
      </c>
      <c r="K1567" s="12">
        <v>46127</v>
      </c>
      <c r="L1567" s="12">
        <v>46127</v>
      </c>
      <c r="M1567">
        <v>5</v>
      </c>
      <c r="N1567">
        <v>-3750000</v>
      </c>
      <c r="O1567">
        <v>-3750000</v>
      </c>
      <c r="P1567">
        <v>0</v>
      </c>
      <c r="Q1567">
        <v>-3750000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 t="s">
        <v>47</v>
      </c>
      <c r="AA1567" t="s">
        <v>1062</v>
      </c>
      <c r="AB1567" t="s">
        <v>51</v>
      </c>
      <c r="AC1567" t="s">
        <v>51</v>
      </c>
      <c r="AD1567" t="s">
        <v>51</v>
      </c>
      <c r="AE1567" t="s">
        <v>51</v>
      </c>
      <c r="AF1567" t="s">
        <v>1372</v>
      </c>
    </row>
    <row r="1568" spans="1:32" ht="14.5" customHeight="1" x14ac:dyDescent="0.35">
      <c r="A1568" t="s">
        <v>84</v>
      </c>
      <c r="B1568" t="s">
        <v>85</v>
      </c>
      <c r="C1568" t="s">
        <v>47</v>
      </c>
      <c r="D1568">
        <v>3001420</v>
      </c>
      <c r="E1568">
        <v>3100700</v>
      </c>
      <c r="F1568" t="s">
        <v>10</v>
      </c>
      <c r="G1568" t="s">
        <v>1350</v>
      </c>
      <c r="H1568" t="s">
        <v>54</v>
      </c>
      <c r="I1568">
        <v>6959636</v>
      </c>
      <c r="J1568" s="12">
        <v>46127</v>
      </c>
      <c r="K1568" s="12">
        <v>46127</v>
      </c>
      <c r="L1568" s="12">
        <v>46127</v>
      </c>
      <c r="M1568">
        <v>5</v>
      </c>
      <c r="N1568">
        <v>-3750000</v>
      </c>
      <c r="O1568">
        <v>-3750000</v>
      </c>
      <c r="P1568">
        <v>0</v>
      </c>
      <c r="Q1568">
        <v>-3750000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 t="s">
        <v>47</v>
      </c>
      <c r="AA1568" t="s">
        <v>1062</v>
      </c>
      <c r="AB1568" t="s">
        <v>51</v>
      </c>
      <c r="AC1568" t="s">
        <v>51</v>
      </c>
      <c r="AD1568" t="s">
        <v>51</v>
      </c>
      <c r="AE1568" t="s">
        <v>51</v>
      </c>
      <c r="AF1568" t="s">
        <v>1372</v>
      </c>
    </row>
    <row r="1569" spans="1:32" ht="14.5" customHeight="1" x14ac:dyDescent="0.35">
      <c r="A1569" t="s">
        <v>84</v>
      </c>
      <c r="B1569" t="s">
        <v>85</v>
      </c>
      <c r="C1569" t="s">
        <v>47</v>
      </c>
      <c r="D1569">
        <v>3001420</v>
      </c>
      <c r="E1569">
        <v>3100761</v>
      </c>
      <c r="F1569" t="s">
        <v>10</v>
      </c>
      <c r="G1569" t="s">
        <v>1344</v>
      </c>
      <c r="H1569" t="s">
        <v>54</v>
      </c>
      <c r="I1569">
        <v>6959637</v>
      </c>
      <c r="J1569" s="12">
        <v>46127</v>
      </c>
      <c r="K1569" s="12">
        <v>46127</v>
      </c>
      <c r="L1569" s="12">
        <v>46127</v>
      </c>
      <c r="M1569">
        <v>5</v>
      </c>
      <c r="N1569">
        <v>-23755824</v>
      </c>
      <c r="O1569">
        <v>-23755824</v>
      </c>
      <c r="P1569">
        <v>0</v>
      </c>
      <c r="Q1569">
        <v>-23755824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 t="s">
        <v>47</v>
      </c>
      <c r="AA1569" t="s">
        <v>1062</v>
      </c>
      <c r="AB1569" t="s">
        <v>51</v>
      </c>
      <c r="AC1569" t="s">
        <v>51</v>
      </c>
      <c r="AD1569" t="s">
        <v>51</v>
      </c>
      <c r="AE1569" t="s">
        <v>51</v>
      </c>
      <c r="AF1569" t="s">
        <v>1373</v>
      </c>
    </row>
    <row r="1570" spans="1:32" ht="14.5" customHeight="1" x14ac:dyDescent="0.35">
      <c r="A1570" t="s">
        <v>84</v>
      </c>
      <c r="B1570" t="s">
        <v>85</v>
      </c>
      <c r="C1570" t="s">
        <v>47</v>
      </c>
      <c r="D1570">
        <v>3001420</v>
      </c>
      <c r="E1570">
        <v>3100696</v>
      </c>
      <c r="F1570" t="s">
        <v>10</v>
      </c>
      <c r="G1570" t="s">
        <v>1349</v>
      </c>
      <c r="H1570" t="s">
        <v>54</v>
      </c>
      <c r="I1570">
        <v>6959656</v>
      </c>
      <c r="J1570" s="12">
        <v>46127</v>
      </c>
      <c r="K1570" s="12">
        <v>46127</v>
      </c>
      <c r="L1570" s="12">
        <v>46127</v>
      </c>
      <c r="M1570">
        <v>5</v>
      </c>
      <c r="N1570">
        <v>-7500000</v>
      </c>
      <c r="O1570">
        <v>-7500000</v>
      </c>
      <c r="P1570">
        <v>0</v>
      </c>
      <c r="Q1570">
        <v>-7500000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 t="s">
        <v>47</v>
      </c>
      <c r="AA1570" t="s">
        <v>1062</v>
      </c>
      <c r="AB1570" t="s">
        <v>51</v>
      </c>
      <c r="AC1570" t="s">
        <v>51</v>
      </c>
      <c r="AD1570" t="s">
        <v>51</v>
      </c>
      <c r="AE1570" t="s">
        <v>51</v>
      </c>
      <c r="AF1570" t="s">
        <v>1316</v>
      </c>
    </row>
    <row r="1571" spans="1:32" ht="14.5" customHeight="1" x14ac:dyDescent="0.35">
      <c r="A1571" t="s">
        <v>84</v>
      </c>
      <c r="B1571" t="s">
        <v>85</v>
      </c>
      <c r="C1571" t="s">
        <v>47</v>
      </c>
      <c r="D1571">
        <v>3001420</v>
      </c>
      <c r="E1571">
        <v>3100696</v>
      </c>
      <c r="F1571" t="s">
        <v>10</v>
      </c>
      <c r="G1571" t="s">
        <v>1349</v>
      </c>
      <c r="H1571" t="s">
        <v>54</v>
      </c>
      <c r="I1571">
        <v>6959657</v>
      </c>
      <c r="J1571" s="12">
        <v>46127</v>
      </c>
      <c r="K1571" s="12">
        <v>46127</v>
      </c>
      <c r="L1571" s="12">
        <v>46127</v>
      </c>
      <c r="M1571">
        <v>5</v>
      </c>
      <c r="N1571">
        <v>-6000000</v>
      </c>
      <c r="O1571">
        <v>-6000000</v>
      </c>
      <c r="P1571">
        <v>0</v>
      </c>
      <c r="Q1571">
        <v>-6000000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 t="s">
        <v>47</v>
      </c>
      <c r="AA1571" t="s">
        <v>1062</v>
      </c>
      <c r="AB1571" t="s">
        <v>51</v>
      </c>
      <c r="AC1571" t="s">
        <v>51</v>
      </c>
      <c r="AD1571" t="s">
        <v>51</v>
      </c>
      <c r="AE1571" t="s">
        <v>51</v>
      </c>
      <c r="AF1571" t="s">
        <v>1316</v>
      </c>
    </row>
    <row r="1572" spans="1:32" ht="14.5" customHeight="1" x14ac:dyDescent="0.35">
      <c r="A1572" t="s">
        <v>84</v>
      </c>
      <c r="B1572" t="s">
        <v>85</v>
      </c>
      <c r="C1572" t="s">
        <v>47</v>
      </c>
      <c r="D1572">
        <v>3001420</v>
      </c>
      <c r="E1572">
        <v>3100698</v>
      </c>
      <c r="F1572" t="s">
        <v>10</v>
      </c>
      <c r="G1572" t="s">
        <v>1343</v>
      </c>
      <c r="H1572" t="s">
        <v>54</v>
      </c>
      <c r="I1572">
        <v>6959658</v>
      </c>
      <c r="J1572" s="12">
        <v>46127</v>
      </c>
      <c r="K1572" s="12">
        <v>46127</v>
      </c>
      <c r="L1572" s="12">
        <v>46127</v>
      </c>
      <c r="M1572">
        <v>5</v>
      </c>
      <c r="N1572">
        <v>-6000000</v>
      </c>
      <c r="O1572">
        <v>-6000000</v>
      </c>
      <c r="P1572">
        <v>0</v>
      </c>
      <c r="Q1572">
        <v>-6000000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 t="s">
        <v>47</v>
      </c>
      <c r="AA1572" t="s">
        <v>1062</v>
      </c>
      <c r="AB1572" t="s">
        <v>51</v>
      </c>
      <c r="AC1572" t="s">
        <v>51</v>
      </c>
      <c r="AD1572" t="s">
        <v>51</v>
      </c>
      <c r="AE1572" t="s">
        <v>51</v>
      </c>
      <c r="AF1572" t="s">
        <v>1316</v>
      </c>
    </row>
    <row r="1573" spans="1:32" ht="14.5" customHeight="1" x14ac:dyDescent="0.35">
      <c r="A1573" t="s">
        <v>84</v>
      </c>
      <c r="B1573" t="s">
        <v>85</v>
      </c>
      <c r="C1573" t="s">
        <v>47</v>
      </c>
      <c r="D1573">
        <v>3001420</v>
      </c>
      <c r="E1573">
        <v>3100702</v>
      </c>
      <c r="F1573" t="s">
        <v>10</v>
      </c>
      <c r="G1573" t="s">
        <v>1351</v>
      </c>
      <c r="H1573" t="s">
        <v>54</v>
      </c>
      <c r="I1573">
        <v>6959659</v>
      </c>
      <c r="J1573" s="12">
        <v>46127</v>
      </c>
      <c r="K1573" s="12">
        <v>46127</v>
      </c>
      <c r="L1573" s="12">
        <v>46127</v>
      </c>
      <c r="M1573">
        <v>5</v>
      </c>
      <c r="N1573">
        <v>-8151224</v>
      </c>
      <c r="O1573">
        <v>-8151224</v>
      </c>
      <c r="P1573">
        <v>0</v>
      </c>
      <c r="Q1573">
        <v>-8151224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 t="s">
        <v>47</v>
      </c>
      <c r="AA1573" t="s">
        <v>1062</v>
      </c>
      <c r="AB1573" t="s">
        <v>51</v>
      </c>
      <c r="AC1573" t="s">
        <v>51</v>
      </c>
      <c r="AD1573" t="s">
        <v>51</v>
      </c>
      <c r="AE1573" t="s">
        <v>51</v>
      </c>
      <c r="AF1573" t="s">
        <v>1365</v>
      </c>
    </row>
    <row r="1574" spans="1:32" ht="14.5" customHeight="1" x14ac:dyDescent="0.35">
      <c r="A1574" t="s">
        <v>84</v>
      </c>
      <c r="B1574" t="s">
        <v>85</v>
      </c>
      <c r="C1574" t="s">
        <v>47</v>
      </c>
      <c r="D1574">
        <v>3001420</v>
      </c>
      <c r="E1574">
        <v>3100761</v>
      </c>
      <c r="F1574" t="s">
        <v>10</v>
      </c>
      <c r="G1574" t="s">
        <v>1344</v>
      </c>
      <c r="H1574" t="s">
        <v>54</v>
      </c>
      <c r="I1574">
        <v>6959660</v>
      </c>
      <c r="J1574" s="12">
        <v>46127</v>
      </c>
      <c r="K1574" s="12">
        <v>46127</v>
      </c>
      <c r="L1574" s="12">
        <v>46127</v>
      </c>
      <c r="M1574">
        <v>5</v>
      </c>
      <c r="N1574">
        <v>-163500</v>
      </c>
      <c r="O1574">
        <v>-163500</v>
      </c>
      <c r="P1574">
        <v>0</v>
      </c>
      <c r="Q1574">
        <v>-163500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 t="s">
        <v>47</v>
      </c>
      <c r="AA1574" t="s">
        <v>1062</v>
      </c>
      <c r="AB1574" t="s">
        <v>51</v>
      </c>
      <c r="AC1574" t="s">
        <v>51</v>
      </c>
      <c r="AD1574" t="s">
        <v>51</v>
      </c>
      <c r="AE1574" t="s">
        <v>51</v>
      </c>
      <c r="AF1574" t="s">
        <v>1364</v>
      </c>
    </row>
    <row r="1575" spans="1:32" ht="14.5" customHeight="1" x14ac:dyDescent="0.35">
      <c r="A1575" t="s">
        <v>84</v>
      </c>
      <c r="B1575" t="s">
        <v>85</v>
      </c>
      <c r="C1575" t="s">
        <v>47</v>
      </c>
      <c r="D1575">
        <v>3001420</v>
      </c>
      <c r="E1575">
        <v>3100763</v>
      </c>
      <c r="F1575" t="s">
        <v>10</v>
      </c>
      <c r="G1575" t="s">
        <v>1346</v>
      </c>
      <c r="H1575" t="s">
        <v>54</v>
      </c>
      <c r="I1575">
        <v>6959661</v>
      </c>
      <c r="J1575" s="12">
        <v>46127</v>
      </c>
      <c r="K1575" s="12">
        <v>46127</v>
      </c>
      <c r="L1575" s="12">
        <v>46127</v>
      </c>
      <c r="M1575">
        <v>5</v>
      </c>
      <c r="N1575">
        <v>-14392500</v>
      </c>
      <c r="O1575">
        <v>-14392500</v>
      </c>
      <c r="P1575">
        <v>0</v>
      </c>
      <c r="Q1575">
        <v>-14392500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 t="s">
        <v>47</v>
      </c>
      <c r="AA1575" t="s">
        <v>1062</v>
      </c>
      <c r="AB1575" t="s">
        <v>51</v>
      </c>
      <c r="AC1575" t="s">
        <v>51</v>
      </c>
      <c r="AD1575" t="s">
        <v>51</v>
      </c>
      <c r="AE1575" t="s">
        <v>51</v>
      </c>
      <c r="AF1575" t="s">
        <v>1374</v>
      </c>
    </row>
    <row r="1576" spans="1:32" ht="14.5" customHeight="1" x14ac:dyDescent="0.35">
      <c r="A1576" t="s">
        <v>84</v>
      </c>
      <c r="B1576" t="s">
        <v>85</v>
      </c>
      <c r="C1576" t="s">
        <v>47</v>
      </c>
      <c r="D1576">
        <v>3001420</v>
      </c>
      <c r="E1576">
        <v>3100763</v>
      </c>
      <c r="F1576" t="s">
        <v>10</v>
      </c>
      <c r="G1576" t="s">
        <v>1346</v>
      </c>
      <c r="H1576" t="s">
        <v>54</v>
      </c>
      <c r="I1576">
        <v>6959662</v>
      </c>
      <c r="J1576" s="12">
        <v>46127</v>
      </c>
      <c r="K1576" s="12">
        <v>46127</v>
      </c>
      <c r="L1576" s="12">
        <v>46127</v>
      </c>
      <c r="M1576">
        <v>5</v>
      </c>
      <c r="N1576">
        <v>-882000</v>
      </c>
      <c r="O1576">
        <v>-882000</v>
      </c>
      <c r="P1576">
        <v>0</v>
      </c>
      <c r="Q1576">
        <v>-882000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 t="s">
        <v>47</v>
      </c>
      <c r="AA1576" t="s">
        <v>1062</v>
      </c>
      <c r="AB1576" t="s">
        <v>51</v>
      </c>
      <c r="AC1576" t="s">
        <v>51</v>
      </c>
      <c r="AD1576" t="s">
        <v>51</v>
      </c>
      <c r="AE1576" t="s">
        <v>51</v>
      </c>
      <c r="AF1576" t="s">
        <v>1375</v>
      </c>
    </row>
    <row r="1577" spans="1:32" ht="14.5" customHeight="1" x14ac:dyDescent="0.35">
      <c r="A1577" t="s">
        <v>84</v>
      </c>
      <c r="B1577" t="s">
        <v>85</v>
      </c>
      <c r="C1577" t="s">
        <v>47</v>
      </c>
      <c r="D1577">
        <v>3001420</v>
      </c>
      <c r="E1577">
        <v>3100763</v>
      </c>
      <c r="F1577" t="s">
        <v>10</v>
      </c>
      <c r="G1577" t="s">
        <v>1346</v>
      </c>
      <c r="H1577" t="s">
        <v>54</v>
      </c>
      <c r="I1577">
        <v>6959663</v>
      </c>
      <c r="J1577" s="12">
        <v>46127</v>
      </c>
      <c r="K1577" s="12">
        <v>46127</v>
      </c>
      <c r="L1577" s="12">
        <v>46127</v>
      </c>
      <c r="M1577">
        <v>5</v>
      </c>
      <c r="N1577">
        <v>-11135250</v>
      </c>
      <c r="O1577">
        <v>-11135250</v>
      </c>
      <c r="P1577">
        <v>0</v>
      </c>
      <c r="Q1577">
        <v>-11135250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 t="s">
        <v>47</v>
      </c>
      <c r="AA1577" t="s">
        <v>1062</v>
      </c>
      <c r="AB1577" t="s">
        <v>51</v>
      </c>
      <c r="AC1577" t="s">
        <v>51</v>
      </c>
      <c r="AD1577" t="s">
        <v>51</v>
      </c>
      <c r="AE1577" t="s">
        <v>51</v>
      </c>
      <c r="AF1577" t="s">
        <v>1376</v>
      </c>
    </row>
    <row r="1578" spans="1:32" ht="14.5" customHeight="1" x14ac:dyDescent="0.35">
      <c r="A1578" t="s">
        <v>84</v>
      </c>
      <c r="B1578" t="s">
        <v>85</v>
      </c>
      <c r="C1578" t="s">
        <v>47</v>
      </c>
      <c r="D1578">
        <v>3001420</v>
      </c>
      <c r="E1578">
        <v>3100763</v>
      </c>
      <c r="F1578" t="s">
        <v>10</v>
      </c>
      <c r="G1578" t="s">
        <v>1346</v>
      </c>
      <c r="H1578" t="s">
        <v>54</v>
      </c>
      <c r="I1578">
        <v>6959664</v>
      </c>
      <c r="J1578" s="12">
        <v>46127</v>
      </c>
      <c r="K1578" s="12">
        <v>46127</v>
      </c>
      <c r="L1578" s="12">
        <v>46127</v>
      </c>
      <c r="M1578">
        <v>5</v>
      </c>
      <c r="N1578">
        <v>-10605000</v>
      </c>
      <c r="O1578">
        <v>-10605000</v>
      </c>
      <c r="P1578">
        <v>0</v>
      </c>
      <c r="Q1578">
        <v>-10605000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 t="s">
        <v>47</v>
      </c>
      <c r="AA1578" t="s">
        <v>1062</v>
      </c>
      <c r="AB1578" t="s">
        <v>51</v>
      </c>
      <c r="AC1578" t="s">
        <v>51</v>
      </c>
      <c r="AD1578" t="s">
        <v>51</v>
      </c>
      <c r="AE1578" t="s">
        <v>51</v>
      </c>
      <c r="AF1578" t="s">
        <v>1377</v>
      </c>
    </row>
    <row r="1579" spans="1:32" ht="14.5" customHeight="1" x14ac:dyDescent="0.35">
      <c r="A1579" t="s">
        <v>84</v>
      </c>
      <c r="B1579" t="s">
        <v>85</v>
      </c>
      <c r="C1579" t="s">
        <v>846</v>
      </c>
      <c r="D1579">
        <v>3001420</v>
      </c>
      <c r="E1579">
        <v>3100662</v>
      </c>
      <c r="F1579" t="s">
        <v>10</v>
      </c>
      <c r="G1579" t="s">
        <v>1305</v>
      </c>
      <c r="H1579" t="s">
        <v>111</v>
      </c>
      <c r="I1579">
        <v>6959685</v>
      </c>
      <c r="J1579" s="12">
        <v>46128</v>
      </c>
      <c r="K1579" s="12">
        <v>46128</v>
      </c>
      <c r="L1579" s="12">
        <v>46128</v>
      </c>
      <c r="M1579">
        <v>4</v>
      </c>
      <c r="N1579">
        <v>-10336853</v>
      </c>
      <c r="O1579">
        <v>-10336853</v>
      </c>
      <c r="P1579">
        <v>0</v>
      </c>
      <c r="Q1579">
        <v>-10336853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 t="s">
        <v>846</v>
      </c>
      <c r="AA1579" t="s">
        <v>1062</v>
      </c>
      <c r="AB1579" t="s">
        <v>51</v>
      </c>
      <c r="AC1579" t="s">
        <v>51</v>
      </c>
      <c r="AD1579" t="s">
        <v>51</v>
      </c>
      <c r="AE1579" t="s">
        <v>51</v>
      </c>
      <c r="AF1579" t="s">
        <v>1352</v>
      </c>
    </row>
    <row r="1580" spans="1:32" ht="14.5" customHeight="1" x14ac:dyDescent="0.35">
      <c r="A1580" t="s">
        <v>84</v>
      </c>
      <c r="B1580" t="s">
        <v>85</v>
      </c>
      <c r="C1580" t="s">
        <v>846</v>
      </c>
      <c r="D1580">
        <v>3001420</v>
      </c>
      <c r="E1580">
        <v>3100662</v>
      </c>
      <c r="F1580" t="s">
        <v>10</v>
      </c>
      <c r="G1580" t="s">
        <v>1305</v>
      </c>
      <c r="H1580" t="s">
        <v>111</v>
      </c>
      <c r="I1580">
        <v>6959686</v>
      </c>
      <c r="J1580" s="12">
        <v>46128</v>
      </c>
      <c r="K1580" s="12">
        <v>46128</v>
      </c>
      <c r="L1580" s="12">
        <v>46128</v>
      </c>
      <c r="M1580">
        <v>4</v>
      </c>
      <c r="N1580">
        <v>-5067887</v>
      </c>
      <c r="O1580">
        <v>-5067887</v>
      </c>
      <c r="P1580">
        <v>0</v>
      </c>
      <c r="Q1580">
        <v>-5067887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 t="s">
        <v>846</v>
      </c>
      <c r="AA1580" t="s">
        <v>1062</v>
      </c>
      <c r="AB1580" t="s">
        <v>51</v>
      </c>
      <c r="AC1580" t="s">
        <v>51</v>
      </c>
      <c r="AD1580" t="s">
        <v>51</v>
      </c>
      <c r="AE1580" t="s">
        <v>51</v>
      </c>
      <c r="AF1580" t="s">
        <v>928</v>
      </c>
    </row>
    <row r="1581" spans="1:32" ht="14.5" customHeight="1" x14ac:dyDescent="0.35">
      <c r="A1581" t="s">
        <v>84</v>
      </c>
      <c r="B1581" t="s">
        <v>85</v>
      </c>
      <c r="C1581" t="s">
        <v>47</v>
      </c>
      <c r="D1581">
        <v>3001420</v>
      </c>
      <c r="E1581">
        <v>3100636</v>
      </c>
      <c r="F1581" t="s">
        <v>10</v>
      </c>
      <c r="G1581" t="s">
        <v>10</v>
      </c>
      <c r="H1581" t="s">
        <v>54</v>
      </c>
      <c r="I1581">
        <v>6959758</v>
      </c>
      <c r="J1581" s="12">
        <v>46128</v>
      </c>
      <c r="K1581" s="12">
        <v>46128</v>
      </c>
      <c r="L1581" s="12">
        <v>46128</v>
      </c>
      <c r="M1581">
        <v>4</v>
      </c>
      <c r="N1581">
        <v>-30085646</v>
      </c>
      <c r="O1581">
        <v>-30085646</v>
      </c>
      <c r="P1581">
        <v>0</v>
      </c>
      <c r="Q1581">
        <v>-30085646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 t="s">
        <v>47</v>
      </c>
      <c r="AA1581" t="s">
        <v>1062</v>
      </c>
      <c r="AB1581" t="s">
        <v>51</v>
      </c>
      <c r="AC1581" t="s">
        <v>51</v>
      </c>
      <c r="AD1581" t="s">
        <v>51</v>
      </c>
      <c r="AE1581" t="s">
        <v>51</v>
      </c>
      <c r="AF1581" t="s">
        <v>56</v>
      </c>
    </row>
    <row r="1582" spans="1:32" ht="14.5" customHeight="1" x14ac:dyDescent="0.35">
      <c r="A1582" t="s">
        <v>84</v>
      </c>
      <c r="B1582" t="s">
        <v>85</v>
      </c>
      <c r="C1582" t="s">
        <v>47</v>
      </c>
      <c r="D1582">
        <v>3001420</v>
      </c>
      <c r="E1582">
        <v>3100661</v>
      </c>
      <c r="F1582" t="s">
        <v>10</v>
      </c>
      <c r="G1582" t="s">
        <v>1305</v>
      </c>
      <c r="H1582" t="s">
        <v>54</v>
      </c>
      <c r="I1582">
        <v>6959759</v>
      </c>
      <c r="J1582" s="12">
        <v>46128</v>
      </c>
      <c r="K1582" s="12">
        <v>46128</v>
      </c>
      <c r="L1582" s="12">
        <v>46128</v>
      </c>
      <c r="M1582">
        <v>4</v>
      </c>
      <c r="N1582">
        <v>-8205727</v>
      </c>
      <c r="O1582">
        <v>-8205727</v>
      </c>
      <c r="P1582">
        <v>0</v>
      </c>
      <c r="Q1582">
        <v>-8205727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 t="s">
        <v>47</v>
      </c>
      <c r="AA1582" t="s">
        <v>1062</v>
      </c>
      <c r="AB1582" t="s">
        <v>51</v>
      </c>
      <c r="AC1582" t="s">
        <v>51</v>
      </c>
      <c r="AD1582" t="s">
        <v>51</v>
      </c>
      <c r="AE1582" t="s">
        <v>51</v>
      </c>
      <c r="AF1582" t="s">
        <v>928</v>
      </c>
    </row>
    <row r="1583" spans="1:32" ht="14.5" customHeight="1" x14ac:dyDescent="0.35">
      <c r="A1583" t="s">
        <v>84</v>
      </c>
      <c r="B1583" t="s">
        <v>85</v>
      </c>
      <c r="C1583" t="s">
        <v>47</v>
      </c>
      <c r="D1583">
        <v>3001420</v>
      </c>
      <c r="E1583">
        <v>3100679</v>
      </c>
      <c r="F1583" t="s">
        <v>10</v>
      </c>
      <c r="G1583" t="s">
        <v>1309</v>
      </c>
      <c r="H1583" t="s">
        <v>54</v>
      </c>
      <c r="I1583">
        <v>6959760</v>
      </c>
      <c r="J1583" s="12">
        <v>46128</v>
      </c>
      <c r="K1583" s="12">
        <v>46128</v>
      </c>
      <c r="L1583" s="12">
        <v>46128</v>
      </c>
      <c r="M1583">
        <v>4</v>
      </c>
      <c r="N1583">
        <v>-18979786</v>
      </c>
      <c r="O1583">
        <v>-18979786</v>
      </c>
      <c r="P1583">
        <v>0</v>
      </c>
      <c r="Q1583">
        <v>-18979786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 t="s">
        <v>47</v>
      </c>
      <c r="AA1583" t="s">
        <v>1062</v>
      </c>
      <c r="AB1583" t="s">
        <v>51</v>
      </c>
      <c r="AC1583" t="s">
        <v>51</v>
      </c>
      <c r="AD1583" t="s">
        <v>51</v>
      </c>
      <c r="AE1583" t="s">
        <v>51</v>
      </c>
      <c r="AF1583" t="s">
        <v>616</v>
      </c>
    </row>
    <row r="1584" spans="1:32" ht="14.5" customHeight="1" x14ac:dyDescent="0.35">
      <c r="A1584" t="s">
        <v>84</v>
      </c>
      <c r="B1584" t="s">
        <v>85</v>
      </c>
      <c r="C1584" t="s">
        <v>47</v>
      </c>
      <c r="D1584">
        <v>3001420</v>
      </c>
      <c r="E1584">
        <v>3100661</v>
      </c>
      <c r="F1584" t="s">
        <v>10</v>
      </c>
      <c r="G1584" t="s">
        <v>1305</v>
      </c>
      <c r="H1584" t="s">
        <v>54</v>
      </c>
      <c r="I1584">
        <v>6959823</v>
      </c>
      <c r="J1584" s="12">
        <v>46128</v>
      </c>
      <c r="K1584" s="12">
        <v>46128</v>
      </c>
      <c r="L1584" s="12">
        <v>46128</v>
      </c>
      <c r="M1584">
        <v>4</v>
      </c>
      <c r="N1584">
        <v>-91842712</v>
      </c>
      <c r="O1584">
        <v>-91842712</v>
      </c>
      <c r="P1584">
        <v>0</v>
      </c>
      <c r="Q1584">
        <v>-91842712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 t="s">
        <v>47</v>
      </c>
      <c r="AA1584" t="s">
        <v>1062</v>
      </c>
      <c r="AB1584" t="s">
        <v>51</v>
      </c>
      <c r="AC1584" t="s">
        <v>51</v>
      </c>
      <c r="AD1584" t="s">
        <v>51</v>
      </c>
      <c r="AE1584" t="s">
        <v>51</v>
      </c>
      <c r="AF1584" t="s">
        <v>325</v>
      </c>
    </row>
    <row r="1585" spans="1:32" ht="14.5" customHeight="1" x14ac:dyDescent="0.35">
      <c r="A1585" t="s">
        <v>84</v>
      </c>
      <c r="B1585" t="s">
        <v>85</v>
      </c>
      <c r="C1585" t="s">
        <v>47</v>
      </c>
      <c r="D1585">
        <v>3001420</v>
      </c>
      <c r="E1585">
        <v>3100744</v>
      </c>
      <c r="F1585" t="s">
        <v>10</v>
      </c>
      <c r="G1585" t="s">
        <v>1314</v>
      </c>
      <c r="H1585" t="s">
        <v>54</v>
      </c>
      <c r="I1585">
        <v>6959870</v>
      </c>
      <c r="J1585" s="12">
        <v>46129</v>
      </c>
      <c r="K1585" s="12">
        <v>46129</v>
      </c>
      <c r="L1585" s="12">
        <v>46129</v>
      </c>
      <c r="M1585">
        <v>3</v>
      </c>
      <c r="N1585">
        <v>-55531924</v>
      </c>
      <c r="O1585">
        <v>-55531924</v>
      </c>
      <c r="P1585">
        <v>0</v>
      </c>
      <c r="Q1585">
        <v>-55531924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 t="s">
        <v>47</v>
      </c>
      <c r="AA1585" t="s">
        <v>1062</v>
      </c>
      <c r="AB1585" t="s">
        <v>51</v>
      </c>
      <c r="AC1585" t="s">
        <v>51</v>
      </c>
      <c r="AD1585" t="s">
        <v>51</v>
      </c>
      <c r="AE1585" t="s">
        <v>51</v>
      </c>
      <c r="AF1585" t="s">
        <v>330</v>
      </c>
    </row>
    <row r="1586" spans="1:32" ht="14.5" customHeight="1" x14ac:dyDescent="0.35">
      <c r="A1586" t="s">
        <v>84</v>
      </c>
      <c r="B1586" t="s">
        <v>85</v>
      </c>
      <c r="C1586" t="s">
        <v>47</v>
      </c>
      <c r="D1586">
        <v>3001420</v>
      </c>
      <c r="E1586">
        <v>3100702</v>
      </c>
      <c r="F1586" t="s">
        <v>10</v>
      </c>
      <c r="G1586" t="s">
        <v>1351</v>
      </c>
      <c r="H1586" t="s">
        <v>54</v>
      </c>
      <c r="I1586">
        <v>6959890</v>
      </c>
      <c r="J1586" s="12">
        <v>46129</v>
      </c>
      <c r="K1586" s="12">
        <v>46129</v>
      </c>
      <c r="L1586" s="12">
        <v>46129</v>
      </c>
      <c r="M1586">
        <v>3</v>
      </c>
      <c r="N1586">
        <v>-41043198</v>
      </c>
      <c r="O1586">
        <v>-41043198</v>
      </c>
      <c r="P1586">
        <v>0</v>
      </c>
      <c r="Q1586">
        <v>-41043198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 t="s">
        <v>47</v>
      </c>
      <c r="AA1586" t="s">
        <v>1062</v>
      </c>
      <c r="AB1586" t="s">
        <v>51</v>
      </c>
      <c r="AC1586" t="s">
        <v>51</v>
      </c>
      <c r="AD1586" t="s">
        <v>51</v>
      </c>
      <c r="AE1586" t="s">
        <v>51</v>
      </c>
      <c r="AF1586" t="s">
        <v>285</v>
      </c>
    </row>
    <row r="1587" spans="1:32" ht="14.5" customHeight="1" x14ac:dyDescent="0.35">
      <c r="A1587" t="s">
        <v>84</v>
      </c>
      <c r="B1587" t="s">
        <v>85</v>
      </c>
      <c r="C1587" t="s">
        <v>47</v>
      </c>
      <c r="D1587">
        <v>3001420</v>
      </c>
      <c r="E1587">
        <v>3100696</v>
      </c>
      <c r="F1587" t="s">
        <v>10</v>
      </c>
      <c r="G1587" t="s">
        <v>1349</v>
      </c>
      <c r="H1587" t="s">
        <v>54</v>
      </c>
      <c r="I1587">
        <v>6959900</v>
      </c>
      <c r="J1587" s="12">
        <v>46129</v>
      </c>
      <c r="K1587" s="12">
        <v>46129</v>
      </c>
      <c r="L1587" s="12">
        <v>46129</v>
      </c>
      <c r="M1587">
        <v>3</v>
      </c>
      <c r="N1587">
        <v>-37220030</v>
      </c>
      <c r="O1587">
        <v>-37220030</v>
      </c>
      <c r="P1587">
        <v>0</v>
      </c>
      <c r="Q1587">
        <v>-37220030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 t="s">
        <v>47</v>
      </c>
      <c r="AA1587" t="s">
        <v>1062</v>
      </c>
      <c r="AB1587" t="s">
        <v>51</v>
      </c>
      <c r="AC1587" t="s">
        <v>51</v>
      </c>
      <c r="AD1587" t="s">
        <v>51</v>
      </c>
      <c r="AE1587" t="s">
        <v>51</v>
      </c>
      <c r="AF1587" t="s">
        <v>325</v>
      </c>
    </row>
    <row r="1588" spans="1:32" ht="14.5" customHeight="1" x14ac:dyDescent="0.35">
      <c r="A1588" t="s">
        <v>84</v>
      </c>
      <c r="B1588" t="s">
        <v>85</v>
      </c>
      <c r="C1588" t="s">
        <v>47</v>
      </c>
      <c r="D1588">
        <v>3001420</v>
      </c>
      <c r="E1588">
        <v>3100698</v>
      </c>
      <c r="F1588" t="s">
        <v>10</v>
      </c>
      <c r="G1588" t="s">
        <v>1343</v>
      </c>
      <c r="H1588" t="s">
        <v>54</v>
      </c>
      <c r="I1588">
        <v>6959901</v>
      </c>
      <c r="J1588" s="12">
        <v>46129</v>
      </c>
      <c r="K1588" s="12">
        <v>46129</v>
      </c>
      <c r="L1588" s="12">
        <v>46129</v>
      </c>
      <c r="M1588">
        <v>3</v>
      </c>
      <c r="N1588">
        <v>-53736854</v>
      </c>
      <c r="O1588">
        <v>-53736854</v>
      </c>
      <c r="P1588">
        <v>0</v>
      </c>
      <c r="Q1588">
        <v>-53736854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 t="s">
        <v>47</v>
      </c>
      <c r="AA1588" t="s">
        <v>1062</v>
      </c>
      <c r="AB1588" t="s">
        <v>51</v>
      </c>
      <c r="AC1588" t="s">
        <v>51</v>
      </c>
      <c r="AD1588" t="s">
        <v>51</v>
      </c>
      <c r="AE1588" t="s">
        <v>51</v>
      </c>
      <c r="AF1588" t="s">
        <v>334</v>
      </c>
    </row>
    <row r="1589" spans="1:32" ht="14.5" customHeight="1" x14ac:dyDescent="0.35">
      <c r="A1589" t="s">
        <v>84</v>
      </c>
      <c r="B1589" t="s">
        <v>85</v>
      </c>
      <c r="C1589" t="s">
        <v>47</v>
      </c>
      <c r="D1589">
        <v>3001420</v>
      </c>
      <c r="E1589">
        <v>3100700</v>
      </c>
      <c r="F1589" t="s">
        <v>10</v>
      </c>
      <c r="G1589" t="s">
        <v>1350</v>
      </c>
      <c r="H1589" t="s">
        <v>54</v>
      </c>
      <c r="I1589">
        <v>6959902</v>
      </c>
      <c r="J1589" s="12">
        <v>46129</v>
      </c>
      <c r="K1589" s="12">
        <v>46129</v>
      </c>
      <c r="L1589" s="12">
        <v>46129</v>
      </c>
      <c r="M1589">
        <v>3</v>
      </c>
      <c r="N1589">
        <v>-23796635</v>
      </c>
      <c r="O1589">
        <v>-23796635</v>
      </c>
      <c r="P1589">
        <v>0</v>
      </c>
      <c r="Q1589">
        <v>-23796635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 t="s">
        <v>47</v>
      </c>
      <c r="AA1589" t="s">
        <v>1062</v>
      </c>
      <c r="AB1589" t="s">
        <v>51</v>
      </c>
      <c r="AC1589" t="s">
        <v>51</v>
      </c>
      <c r="AD1589" t="s">
        <v>51</v>
      </c>
      <c r="AE1589" t="s">
        <v>51</v>
      </c>
      <c r="AF1589" t="s">
        <v>325</v>
      </c>
    </row>
    <row r="1590" spans="1:32" ht="14.5" customHeight="1" x14ac:dyDescent="0.35">
      <c r="A1590" t="s">
        <v>84</v>
      </c>
      <c r="B1590" t="s">
        <v>85</v>
      </c>
      <c r="C1590" t="s">
        <v>47</v>
      </c>
      <c r="D1590">
        <v>3001420</v>
      </c>
      <c r="E1590">
        <v>3100763</v>
      </c>
      <c r="F1590" t="s">
        <v>10</v>
      </c>
      <c r="G1590" t="s">
        <v>1346</v>
      </c>
      <c r="H1590" t="s">
        <v>54</v>
      </c>
      <c r="I1590">
        <v>6959904</v>
      </c>
      <c r="J1590" s="12">
        <v>46129</v>
      </c>
      <c r="K1590" s="12">
        <v>46129</v>
      </c>
      <c r="L1590" s="12">
        <v>46129</v>
      </c>
      <c r="M1590">
        <v>3</v>
      </c>
      <c r="N1590">
        <v>-144415339</v>
      </c>
      <c r="O1590">
        <v>-144415339</v>
      </c>
      <c r="P1590">
        <v>0</v>
      </c>
      <c r="Q1590">
        <v>-144415339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 t="s">
        <v>47</v>
      </c>
      <c r="AA1590" t="s">
        <v>1062</v>
      </c>
      <c r="AB1590" t="s">
        <v>51</v>
      </c>
      <c r="AC1590" t="s">
        <v>51</v>
      </c>
      <c r="AD1590" t="s">
        <v>51</v>
      </c>
      <c r="AE1590" t="s">
        <v>51</v>
      </c>
      <c r="AF1590" t="s">
        <v>330</v>
      </c>
    </row>
    <row r="1591" spans="1:32" ht="14.5" customHeight="1" x14ac:dyDescent="0.35">
      <c r="A1591" t="s">
        <v>84</v>
      </c>
      <c r="B1591" t="s">
        <v>85</v>
      </c>
      <c r="C1591" t="s">
        <v>47</v>
      </c>
      <c r="D1591">
        <v>3001420</v>
      </c>
      <c r="E1591">
        <v>3100761</v>
      </c>
      <c r="F1591" t="s">
        <v>10</v>
      </c>
      <c r="G1591" t="s">
        <v>1344</v>
      </c>
      <c r="H1591" t="s">
        <v>54</v>
      </c>
      <c r="I1591">
        <v>6960107</v>
      </c>
      <c r="J1591" s="12">
        <v>46130</v>
      </c>
      <c r="K1591" s="12">
        <v>46130</v>
      </c>
      <c r="L1591" s="12">
        <v>46130</v>
      </c>
      <c r="M1591">
        <v>2</v>
      </c>
      <c r="N1591">
        <v>-4769412</v>
      </c>
      <c r="O1591">
        <v>-4769412</v>
      </c>
      <c r="P1591">
        <v>0</v>
      </c>
      <c r="Q1591">
        <v>-4769412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 t="s">
        <v>47</v>
      </c>
      <c r="AA1591" t="s">
        <v>1062</v>
      </c>
      <c r="AB1591" t="s">
        <v>51</v>
      </c>
      <c r="AC1591" t="s">
        <v>51</v>
      </c>
      <c r="AD1591" t="s">
        <v>51</v>
      </c>
      <c r="AE1591" t="s">
        <v>51</v>
      </c>
      <c r="AF1591" t="s">
        <v>1366</v>
      </c>
    </row>
    <row r="1592" spans="1:32" ht="14.5" customHeight="1" x14ac:dyDescent="0.35">
      <c r="A1592" t="s">
        <v>84</v>
      </c>
      <c r="B1592" t="s">
        <v>85</v>
      </c>
      <c r="C1592" t="s">
        <v>47</v>
      </c>
      <c r="D1592">
        <v>3001420</v>
      </c>
      <c r="E1592">
        <v>3100661</v>
      </c>
      <c r="F1592" t="s">
        <v>10</v>
      </c>
      <c r="G1592" t="s">
        <v>1305</v>
      </c>
      <c r="H1592" t="s">
        <v>54</v>
      </c>
      <c r="I1592">
        <v>6960268</v>
      </c>
      <c r="J1592" s="12">
        <v>46130</v>
      </c>
      <c r="K1592" s="12">
        <v>46130</v>
      </c>
      <c r="L1592" s="12">
        <v>46130</v>
      </c>
      <c r="M1592">
        <v>2</v>
      </c>
      <c r="N1592">
        <v>-1093950</v>
      </c>
      <c r="O1592">
        <v>-1093950</v>
      </c>
      <c r="P1592">
        <v>0</v>
      </c>
      <c r="Q1592">
        <v>-1093950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 t="s">
        <v>47</v>
      </c>
      <c r="AA1592" t="s">
        <v>1062</v>
      </c>
      <c r="AB1592" t="s">
        <v>51</v>
      </c>
      <c r="AC1592" t="s">
        <v>51</v>
      </c>
      <c r="AD1592" t="s">
        <v>51</v>
      </c>
      <c r="AE1592" t="s">
        <v>51</v>
      </c>
      <c r="AF1592" t="s">
        <v>1378</v>
      </c>
    </row>
    <row r="1593" spans="1:32" ht="14.5" customHeight="1" x14ac:dyDescent="0.35">
      <c r="A1593" t="s">
        <v>84</v>
      </c>
      <c r="B1593" t="s">
        <v>85</v>
      </c>
      <c r="C1593" t="s">
        <v>47</v>
      </c>
      <c r="D1593">
        <v>3001420</v>
      </c>
      <c r="E1593">
        <v>3100661</v>
      </c>
      <c r="F1593" t="s">
        <v>10</v>
      </c>
      <c r="G1593" t="s">
        <v>1305</v>
      </c>
      <c r="H1593" t="s">
        <v>54</v>
      </c>
      <c r="I1593">
        <v>6960269</v>
      </c>
      <c r="J1593" s="12">
        <v>46130</v>
      </c>
      <c r="K1593" s="12">
        <v>46130</v>
      </c>
      <c r="L1593" s="12">
        <v>46130</v>
      </c>
      <c r="M1593">
        <v>2</v>
      </c>
      <c r="N1593">
        <v>-1028500</v>
      </c>
      <c r="O1593">
        <v>-1028500</v>
      </c>
      <c r="P1593">
        <v>0</v>
      </c>
      <c r="Q1593">
        <v>-1028500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 t="s">
        <v>47</v>
      </c>
      <c r="AA1593" t="s">
        <v>1062</v>
      </c>
      <c r="AB1593" t="s">
        <v>51</v>
      </c>
      <c r="AC1593" t="s">
        <v>51</v>
      </c>
      <c r="AD1593" t="s">
        <v>51</v>
      </c>
      <c r="AE1593" t="s">
        <v>51</v>
      </c>
      <c r="AF1593" t="s">
        <v>1379</v>
      </c>
    </row>
    <row r="1594" spans="1:32" ht="14.5" customHeight="1" x14ac:dyDescent="0.35">
      <c r="A1594" t="s">
        <v>84</v>
      </c>
      <c r="B1594" t="s">
        <v>85</v>
      </c>
      <c r="C1594" t="s">
        <v>47</v>
      </c>
      <c r="D1594">
        <v>3001420</v>
      </c>
      <c r="E1594">
        <v>3100661</v>
      </c>
      <c r="F1594" t="s">
        <v>10</v>
      </c>
      <c r="G1594" t="s">
        <v>1305</v>
      </c>
      <c r="H1594" t="s">
        <v>54</v>
      </c>
      <c r="I1594">
        <v>6960270</v>
      </c>
      <c r="J1594" s="12">
        <v>46130</v>
      </c>
      <c r="K1594" s="12">
        <v>46130</v>
      </c>
      <c r="L1594" s="12">
        <v>46130</v>
      </c>
      <c r="M1594">
        <v>2</v>
      </c>
      <c r="N1594">
        <v>-1823250</v>
      </c>
      <c r="O1594">
        <v>-1823250</v>
      </c>
      <c r="P1594">
        <v>0</v>
      </c>
      <c r="Q1594">
        <v>-1823250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 t="s">
        <v>47</v>
      </c>
      <c r="AA1594" t="s">
        <v>1062</v>
      </c>
      <c r="AB1594" t="s">
        <v>51</v>
      </c>
      <c r="AC1594" t="s">
        <v>51</v>
      </c>
      <c r="AD1594" t="s">
        <v>51</v>
      </c>
      <c r="AE1594" t="s">
        <v>51</v>
      </c>
      <c r="AF1594" t="s">
        <v>1380</v>
      </c>
    </row>
    <row r="1595" spans="1:32" ht="14.5" customHeight="1" x14ac:dyDescent="0.35">
      <c r="A1595" t="s">
        <v>84</v>
      </c>
      <c r="B1595" t="s">
        <v>85</v>
      </c>
      <c r="C1595" t="s">
        <v>47</v>
      </c>
      <c r="D1595">
        <v>3001420</v>
      </c>
      <c r="E1595">
        <v>3100661</v>
      </c>
      <c r="F1595" t="s">
        <v>10</v>
      </c>
      <c r="G1595" t="s">
        <v>1305</v>
      </c>
      <c r="H1595" t="s">
        <v>54</v>
      </c>
      <c r="I1595">
        <v>6960271</v>
      </c>
      <c r="J1595" s="12">
        <v>46130</v>
      </c>
      <c r="K1595" s="12">
        <v>46130</v>
      </c>
      <c r="L1595" s="12">
        <v>46130</v>
      </c>
      <c r="M1595">
        <v>2</v>
      </c>
      <c r="N1595">
        <v>-981750</v>
      </c>
      <c r="O1595">
        <v>-981750</v>
      </c>
      <c r="P1595">
        <v>0</v>
      </c>
      <c r="Q1595">
        <v>-981750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 t="s">
        <v>47</v>
      </c>
      <c r="AA1595" t="s">
        <v>1062</v>
      </c>
      <c r="AB1595" t="s">
        <v>51</v>
      </c>
      <c r="AC1595" t="s">
        <v>51</v>
      </c>
      <c r="AD1595" t="s">
        <v>51</v>
      </c>
      <c r="AE1595" t="s">
        <v>51</v>
      </c>
      <c r="AF1595" t="s">
        <v>1379</v>
      </c>
    </row>
    <row r="1596" spans="1:32" ht="14.5" customHeight="1" x14ac:dyDescent="0.35">
      <c r="A1596" t="s">
        <v>84</v>
      </c>
      <c r="B1596" t="s">
        <v>85</v>
      </c>
      <c r="C1596" t="s">
        <v>47</v>
      </c>
      <c r="D1596">
        <v>3001420</v>
      </c>
      <c r="E1596">
        <v>3100661</v>
      </c>
      <c r="F1596" t="s">
        <v>10</v>
      </c>
      <c r="G1596" t="s">
        <v>1305</v>
      </c>
      <c r="H1596" t="s">
        <v>54</v>
      </c>
      <c r="I1596">
        <v>6960272</v>
      </c>
      <c r="J1596" s="12">
        <v>46130</v>
      </c>
      <c r="K1596" s="12">
        <v>46130</v>
      </c>
      <c r="L1596" s="12">
        <v>46130</v>
      </c>
      <c r="M1596">
        <v>2</v>
      </c>
      <c r="N1596">
        <v>-748000</v>
      </c>
      <c r="O1596">
        <v>-748000</v>
      </c>
      <c r="P1596">
        <v>0</v>
      </c>
      <c r="Q1596">
        <v>-748000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 t="s">
        <v>47</v>
      </c>
      <c r="AA1596" t="s">
        <v>1062</v>
      </c>
      <c r="AB1596" t="s">
        <v>51</v>
      </c>
      <c r="AC1596" t="s">
        <v>51</v>
      </c>
      <c r="AD1596" t="s">
        <v>51</v>
      </c>
      <c r="AE1596" t="s">
        <v>51</v>
      </c>
      <c r="AF1596" t="s">
        <v>1381</v>
      </c>
    </row>
    <row r="1597" spans="1:32" ht="14.5" customHeight="1" x14ac:dyDescent="0.35">
      <c r="A1597" t="s">
        <v>84</v>
      </c>
      <c r="B1597" t="s">
        <v>85</v>
      </c>
      <c r="C1597" t="s">
        <v>47</v>
      </c>
      <c r="D1597">
        <v>3001420</v>
      </c>
      <c r="E1597">
        <v>3100761</v>
      </c>
      <c r="F1597" t="s">
        <v>10</v>
      </c>
      <c r="G1597" t="s">
        <v>1344</v>
      </c>
      <c r="H1597" t="s">
        <v>54</v>
      </c>
      <c r="I1597">
        <v>6960275</v>
      </c>
      <c r="J1597" s="12">
        <v>46130</v>
      </c>
      <c r="K1597" s="12">
        <v>46130</v>
      </c>
      <c r="L1597" s="12">
        <v>46130</v>
      </c>
      <c r="M1597">
        <v>2</v>
      </c>
      <c r="N1597">
        <v>-1941447</v>
      </c>
      <c r="O1597">
        <v>-1941447</v>
      </c>
      <c r="P1597">
        <v>0</v>
      </c>
      <c r="Q1597">
        <v>-1941447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 t="s">
        <v>47</v>
      </c>
      <c r="AA1597" t="s">
        <v>1062</v>
      </c>
      <c r="AB1597" t="s">
        <v>51</v>
      </c>
      <c r="AC1597" t="s">
        <v>51</v>
      </c>
      <c r="AD1597" t="s">
        <v>51</v>
      </c>
      <c r="AE1597" t="s">
        <v>51</v>
      </c>
      <c r="AF1597" t="s">
        <v>1382</v>
      </c>
    </row>
    <row r="1598" spans="1:32" ht="14.5" customHeight="1" x14ac:dyDescent="0.35">
      <c r="A1598" t="s">
        <v>84</v>
      </c>
      <c r="B1598" t="s">
        <v>85</v>
      </c>
      <c r="C1598" t="s">
        <v>47</v>
      </c>
      <c r="D1598">
        <v>3001420</v>
      </c>
      <c r="E1598">
        <v>3100761</v>
      </c>
      <c r="F1598" t="s">
        <v>10</v>
      </c>
      <c r="G1598" t="s">
        <v>1344</v>
      </c>
      <c r="H1598" t="s">
        <v>54</v>
      </c>
      <c r="I1598">
        <v>6960295</v>
      </c>
      <c r="J1598" s="12">
        <v>46130</v>
      </c>
      <c r="K1598" s="12">
        <v>46130</v>
      </c>
      <c r="L1598" s="12">
        <v>46130</v>
      </c>
      <c r="M1598">
        <v>2</v>
      </c>
      <c r="N1598">
        <v>-327250</v>
      </c>
      <c r="O1598">
        <v>-327250</v>
      </c>
      <c r="P1598">
        <v>0</v>
      </c>
      <c r="Q1598">
        <v>-327250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 t="s">
        <v>47</v>
      </c>
      <c r="AA1598" t="s">
        <v>1062</v>
      </c>
      <c r="AB1598" t="s">
        <v>51</v>
      </c>
      <c r="AC1598" t="s">
        <v>51</v>
      </c>
      <c r="AD1598" t="s">
        <v>51</v>
      </c>
      <c r="AE1598" t="s">
        <v>51</v>
      </c>
      <c r="AF1598" t="s">
        <v>1382</v>
      </c>
    </row>
    <row r="1599" spans="1:32" ht="14.5" customHeight="1" x14ac:dyDescent="0.35">
      <c r="A1599" t="s">
        <v>84</v>
      </c>
      <c r="B1599" t="s">
        <v>85</v>
      </c>
      <c r="C1599" t="s">
        <v>47</v>
      </c>
      <c r="D1599">
        <v>3001420</v>
      </c>
      <c r="E1599">
        <v>3100761</v>
      </c>
      <c r="F1599" t="s">
        <v>10</v>
      </c>
      <c r="G1599" t="s">
        <v>1344</v>
      </c>
      <c r="H1599" t="s">
        <v>54</v>
      </c>
      <c r="I1599">
        <v>6960296</v>
      </c>
      <c r="J1599" s="12">
        <v>46130</v>
      </c>
      <c r="K1599" s="12">
        <v>46130</v>
      </c>
      <c r="L1599" s="12">
        <v>46130</v>
      </c>
      <c r="M1599">
        <v>2</v>
      </c>
      <c r="N1599">
        <v>-1941447</v>
      </c>
      <c r="O1599">
        <v>-1941447</v>
      </c>
      <c r="P1599">
        <v>0</v>
      </c>
      <c r="Q1599">
        <v>-1941447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 t="s">
        <v>47</v>
      </c>
      <c r="AA1599" t="s">
        <v>1062</v>
      </c>
      <c r="AB1599" t="s">
        <v>51</v>
      </c>
      <c r="AC1599" t="s">
        <v>51</v>
      </c>
      <c r="AD1599" t="s">
        <v>51</v>
      </c>
      <c r="AE1599" t="s">
        <v>51</v>
      </c>
      <c r="AF1599" t="s">
        <v>1382</v>
      </c>
    </row>
    <row r="1600" spans="1:32" ht="14.5" customHeight="1" x14ac:dyDescent="0.35">
      <c r="A1600" t="s">
        <v>84</v>
      </c>
      <c r="B1600" t="s">
        <v>85</v>
      </c>
      <c r="C1600" t="s">
        <v>47</v>
      </c>
      <c r="D1600">
        <v>3001420</v>
      </c>
      <c r="E1600">
        <v>3100636</v>
      </c>
      <c r="F1600" t="s">
        <v>10</v>
      </c>
      <c r="G1600" t="s">
        <v>10</v>
      </c>
      <c r="H1600" t="s">
        <v>140</v>
      </c>
      <c r="I1600">
        <v>9915826</v>
      </c>
      <c r="J1600" s="12">
        <v>46096</v>
      </c>
      <c r="K1600" s="12">
        <v>46096</v>
      </c>
      <c r="L1600" s="12">
        <v>46156</v>
      </c>
      <c r="M1600">
        <v>-24</v>
      </c>
      <c r="N1600">
        <v>27687678</v>
      </c>
      <c r="O1600">
        <v>0</v>
      </c>
      <c r="P1600">
        <v>27687678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 t="s">
        <v>47</v>
      </c>
      <c r="AA1600" t="s">
        <v>738</v>
      </c>
      <c r="AB1600" t="s">
        <v>51</v>
      </c>
      <c r="AC1600" t="s">
        <v>51</v>
      </c>
      <c r="AD1600" t="s">
        <v>51</v>
      </c>
      <c r="AE1600" t="s">
        <v>1383</v>
      </c>
      <c r="AF1600" t="s">
        <v>737</v>
      </c>
    </row>
    <row r="1601" spans="1:32" ht="14.5" customHeight="1" x14ac:dyDescent="0.35">
      <c r="A1601" t="s">
        <v>84</v>
      </c>
      <c r="B1601" t="s">
        <v>85</v>
      </c>
      <c r="C1601" t="s">
        <v>47</v>
      </c>
      <c r="D1601">
        <v>3001420</v>
      </c>
      <c r="E1601">
        <v>3100636</v>
      </c>
      <c r="F1601" t="s">
        <v>10</v>
      </c>
      <c r="G1601" t="s">
        <v>10</v>
      </c>
      <c r="H1601" t="s">
        <v>140</v>
      </c>
      <c r="I1601">
        <v>9915827</v>
      </c>
      <c r="J1601" s="12">
        <v>46096</v>
      </c>
      <c r="K1601" s="12">
        <v>46096</v>
      </c>
      <c r="L1601" s="12">
        <v>46186</v>
      </c>
      <c r="M1601">
        <v>-54</v>
      </c>
      <c r="N1601">
        <v>27687678</v>
      </c>
      <c r="O1601">
        <v>0</v>
      </c>
      <c r="P1601">
        <v>27687678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 t="s">
        <v>47</v>
      </c>
      <c r="AA1601" t="s">
        <v>1239</v>
      </c>
      <c r="AB1601" t="s">
        <v>51</v>
      </c>
      <c r="AC1601" t="s">
        <v>51</v>
      </c>
      <c r="AD1601" t="s">
        <v>51</v>
      </c>
      <c r="AE1601" t="s">
        <v>1383</v>
      </c>
      <c r="AF1601" t="s">
        <v>737</v>
      </c>
    </row>
    <row r="1602" spans="1:32" ht="14.5" customHeight="1" x14ac:dyDescent="0.35">
      <c r="A1602" t="s">
        <v>84</v>
      </c>
      <c r="B1602" t="s">
        <v>85</v>
      </c>
      <c r="C1602" t="s">
        <v>47</v>
      </c>
      <c r="D1602">
        <v>3001420</v>
      </c>
      <c r="E1602">
        <v>3100636</v>
      </c>
      <c r="F1602" t="s">
        <v>10</v>
      </c>
      <c r="G1602" t="s">
        <v>10</v>
      </c>
      <c r="H1602" t="s">
        <v>140</v>
      </c>
      <c r="I1602">
        <v>9915828</v>
      </c>
      <c r="J1602" s="12">
        <v>46096</v>
      </c>
      <c r="K1602" s="12">
        <v>46096</v>
      </c>
      <c r="L1602" s="12">
        <v>46216</v>
      </c>
      <c r="M1602">
        <v>-84</v>
      </c>
      <c r="N1602">
        <v>27687678</v>
      </c>
      <c r="O1602">
        <v>0</v>
      </c>
      <c r="P1602">
        <v>27687678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 t="s">
        <v>47</v>
      </c>
      <c r="AA1602" t="s">
        <v>1240</v>
      </c>
      <c r="AB1602" t="s">
        <v>51</v>
      </c>
      <c r="AC1602" t="s">
        <v>51</v>
      </c>
      <c r="AD1602" t="s">
        <v>51</v>
      </c>
      <c r="AE1602" t="s">
        <v>1383</v>
      </c>
      <c r="AF1602" t="s">
        <v>737</v>
      </c>
    </row>
    <row r="1603" spans="1:32" ht="14.5" customHeight="1" x14ac:dyDescent="0.35">
      <c r="A1603" t="s">
        <v>84</v>
      </c>
      <c r="B1603" t="s">
        <v>85</v>
      </c>
      <c r="C1603" t="s">
        <v>846</v>
      </c>
      <c r="D1603">
        <v>3001420</v>
      </c>
      <c r="E1603">
        <v>3100764</v>
      </c>
      <c r="F1603" t="s">
        <v>10</v>
      </c>
      <c r="G1603" t="s">
        <v>1346</v>
      </c>
      <c r="H1603" t="s">
        <v>54</v>
      </c>
      <c r="I1603">
        <v>9916312</v>
      </c>
      <c r="J1603" s="12">
        <v>46098</v>
      </c>
      <c r="K1603" s="12">
        <v>46098</v>
      </c>
      <c r="L1603" s="12">
        <v>46129</v>
      </c>
      <c r="M1603">
        <v>3</v>
      </c>
      <c r="N1603">
        <v>121726925</v>
      </c>
      <c r="O1603">
        <v>0</v>
      </c>
      <c r="P1603">
        <v>0</v>
      </c>
      <c r="Q1603">
        <v>121726925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 t="s">
        <v>846</v>
      </c>
      <c r="AA1603" t="s">
        <v>1062</v>
      </c>
      <c r="AB1603" t="s">
        <v>51</v>
      </c>
      <c r="AC1603" t="s">
        <v>51</v>
      </c>
      <c r="AD1603" t="s">
        <v>51</v>
      </c>
      <c r="AE1603" t="s">
        <v>51</v>
      </c>
      <c r="AF1603" t="s">
        <v>868</v>
      </c>
    </row>
    <row r="1604" spans="1:32" ht="14.5" customHeight="1" x14ac:dyDescent="0.35">
      <c r="A1604" t="s">
        <v>84</v>
      </c>
      <c r="B1604" t="s">
        <v>85</v>
      </c>
      <c r="C1604" t="s">
        <v>47</v>
      </c>
      <c r="D1604">
        <v>3001420</v>
      </c>
      <c r="E1604">
        <v>3100636</v>
      </c>
      <c r="F1604" t="s">
        <v>10</v>
      </c>
      <c r="G1604" t="s">
        <v>10</v>
      </c>
      <c r="H1604" t="s">
        <v>54</v>
      </c>
      <c r="I1604">
        <v>9917506</v>
      </c>
      <c r="J1604" s="12">
        <v>46106</v>
      </c>
      <c r="K1604" s="12">
        <v>46106</v>
      </c>
      <c r="L1604" s="12">
        <v>46136</v>
      </c>
      <c r="M1604">
        <v>-4</v>
      </c>
      <c r="N1604">
        <v>805364156</v>
      </c>
      <c r="O1604">
        <v>0</v>
      </c>
      <c r="P1604">
        <v>805364156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 t="s">
        <v>47</v>
      </c>
      <c r="AA1604" t="s">
        <v>1062</v>
      </c>
      <c r="AB1604" t="s">
        <v>51</v>
      </c>
      <c r="AC1604" t="s">
        <v>1384</v>
      </c>
      <c r="AD1604" t="s">
        <v>51</v>
      </c>
      <c r="AE1604" t="s">
        <v>51</v>
      </c>
      <c r="AF1604" t="s">
        <v>1385</v>
      </c>
    </row>
    <row r="1605" spans="1:32" ht="14.5" customHeight="1" x14ac:dyDescent="0.35">
      <c r="A1605" t="s">
        <v>84</v>
      </c>
      <c r="B1605" t="s">
        <v>85</v>
      </c>
      <c r="C1605" t="s">
        <v>846</v>
      </c>
      <c r="D1605">
        <v>3001420</v>
      </c>
      <c r="E1605">
        <v>3100680</v>
      </c>
      <c r="F1605" t="s">
        <v>10</v>
      </c>
      <c r="G1605" t="s">
        <v>1309</v>
      </c>
      <c r="H1605" t="s">
        <v>54</v>
      </c>
      <c r="I1605">
        <v>9920209</v>
      </c>
      <c r="J1605" s="12">
        <v>46111</v>
      </c>
      <c r="K1605" s="12">
        <v>46111</v>
      </c>
      <c r="L1605" s="12">
        <v>46142</v>
      </c>
      <c r="M1605">
        <v>-10</v>
      </c>
      <c r="N1605">
        <v>162664559</v>
      </c>
      <c r="O1605">
        <v>0</v>
      </c>
      <c r="P1605">
        <v>162664559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 t="s">
        <v>846</v>
      </c>
      <c r="AA1605" t="s">
        <v>1062</v>
      </c>
      <c r="AB1605" t="s">
        <v>51</v>
      </c>
      <c r="AC1605" t="s">
        <v>51</v>
      </c>
      <c r="AD1605" t="s">
        <v>1386</v>
      </c>
      <c r="AE1605" t="s">
        <v>51</v>
      </c>
      <c r="AF1605" t="s">
        <v>67</v>
      </c>
    </row>
    <row r="1606" spans="1:32" ht="14.5" customHeight="1" x14ac:dyDescent="0.35">
      <c r="A1606" t="s">
        <v>84</v>
      </c>
      <c r="B1606" t="s">
        <v>85</v>
      </c>
      <c r="C1606" t="s">
        <v>846</v>
      </c>
      <c r="D1606">
        <v>3001420</v>
      </c>
      <c r="E1606">
        <v>3100680</v>
      </c>
      <c r="F1606" t="s">
        <v>10</v>
      </c>
      <c r="G1606" t="s">
        <v>1309</v>
      </c>
      <c r="H1606" t="s">
        <v>54</v>
      </c>
      <c r="I1606">
        <v>9920210</v>
      </c>
      <c r="J1606" s="12">
        <v>46111</v>
      </c>
      <c r="K1606" s="12">
        <v>46111</v>
      </c>
      <c r="L1606" s="12">
        <v>46142</v>
      </c>
      <c r="M1606">
        <v>-10</v>
      </c>
      <c r="N1606">
        <v>658239</v>
      </c>
      <c r="O1606">
        <v>0</v>
      </c>
      <c r="P1606">
        <v>658239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 t="s">
        <v>846</v>
      </c>
      <c r="AA1606" t="s">
        <v>1062</v>
      </c>
      <c r="AB1606" t="s">
        <v>51</v>
      </c>
      <c r="AC1606" t="s">
        <v>51</v>
      </c>
      <c r="AD1606" t="s">
        <v>1198</v>
      </c>
      <c r="AE1606" t="s">
        <v>51</v>
      </c>
      <c r="AF1606" t="s">
        <v>163</v>
      </c>
    </row>
    <row r="1607" spans="1:32" ht="14.5" customHeight="1" x14ac:dyDescent="0.35">
      <c r="A1607" t="s">
        <v>84</v>
      </c>
      <c r="B1607" t="s">
        <v>85</v>
      </c>
      <c r="C1607" t="s">
        <v>846</v>
      </c>
      <c r="D1607">
        <v>3001420</v>
      </c>
      <c r="E1607">
        <v>3100662</v>
      </c>
      <c r="F1607" t="s">
        <v>10</v>
      </c>
      <c r="G1607" t="s">
        <v>1305</v>
      </c>
      <c r="H1607" t="s">
        <v>54</v>
      </c>
      <c r="I1607">
        <v>9920211</v>
      </c>
      <c r="J1607" s="12">
        <v>46111</v>
      </c>
      <c r="K1607" s="12">
        <v>46111</v>
      </c>
      <c r="L1607" s="12">
        <v>46142</v>
      </c>
      <c r="M1607">
        <v>-10</v>
      </c>
      <c r="N1607">
        <v>328358600</v>
      </c>
      <c r="O1607">
        <v>0</v>
      </c>
      <c r="P1607">
        <v>328358600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 t="s">
        <v>846</v>
      </c>
      <c r="AA1607" t="s">
        <v>1062</v>
      </c>
      <c r="AB1607" t="s">
        <v>51</v>
      </c>
      <c r="AC1607" t="s">
        <v>51</v>
      </c>
      <c r="AD1607" t="s">
        <v>1387</v>
      </c>
      <c r="AE1607" t="s">
        <v>51</v>
      </c>
      <c r="AF1607" t="s">
        <v>67</v>
      </c>
    </row>
    <row r="1608" spans="1:32" ht="14.5" customHeight="1" x14ac:dyDescent="0.35">
      <c r="A1608" t="s">
        <v>84</v>
      </c>
      <c r="B1608" t="s">
        <v>85</v>
      </c>
      <c r="C1608" t="s">
        <v>846</v>
      </c>
      <c r="D1608">
        <v>3001420</v>
      </c>
      <c r="E1608">
        <v>3100662</v>
      </c>
      <c r="F1608" t="s">
        <v>10</v>
      </c>
      <c r="G1608" t="s">
        <v>1305</v>
      </c>
      <c r="H1608" t="s">
        <v>54</v>
      </c>
      <c r="I1608">
        <v>9920212</v>
      </c>
      <c r="J1608" s="12">
        <v>46111</v>
      </c>
      <c r="K1608" s="12">
        <v>46111</v>
      </c>
      <c r="L1608" s="12">
        <v>46142</v>
      </c>
      <c r="M1608">
        <v>-10</v>
      </c>
      <c r="N1608">
        <v>3281302</v>
      </c>
      <c r="O1608">
        <v>0</v>
      </c>
      <c r="P1608">
        <v>3281302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 t="s">
        <v>846</v>
      </c>
      <c r="AA1608" t="s">
        <v>1062</v>
      </c>
      <c r="AB1608" t="s">
        <v>51</v>
      </c>
      <c r="AC1608" t="s">
        <v>51</v>
      </c>
      <c r="AD1608" t="s">
        <v>1388</v>
      </c>
      <c r="AE1608" t="s">
        <v>51</v>
      </c>
      <c r="AF1608" t="s">
        <v>64</v>
      </c>
    </row>
    <row r="1609" spans="1:32" ht="14.5" customHeight="1" x14ac:dyDescent="0.35">
      <c r="A1609" t="s">
        <v>84</v>
      </c>
      <c r="B1609" t="s">
        <v>85</v>
      </c>
      <c r="C1609" t="s">
        <v>846</v>
      </c>
      <c r="D1609">
        <v>3001420</v>
      </c>
      <c r="E1609">
        <v>3100745</v>
      </c>
      <c r="F1609" t="s">
        <v>10</v>
      </c>
      <c r="G1609" t="s">
        <v>1314</v>
      </c>
      <c r="H1609" t="s">
        <v>54</v>
      </c>
      <c r="I1609">
        <v>9920214</v>
      </c>
      <c r="J1609" s="12">
        <v>46111</v>
      </c>
      <c r="K1609" s="12">
        <v>46111</v>
      </c>
      <c r="L1609" s="12">
        <v>46142</v>
      </c>
      <c r="M1609">
        <v>-10</v>
      </c>
      <c r="N1609">
        <v>1681317</v>
      </c>
      <c r="O1609">
        <v>0</v>
      </c>
      <c r="P1609">
        <v>1681317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 t="s">
        <v>846</v>
      </c>
      <c r="AA1609" t="s">
        <v>1062</v>
      </c>
      <c r="AB1609" t="s">
        <v>51</v>
      </c>
      <c r="AC1609" t="s">
        <v>51</v>
      </c>
      <c r="AD1609" t="s">
        <v>1389</v>
      </c>
      <c r="AE1609" t="s">
        <v>51</v>
      </c>
      <c r="AF1609" t="s">
        <v>1362</v>
      </c>
    </row>
    <row r="1610" spans="1:32" ht="14.5" customHeight="1" x14ac:dyDescent="0.35">
      <c r="A1610" t="s">
        <v>84</v>
      </c>
      <c r="B1610" t="s">
        <v>85</v>
      </c>
      <c r="C1610" t="s">
        <v>846</v>
      </c>
      <c r="D1610">
        <v>3001420</v>
      </c>
      <c r="E1610">
        <v>3100745</v>
      </c>
      <c r="F1610" t="s">
        <v>10</v>
      </c>
      <c r="G1610" t="s">
        <v>1314</v>
      </c>
      <c r="H1610" t="s">
        <v>54</v>
      </c>
      <c r="I1610">
        <v>9920262</v>
      </c>
      <c r="J1610" s="12">
        <v>46111</v>
      </c>
      <c r="K1610" s="12">
        <v>46111</v>
      </c>
      <c r="L1610" s="12">
        <v>46142</v>
      </c>
      <c r="M1610">
        <v>-10</v>
      </c>
      <c r="N1610">
        <v>285112562</v>
      </c>
      <c r="O1610">
        <v>0</v>
      </c>
      <c r="P1610">
        <v>285112562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 t="s">
        <v>846</v>
      </c>
      <c r="AA1610" t="s">
        <v>1062</v>
      </c>
      <c r="AB1610" t="s">
        <v>51</v>
      </c>
      <c r="AC1610" t="s">
        <v>51</v>
      </c>
      <c r="AD1610" t="s">
        <v>1390</v>
      </c>
      <c r="AE1610" t="s">
        <v>51</v>
      </c>
      <c r="AF1610" t="s">
        <v>303</v>
      </c>
    </row>
    <row r="1611" spans="1:32" ht="14.5" customHeight="1" x14ac:dyDescent="0.35">
      <c r="A1611" t="s">
        <v>84</v>
      </c>
      <c r="B1611" t="s">
        <v>85</v>
      </c>
      <c r="C1611" t="s">
        <v>846</v>
      </c>
      <c r="D1611">
        <v>3001420</v>
      </c>
      <c r="E1611">
        <v>3100699</v>
      </c>
      <c r="F1611" t="s">
        <v>10</v>
      </c>
      <c r="G1611" t="s">
        <v>1343</v>
      </c>
      <c r="H1611" t="s">
        <v>54</v>
      </c>
      <c r="I1611">
        <v>9921546</v>
      </c>
      <c r="J1611" s="12">
        <v>46113</v>
      </c>
      <c r="K1611" s="12">
        <v>46113</v>
      </c>
      <c r="L1611" s="12">
        <v>46144</v>
      </c>
      <c r="M1611">
        <v>-12</v>
      </c>
      <c r="N1611">
        <v>182116554</v>
      </c>
      <c r="O1611">
        <v>0</v>
      </c>
      <c r="P1611">
        <v>182116554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 t="s">
        <v>846</v>
      </c>
      <c r="AA1611" t="s">
        <v>1062</v>
      </c>
      <c r="AB1611" t="s">
        <v>51</v>
      </c>
      <c r="AC1611" t="s">
        <v>51</v>
      </c>
      <c r="AD1611" t="s">
        <v>1391</v>
      </c>
      <c r="AE1611" t="s">
        <v>51</v>
      </c>
      <c r="AF1611" t="s">
        <v>69</v>
      </c>
    </row>
    <row r="1612" spans="1:32" ht="14.5" customHeight="1" x14ac:dyDescent="0.35">
      <c r="A1612" t="s">
        <v>84</v>
      </c>
      <c r="B1612" t="s">
        <v>85</v>
      </c>
      <c r="C1612" t="s">
        <v>846</v>
      </c>
      <c r="D1612">
        <v>3001420</v>
      </c>
      <c r="E1612">
        <v>3100701</v>
      </c>
      <c r="F1612" t="s">
        <v>10</v>
      </c>
      <c r="G1612" t="s">
        <v>1350</v>
      </c>
      <c r="H1612" t="s">
        <v>54</v>
      </c>
      <c r="I1612">
        <v>9921548</v>
      </c>
      <c r="J1612" s="12">
        <v>46113</v>
      </c>
      <c r="K1612" s="12">
        <v>46113</v>
      </c>
      <c r="L1612" s="12">
        <v>46144</v>
      </c>
      <c r="M1612">
        <v>-12</v>
      </c>
      <c r="N1612">
        <v>121600738</v>
      </c>
      <c r="O1612">
        <v>0</v>
      </c>
      <c r="P1612">
        <v>121600738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 t="s">
        <v>846</v>
      </c>
      <c r="AA1612" t="s">
        <v>1062</v>
      </c>
      <c r="AB1612" t="s">
        <v>51</v>
      </c>
      <c r="AC1612" t="s">
        <v>51</v>
      </c>
      <c r="AD1612" t="s">
        <v>1392</v>
      </c>
      <c r="AE1612" t="s">
        <v>51</v>
      </c>
      <c r="AF1612" t="s">
        <v>285</v>
      </c>
    </row>
    <row r="1613" spans="1:32" ht="14.5" customHeight="1" x14ac:dyDescent="0.35">
      <c r="A1613" t="s">
        <v>84</v>
      </c>
      <c r="B1613" t="s">
        <v>85</v>
      </c>
      <c r="C1613" t="s">
        <v>846</v>
      </c>
      <c r="D1613">
        <v>3001420</v>
      </c>
      <c r="E1613">
        <v>3100703</v>
      </c>
      <c r="F1613" t="s">
        <v>10</v>
      </c>
      <c r="G1613" t="s">
        <v>1351</v>
      </c>
      <c r="H1613" t="s">
        <v>54</v>
      </c>
      <c r="I1613">
        <v>9921549</v>
      </c>
      <c r="J1613" s="12">
        <v>46113</v>
      </c>
      <c r="K1613" s="12">
        <v>46113</v>
      </c>
      <c r="L1613" s="12">
        <v>46144</v>
      </c>
      <c r="M1613">
        <v>-12</v>
      </c>
      <c r="N1613">
        <v>119140780</v>
      </c>
      <c r="O1613">
        <v>0</v>
      </c>
      <c r="P1613">
        <v>119140780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 t="s">
        <v>846</v>
      </c>
      <c r="AA1613" t="s">
        <v>1062</v>
      </c>
      <c r="AB1613" t="s">
        <v>51</v>
      </c>
      <c r="AC1613" t="s">
        <v>51</v>
      </c>
      <c r="AD1613" t="s">
        <v>1393</v>
      </c>
      <c r="AE1613" t="s">
        <v>51</v>
      </c>
      <c r="AF1613" t="s">
        <v>534</v>
      </c>
    </row>
    <row r="1614" spans="1:32" ht="14.5" customHeight="1" x14ac:dyDescent="0.35">
      <c r="A1614" t="s">
        <v>84</v>
      </c>
      <c r="B1614" t="s">
        <v>85</v>
      </c>
      <c r="C1614" t="s">
        <v>846</v>
      </c>
      <c r="D1614">
        <v>3001420</v>
      </c>
      <c r="E1614">
        <v>3100697</v>
      </c>
      <c r="F1614" t="s">
        <v>10</v>
      </c>
      <c r="G1614" t="s">
        <v>1349</v>
      </c>
      <c r="H1614" t="s">
        <v>54</v>
      </c>
      <c r="I1614">
        <v>9921550</v>
      </c>
      <c r="J1614" s="12">
        <v>46113</v>
      </c>
      <c r="K1614" s="12">
        <v>46113</v>
      </c>
      <c r="L1614" s="12">
        <v>46144</v>
      </c>
      <c r="M1614">
        <v>-12</v>
      </c>
      <c r="N1614">
        <v>152049638</v>
      </c>
      <c r="O1614">
        <v>0</v>
      </c>
      <c r="P1614">
        <v>152049638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 t="s">
        <v>846</v>
      </c>
      <c r="AA1614" t="s">
        <v>1062</v>
      </c>
      <c r="AB1614" t="s">
        <v>51</v>
      </c>
      <c r="AC1614" t="s">
        <v>51</v>
      </c>
      <c r="AD1614" t="s">
        <v>1394</v>
      </c>
      <c r="AE1614" t="s">
        <v>51</v>
      </c>
      <c r="AF1614" t="s">
        <v>69</v>
      </c>
    </row>
    <row r="1615" spans="1:32" ht="14.5" customHeight="1" x14ac:dyDescent="0.35">
      <c r="A1615" t="s">
        <v>84</v>
      </c>
      <c r="B1615" t="s">
        <v>85</v>
      </c>
      <c r="C1615" t="s">
        <v>846</v>
      </c>
      <c r="D1615">
        <v>3001420</v>
      </c>
      <c r="E1615">
        <v>3100680</v>
      </c>
      <c r="F1615" t="s">
        <v>10</v>
      </c>
      <c r="G1615" t="s">
        <v>1309</v>
      </c>
      <c r="H1615" t="s">
        <v>54</v>
      </c>
      <c r="I1615">
        <v>9922172</v>
      </c>
      <c r="J1615" s="12">
        <v>46116</v>
      </c>
      <c r="K1615" s="12">
        <v>46116</v>
      </c>
      <c r="L1615" s="12">
        <v>46147</v>
      </c>
      <c r="M1615">
        <v>-15</v>
      </c>
      <c r="N1615">
        <v>292160627</v>
      </c>
      <c r="O1615">
        <v>0</v>
      </c>
      <c r="P1615">
        <v>292160627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 t="s">
        <v>846</v>
      </c>
      <c r="AA1615" t="s">
        <v>1062</v>
      </c>
      <c r="AB1615" t="s">
        <v>51</v>
      </c>
      <c r="AC1615" t="s">
        <v>51</v>
      </c>
      <c r="AD1615" t="s">
        <v>51</v>
      </c>
      <c r="AE1615" t="s">
        <v>1395</v>
      </c>
      <c r="AF1615" t="s">
        <v>1396</v>
      </c>
    </row>
    <row r="1616" spans="1:32" ht="14.5" customHeight="1" x14ac:dyDescent="0.35">
      <c r="A1616" t="s">
        <v>84</v>
      </c>
      <c r="B1616" t="s">
        <v>85</v>
      </c>
      <c r="C1616" t="s">
        <v>846</v>
      </c>
      <c r="D1616">
        <v>3001420</v>
      </c>
      <c r="E1616">
        <v>3100745</v>
      </c>
      <c r="F1616" t="s">
        <v>10</v>
      </c>
      <c r="G1616" t="s">
        <v>1314</v>
      </c>
      <c r="H1616" t="s">
        <v>54</v>
      </c>
      <c r="I1616">
        <v>9922177</v>
      </c>
      <c r="J1616" s="12">
        <v>46116</v>
      </c>
      <c r="K1616" s="12">
        <v>46116</v>
      </c>
      <c r="L1616" s="12">
        <v>46147</v>
      </c>
      <c r="M1616">
        <v>-15</v>
      </c>
      <c r="N1616">
        <v>170821734</v>
      </c>
      <c r="O1616">
        <v>0</v>
      </c>
      <c r="P1616">
        <v>170821734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 t="s">
        <v>846</v>
      </c>
      <c r="AA1616" t="s">
        <v>1062</v>
      </c>
      <c r="AB1616" t="s">
        <v>51</v>
      </c>
      <c r="AC1616" t="s">
        <v>51</v>
      </c>
      <c r="AD1616" t="s">
        <v>51</v>
      </c>
      <c r="AE1616" t="s">
        <v>1397</v>
      </c>
      <c r="AF1616" t="s">
        <v>1132</v>
      </c>
    </row>
    <row r="1617" spans="1:32" ht="14.5" customHeight="1" x14ac:dyDescent="0.35">
      <c r="A1617" t="s">
        <v>84</v>
      </c>
      <c r="B1617" t="s">
        <v>85</v>
      </c>
      <c r="C1617" t="s">
        <v>846</v>
      </c>
      <c r="D1617">
        <v>3001420</v>
      </c>
      <c r="E1617">
        <v>3100764</v>
      </c>
      <c r="F1617" t="s">
        <v>10</v>
      </c>
      <c r="G1617" t="s">
        <v>1346</v>
      </c>
      <c r="H1617" t="s">
        <v>54</v>
      </c>
      <c r="I1617">
        <v>9922180</v>
      </c>
      <c r="J1617" s="12">
        <v>46116</v>
      </c>
      <c r="K1617" s="12">
        <v>46116</v>
      </c>
      <c r="L1617" s="12">
        <v>46147</v>
      </c>
      <c r="M1617">
        <v>-15</v>
      </c>
      <c r="N1617">
        <v>48014950</v>
      </c>
      <c r="O1617">
        <v>0</v>
      </c>
      <c r="P1617">
        <v>48014950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 t="s">
        <v>846</v>
      </c>
      <c r="AA1617" t="s">
        <v>1062</v>
      </c>
      <c r="AB1617" t="s">
        <v>51</v>
      </c>
      <c r="AC1617" t="s">
        <v>51</v>
      </c>
      <c r="AD1617" t="s">
        <v>51</v>
      </c>
      <c r="AE1617" t="s">
        <v>1398</v>
      </c>
      <c r="AF1617" t="s">
        <v>1168</v>
      </c>
    </row>
    <row r="1618" spans="1:32" ht="14.5" customHeight="1" x14ac:dyDescent="0.35">
      <c r="A1618" t="s">
        <v>84</v>
      </c>
      <c r="B1618" t="s">
        <v>85</v>
      </c>
      <c r="C1618" t="s">
        <v>846</v>
      </c>
      <c r="D1618">
        <v>3001420</v>
      </c>
      <c r="E1618">
        <v>3100662</v>
      </c>
      <c r="F1618" t="s">
        <v>10</v>
      </c>
      <c r="G1618" t="s">
        <v>1305</v>
      </c>
      <c r="H1618" t="s">
        <v>54</v>
      </c>
      <c r="I1618">
        <v>9922181</v>
      </c>
      <c r="J1618" s="12">
        <v>46116</v>
      </c>
      <c r="K1618" s="12">
        <v>46116</v>
      </c>
      <c r="L1618" s="12">
        <v>46147</v>
      </c>
      <c r="M1618">
        <v>-15</v>
      </c>
      <c r="N1618">
        <v>23168968</v>
      </c>
      <c r="O1618">
        <v>0</v>
      </c>
      <c r="P1618">
        <v>23168968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 t="s">
        <v>846</v>
      </c>
      <c r="AA1618" t="s">
        <v>1062</v>
      </c>
      <c r="AB1618" t="s">
        <v>51</v>
      </c>
      <c r="AC1618" t="s">
        <v>51</v>
      </c>
      <c r="AD1618" t="s">
        <v>51</v>
      </c>
      <c r="AE1618" t="s">
        <v>1399</v>
      </c>
      <c r="AF1618" t="s">
        <v>299</v>
      </c>
    </row>
    <row r="1619" spans="1:32" ht="14.5" customHeight="1" x14ac:dyDescent="0.35">
      <c r="A1619" t="s">
        <v>84</v>
      </c>
      <c r="B1619" t="s">
        <v>85</v>
      </c>
      <c r="C1619" t="s">
        <v>846</v>
      </c>
      <c r="D1619">
        <v>3001420</v>
      </c>
      <c r="E1619">
        <v>3100764</v>
      </c>
      <c r="F1619" t="s">
        <v>10</v>
      </c>
      <c r="G1619" t="s">
        <v>1346</v>
      </c>
      <c r="H1619" t="s">
        <v>54</v>
      </c>
      <c r="I1619">
        <v>9922244</v>
      </c>
      <c r="J1619" s="12">
        <v>46118</v>
      </c>
      <c r="K1619" s="12">
        <v>46118</v>
      </c>
      <c r="L1619" s="12">
        <v>46149</v>
      </c>
      <c r="M1619">
        <v>-17</v>
      </c>
      <c r="N1619">
        <v>445092355</v>
      </c>
      <c r="O1619">
        <v>0</v>
      </c>
      <c r="P1619">
        <v>445092355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 t="s">
        <v>846</v>
      </c>
      <c r="AA1619" t="s">
        <v>1062</v>
      </c>
      <c r="AB1619" t="s">
        <v>51</v>
      </c>
      <c r="AC1619" t="s">
        <v>51</v>
      </c>
      <c r="AD1619" t="s">
        <v>51</v>
      </c>
      <c r="AE1619" t="s">
        <v>1400</v>
      </c>
      <c r="AF1619" t="s">
        <v>642</v>
      </c>
    </row>
    <row r="1620" spans="1:32" ht="14.5" customHeight="1" x14ac:dyDescent="0.35">
      <c r="A1620" t="s">
        <v>84</v>
      </c>
      <c r="B1620" t="s">
        <v>85</v>
      </c>
      <c r="C1620" t="s">
        <v>846</v>
      </c>
      <c r="D1620">
        <v>3001420</v>
      </c>
      <c r="E1620">
        <v>3100662</v>
      </c>
      <c r="F1620" t="s">
        <v>10</v>
      </c>
      <c r="G1620" t="s">
        <v>1305</v>
      </c>
      <c r="H1620" t="s">
        <v>54</v>
      </c>
      <c r="I1620">
        <v>9922245</v>
      </c>
      <c r="J1620" s="12">
        <v>46118</v>
      </c>
      <c r="K1620" s="12">
        <v>46118</v>
      </c>
      <c r="L1620" s="12">
        <v>46149</v>
      </c>
      <c r="M1620">
        <v>-17</v>
      </c>
      <c r="N1620">
        <v>408390820</v>
      </c>
      <c r="O1620">
        <v>0</v>
      </c>
      <c r="P1620">
        <v>408390820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 t="s">
        <v>846</v>
      </c>
      <c r="AA1620" t="s">
        <v>1062</v>
      </c>
      <c r="AB1620" t="s">
        <v>51</v>
      </c>
      <c r="AC1620" t="s">
        <v>51</v>
      </c>
      <c r="AD1620" t="s">
        <v>51</v>
      </c>
      <c r="AE1620" t="s">
        <v>1401</v>
      </c>
      <c r="AF1620" t="s">
        <v>178</v>
      </c>
    </row>
    <row r="1621" spans="1:32" ht="14.5" customHeight="1" x14ac:dyDescent="0.35">
      <c r="A1621" t="s">
        <v>84</v>
      </c>
      <c r="B1621" t="s">
        <v>85</v>
      </c>
      <c r="C1621" t="s">
        <v>47</v>
      </c>
      <c r="D1621">
        <v>3001420</v>
      </c>
      <c r="E1621">
        <v>3100696</v>
      </c>
      <c r="F1621" t="s">
        <v>10</v>
      </c>
      <c r="G1621" t="s">
        <v>1349</v>
      </c>
      <c r="H1621" t="s">
        <v>140</v>
      </c>
      <c r="I1621">
        <v>9922404</v>
      </c>
      <c r="J1621" s="12">
        <v>46118</v>
      </c>
      <c r="K1621" s="12">
        <v>46118</v>
      </c>
      <c r="L1621" s="12">
        <v>46148</v>
      </c>
      <c r="M1621">
        <v>-16</v>
      </c>
      <c r="N1621">
        <v>34259</v>
      </c>
      <c r="O1621">
        <v>0</v>
      </c>
      <c r="P1621">
        <v>34259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 t="s">
        <v>47</v>
      </c>
      <c r="AA1621" t="s">
        <v>1062</v>
      </c>
      <c r="AB1621" t="s">
        <v>51</v>
      </c>
      <c r="AC1621" t="s">
        <v>51</v>
      </c>
      <c r="AD1621" t="s">
        <v>51</v>
      </c>
      <c r="AE1621" t="s">
        <v>1402</v>
      </c>
      <c r="AF1621" t="s">
        <v>172</v>
      </c>
    </row>
    <row r="1622" spans="1:32" ht="14.5" customHeight="1" x14ac:dyDescent="0.35">
      <c r="A1622" t="s">
        <v>84</v>
      </c>
      <c r="B1622" t="s">
        <v>85</v>
      </c>
      <c r="C1622" t="s">
        <v>47</v>
      </c>
      <c r="D1622">
        <v>3001420</v>
      </c>
      <c r="E1622">
        <v>3100700</v>
      </c>
      <c r="F1622" t="s">
        <v>10</v>
      </c>
      <c r="G1622" t="s">
        <v>1350</v>
      </c>
      <c r="H1622" t="s">
        <v>140</v>
      </c>
      <c r="I1622">
        <v>9922406</v>
      </c>
      <c r="J1622" s="12">
        <v>46118</v>
      </c>
      <c r="K1622" s="12">
        <v>46118</v>
      </c>
      <c r="L1622" s="12">
        <v>46148</v>
      </c>
      <c r="M1622">
        <v>-16</v>
      </c>
      <c r="N1622">
        <v>25297</v>
      </c>
      <c r="O1622">
        <v>0</v>
      </c>
      <c r="P1622">
        <v>25297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 t="s">
        <v>47</v>
      </c>
      <c r="AA1622" t="s">
        <v>1062</v>
      </c>
      <c r="AB1622" t="s">
        <v>51</v>
      </c>
      <c r="AC1622" t="s">
        <v>51</v>
      </c>
      <c r="AD1622" t="s">
        <v>51</v>
      </c>
      <c r="AE1622" t="s">
        <v>1403</v>
      </c>
      <c r="AF1622" t="s">
        <v>161</v>
      </c>
    </row>
    <row r="1623" spans="1:32" ht="14.5" customHeight="1" x14ac:dyDescent="0.35">
      <c r="A1623" t="s">
        <v>84</v>
      </c>
      <c r="B1623" t="s">
        <v>85</v>
      </c>
      <c r="C1623" t="s">
        <v>47</v>
      </c>
      <c r="D1623">
        <v>3001420</v>
      </c>
      <c r="E1623">
        <v>3100702</v>
      </c>
      <c r="F1623" t="s">
        <v>10</v>
      </c>
      <c r="G1623" t="s">
        <v>1351</v>
      </c>
      <c r="H1623" t="s">
        <v>140</v>
      </c>
      <c r="I1623">
        <v>9922407</v>
      </c>
      <c r="J1623" s="12">
        <v>46118</v>
      </c>
      <c r="K1623" s="12">
        <v>46118</v>
      </c>
      <c r="L1623" s="12">
        <v>46148</v>
      </c>
      <c r="M1623">
        <v>-16</v>
      </c>
      <c r="N1623">
        <v>335150</v>
      </c>
      <c r="O1623">
        <v>0</v>
      </c>
      <c r="P1623">
        <v>335150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 t="s">
        <v>47</v>
      </c>
      <c r="AA1623" t="s">
        <v>1062</v>
      </c>
      <c r="AB1623" t="s">
        <v>51</v>
      </c>
      <c r="AC1623" t="s">
        <v>51</v>
      </c>
      <c r="AD1623" t="s">
        <v>51</v>
      </c>
      <c r="AE1623" t="s">
        <v>1404</v>
      </c>
      <c r="AF1623" t="s">
        <v>493</v>
      </c>
    </row>
    <row r="1624" spans="1:32" ht="14.5" customHeight="1" x14ac:dyDescent="0.35">
      <c r="A1624" t="s">
        <v>84</v>
      </c>
      <c r="B1624" t="s">
        <v>85</v>
      </c>
      <c r="C1624" t="s">
        <v>846</v>
      </c>
      <c r="D1624">
        <v>3001420</v>
      </c>
      <c r="E1624">
        <v>3100762</v>
      </c>
      <c r="F1624" t="s">
        <v>10</v>
      </c>
      <c r="G1624" t="s">
        <v>1344</v>
      </c>
      <c r="H1624" t="s">
        <v>54</v>
      </c>
      <c r="I1624">
        <v>9922454</v>
      </c>
      <c r="J1624" s="12">
        <v>46118</v>
      </c>
      <c r="K1624" s="12">
        <v>46118</v>
      </c>
      <c r="L1624" s="12">
        <v>46149</v>
      </c>
      <c r="M1624">
        <v>-17</v>
      </c>
      <c r="N1624">
        <v>709011272</v>
      </c>
      <c r="O1624">
        <v>0</v>
      </c>
      <c r="P1624">
        <v>709011272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 t="s">
        <v>846</v>
      </c>
      <c r="AA1624" t="s">
        <v>1062</v>
      </c>
      <c r="AB1624" t="s">
        <v>51</v>
      </c>
      <c r="AC1624" t="s">
        <v>51</v>
      </c>
      <c r="AD1624" t="s">
        <v>51</v>
      </c>
      <c r="AE1624" t="s">
        <v>1405</v>
      </c>
      <c r="AF1624" t="s">
        <v>358</v>
      </c>
    </row>
    <row r="1625" spans="1:32" ht="14.5" customHeight="1" x14ac:dyDescent="0.35">
      <c r="A1625" t="s">
        <v>84</v>
      </c>
      <c r="B1625" t="s">
        <v>85</v>
      </c>
      <c r="C1625" t="s">
        <v>846</v>
      </c>
      <c r="D1625">
        <v>3001420</v>
      </c>
      <c r="E1625">
        <v>3100764</v>
      </c>
      <c r="F1625" t="s">
        <v>10</v>
      </c>
      <c r="G1625" t="s">
        <v>1346</v>
      </c>
      <c r="H1625" t="s">
        <v>54</v>
      </c>
      <c r="I1625">
        <v>9923024</v>
      </c>
      <c r="J1625" s="12">
        <v>46120</v>
      </c>
      <c r="K1625" s="12">
        <v>46120</v>
      </c>
      <c r="L1625" s="12">
        <v>46151</v>
      </c>
      <c r="M1625">
        <v>-19</v>
      </c>
      <c r="N1625">
        <v>564951255</v>
      </c>
      <c r="O1625">
        <v>0</v>
      </c>
      <c r="P1625">
        <v>564951255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 t="s">
        <v>846</v>
      </c>
      <c r="AA1625" t="s">
        <v>1062</v>
      </c>
      <c r="AB1625" t="s">
        <v>51</v>
      </c>
      <c r="AC1625" t="s">
        <v>51</v>
      </c>
      <c r="AD1625" t="s">
        <v>51</v>
      </c>
      <c r="AE1625" t="s">
        <v>1406</v>
      </c>
      <c r="AF1625" t="s">
        <v>631</v>
      </c>
    </row>
    <row r="1626" spans="1:32" ht="14.5" customHeight="1" x14ac:dyDescent="0.35">
      <c r="A1626" t="s">
        <v>84</v>
      </c>
      <c r="B1626" t="s">
        <v>85</v>
      </c>
      <c r="C1626" t="s">
        <v>846</v>
      </c>
      <c r="D1626">
        <v>3001420</v>
      </c>
      <c r="E1626">
        <v>3100764</v>
      </c>
      <c r="F1626" t="s">
        <v>10</v>
      </c>
      <c r="G1626" t="s">
        <v>1346</v>
      </c>
      <c r="H1626" t="s">
        <v>54</v>
      </c>
      <c r="I1626">
        <v>9923025</v>
      </c>
      <c r="J1626" s="12">
        <v>46120</v>
      </c>
      <c r="K1626" s="12">
        <v>46120</v>
      </c>
      <c r="L1626" s="12">
        <v>46151</v>
      </c>
      <c r="M1626">
        <v>-19</v>
      </c>
      <c r="N1626">
        <v>658239</v>
      </c>
      <c r="O1626">
        <v>0</v>
      </c>
      <c r="P1626">
        <v>658239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 t="s">
        <v>846</v>
      </c>
      <c r="AA1626" t="s">
        <v>1062</v>
      </c>
      <c r="AB1626" t="s">
        <v>51</v>
      </c>
      <c r="AC1626" t="s">
        <v>51</v>
      </c>
      <c r="AD1626" t="s">
        <v>51</v>
      </c>
      <c r="AE1626" t="s">
        <v>1198</v>
      </c>
      <c r="AF1626" t="s">
        <v>163</v>
      </c>
    </row>
    <row r="1627" spans="1:32" ht="14.5" customHeight="1" x14ac:dyDescent="0.35">
      <c r="A1627" t="s">
        <v>84</v>
      </c>
      <c r="B1627" t="s">
        <v>85</v>
      </c>
      <c r="C1627" t="s">
        <v>47</v>
      </c>
      <c r="D1627">
        <v>3001420</v>
      </c>
      <c r="E1627">
        <v>3100761</v>
      </c>
      <c r="F1627" t="s">
        <v>10</v>
      </c>
      <c r="G1627" t="s">
        <v>1344</v>
      </c>
      <c r="H1627" t="s">
        <v>140</v>
      </c>
      <c r="I1627">
        <v>9923260</v>
      </c>
      <c r="J1627" s="12">
        <v>46121</v>
      </c>
      <c r="K1627" s="12">
        <v>46121</v>
      </c>
      <c r="L1627" s="12">
        <v>46151</v>
      </c>
      <c r="M1627">
        <v>-19</v>
      </c>
      <c r="N1627">
        <v>500229</v>
      </c>
      <c r="O1627">
        <v>0</v>
      </c>
      <c r="P1627">
        <v>500229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 t="s">
        <v>47</v>
      </c>
      <c r="AA1627" t="s">
        <v>1062</v>
      </c>
      <c r="AB1627" t="s">
        <v>51</v>
      </c>
      <c r="AC1627" t="s">
        <v>51</v>
      </c>
      <c r="AD1627" t="s">
        <v>51</v>
      </c>
      <c r="AE1627" t="s">
        <v>1407</v>
      </c>
      <c r="AF1627" t="s">
        <v>866</v>
      </c>
    </row>
    <row r="1628" spans="1:32" ht="14.5" customHeight="1" x14ac:dyDescent="0.35">
      <c r="A1628" t="s">
        <v>84</v>
      </c>
      <c r="B1628" t="s">
        <v>85</v>
      </c>
      <c r="C1628" t="s">
        <v>846</v>
      </c>
      <c r="D1628">
        <v>3001420</v>
      </c>
      <c r="E1628">
        <v>3100703</v>
      </c>
      <c r="F1628" t="s">
        <v>10</v>
      </c>
      <c r="G1628" t="s">
        <v>1351</v>
      </c>
      <c r="H1628" t="s">
        <v>54</v>
      </c>
      <c r="I1628">
        <v>9923328</v>
      </c>
      <c r="J1628" s="12">
        <v>46121</v>
      </c>
      <c r="K1628" s="12">
        <v>46121</v>
      </c>
      <c r="L1628" s="12">
        <v>46152</v>
      </c>
      <c r="M1628">
        <v>-20</v>
      </c>
      <c r="N1628">
        <v>217143000</v>
      </c>
      <c r="O1628">
        <v>0</v>
      </c>
      <c r="P1628">
        <v>217143000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 t="s">
        <v>846</v>
      </c>
      <c r="AA1628" t="s">
        <v>1062</v>
      </c>
      <c r="AB1628" t="s">
        <v>51</v>
      </c>
      <c r="AC1628" t="s">
        <v>51</v>
      </c>
      <c r="AD1628" t="s">
        <v>51</v>
      </c>
      <c r="AE1628" t="s">
        <v>1408</v>
      </c>
      <c r="AF1628" t="s">
        <v>1409</v>
      </c>
    </row>
    <row r="1629" spans="1:32" ht="14.5" customHeight="1" x14ac:dyDescent="0.35">
      <c r="A1629" t="s">
        <v>84</v>
      </c>
      <c r="B1629" t="s">
        <v>85</v>
      </c>
      <c r="C1629" t="s">
        <v>846</v>
      </c>
      <c r="D1629">
        <v>3001420</v>
      </c>
      <c r="E1629">
        <v>3100699</v>
      </c>
      <c r="F1629" t="s">
        <v>10</v>
      </c>
      <c r="G1629" t="s">
        <v>1343</v>
      </c>
      <c r="H1629" t="s">
        <v>54</v>
      </c>
      <c r="I1629">
        <v>9924545</v>
      </c>
      <c r="J1629" s="12">
        <v>46123</v>
      </c>
      <c r="K1629" s="12">
        <v>46123</v>
      </c>
      <c r="L1629" s="12">
        <v>46154</v>
      </c>
      <c r="M1629">
        <v>-22</v>
      </c>
      <c r="N1629">
        <v>341682083</v>
      </c>
      <c r="O1629">
        <v>0</v>
      </c>
      <c r="P1629">
        <v>341682083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 t="s">
        <v>846</v>
      </c>
      <c r="AA1629" t="s">
        <v>1062</v>
      </c>
      <c r="AB1629" t="s">
        <v>51</v>
      </c>
      <c r="AC1629" t="s">
        <v>51</v>
      </c>
      <c r="AD1629" t="s">
        <v>51</v>
      </c>
      <c r="AE1629" t="s">
        <v>1410</v>
      </c>
      <c r="AF1629" t="s">
        <v>1168</v>
      </c>
    </row>
    <row r="1630" spans="1:32" ht="14.5" customHeight="1" x14ac:dyDescent="0.35">
      <c r="A1630" t="s">
        <v>84</v>
      </c>
      <c r="B1630" t="s">
        <v>85</v>
      </c>
      <c r="C1630" t="s">
        <v>846</v>
      </c>
      <c r="D1630">
        <v>3001420</v>
      </c>
      <c r="E1630">
        <v>3100701</v>
      </c>
      <c r="F1630" t="s">
        <v>10</v>
      </c>
      <c r="G1630" t="s">
        <v>1350</v>
      </c>
      <c r="H1630" t="s">
        <v>54</v>
      </c>
      <c r="I1630">
        <v>9924713</v>
      </c>
      <c r="J1630" s="12">
        <v>46125</v>
      </c>
      <c r="K1630" s="12">
        <v>46125</v>
      </c>
      <c r="L1630" s="12">
        <v>46156</v>
      </c>
      <c r="M1630">
        <v>-24</v>
      </c>
      <c r="N1630">
        <v>195480644</v>
      </c>
      <c r="O1630">
        <v>0</v>
      </c>
      <c r="P1630">
        <v>195480644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 t="s">
        <v>846</v>
      </c>
      <c r="AA1630" t="s">
        <v>1062</v>
      </c>
      <c r="AB1630" t="s">
        <v>51</v>
      </c>
      <c r="AC1630" t="s">
        <v>51</v>
      </c>
      <c r="AD1630" t="s">
        <v>51</v>
      </c>
      <c r="AE1630" t="s">
        <v>1411</v>
      </c>
      <c r="AF1630" t="s">
        <v>144</v>
      </c>
    </row>
    <row r="1631" spans="1:32" ht="14.5" customHeight="1" x14ac:dyDescent="0.35">
      <c r="A1631" t="s">
        <v>84</v>
      </c>
      <c r="B1631" t="s">
        <v>85</v>
      </c>
      <c r="C1631" t="s">
        <v>846</v>
      </c>
      <c r="D1631">
        <v>3001420</v>
      </c>
      <c r="E1631">
        <v>3100745</v>
      </c>
      <c r="F1631" t="s">
        <v>10</v>
      </c>
      <c r="G1631" t="s">
        <v>1314</v>
      </c>
      <c r="H1631" t="s">
        <v>54</v>
      </c>
      <c r="I1631">
        <v>9924717</v>
      </c>
      <c r="J1631" s="12">
        <v>46125</v>
      </c>
      <c r="K1631" s="12">
        <v>46125</v>
      </c>
      <c r="L1631" s="12">
        <v>46156</v>
      </c>
      <c r="M1631">
        <v>-24</v>
      </c>
      <c r="N1631">
        <v>280088100</v>
      </c>
      <c r="O1631">
        <v>0</v>
      </c>
      <c r="P1631">
        <v>280088100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 t="s">
        <v>846</v>
      </c>
      <c r="AA1631" t="s">
        <v>1062</v>
      </c>
      <c r="AB1631" t="s">
        <v>51</v>
      </c>
      <c r="AC1631" t="s">
        <v>51</v>
      </c>
      <c r="AD1631" t="s">
        <v>51</v>
      </c>
      <c r="AE1631" t="s">
        <v>1412</v>
      </c>
      <c r="AF1631" t="s">
        <v>285</v>
      </c>
    </row>
    <row r="1632" spans="1:32" ht="14.5" customHeight="1" x14ac:dyDescent="0.35">
      <c r="A1632" t="s">
        <v>84</v>
      </c>
      <c r="B1632" t="s">
        <v>85</v>
      </c>
      <c r="C1632" t="s">
        <v>846</v>
      </c>
      <c r="D1632">
        <v>3001420</v>
      </c>
      <c r="E1632">
        <v>3100745</v>
      </c>
      <c r="F1632" t="s">
        <v>10</v>
      </c>
      <c r="G1632" t="s">
        <v>1314</v>
      </c>
      <c r="H1632" t="s">
        <v>54</v>
      </c>
      <c r="I1632">
        <v>9924719</v>
      </c>
      <c r="J1632" s="12">
        <v>46125</v>
      </c>
      <c r="K1632" s="12">
        <v>46125</v>
      </c>
      <c r="L1632" s="12">
        <v>46156</v>
      </c>
      <c r="M1632">
        <v>-24</v>
      </c>
      <c r="N1632">
        <v>329119</v>
      </c>
      <c r="O1632">
        <v>0</v>
      </c>
      <c r="P1632">
        <v>329119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 t="s">
        <v>846</v>
      </c>
      <c r="AA1632" t="s">
        <v>1062</v>
      </c>
      <c r="AB1632" t="s">
        <v>51</v>
      </c>
      <c r="AC1632" t="s">
        <v>51</v>
      </c>
      <c r="AD1632" t="s">
        <v>51</v>
      </c>
      <c r="AE1632" t="s">
        <v>1204</v>
      </c>
      <c r="AF1632" t="s">
        <v>163</v>
      </c>
    </row>
    <row r="1633" spans="1:32" ht="14.5" customHeight="1" x14ac:dyDescent="0.35">
      <c r="A1633" t="s">
        <v>84</v>
      </c>
      <c r="B1633" t="s">
        <v>85</v>
      </c>
      <c r="C1633" t="s">
        <v>846</v>
      </c>
      <c r="D1633">
        <v>3001420</v>
      </c>
      <c r="E1633">
        <v>3100762</v>
      </c>
      <c r="F1633" t="s">
        <v>10</v>
      </c>
      <c r="G1633" t="s">
        <v>1344</v>
      </c>
      <c r="H1633" t="s">
        <v>54</v>
      </c>
      <c r="I1633">
        <v>9924741</v>
      </c>
      <c r="J1633" s="12">
        <v>46125</v>
      </c>
      <c r="K1633" s="12">
        <v>46125</v>
      </c>
      <c r="L1633" s="12">
        <v>46156</v>
      </c>
      <c r="M1633">
        <v>-24</v>
      </c>
      <c r="N1633">
        <v>506782484</v>
      </c>
      <c r="O1633">
        <v>0</v>
      </c>
      <c r="P1633">
        <v>506782484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 t="s">
        <v>846</v>
      </c>
      <c r="AA1633" t="s">
        <v>1062</v>
      </c>
      <c r="AB1633" t="s">
        <v>51</v>
      </c>
      <c r="AC1633" t="s">
        <v>51</v>
      </c>
      <c r="AD1633" t="s">
        <v>51</v>
      </c>
      <c r="AE1633" t="s">
        <v>1413</v>
      </c>
      <c r="AF1633" t="s">
        <v>305</v>
      </c>
    </row>
    <row r="1634" spans="1:32" ht="14.5" customHeight="1" x14ac:dyDescent="0.35">
      <c r="A1634" t="s">
        <v>84</v>
      </c>
      <c r="B1634" t="s">
        <v>85</v>
      </c>
      <c r="C1634" t="s">
        <v>846</v>
      </c>
      <c r="D1634">
        <v>3001420</v>
      </c>
      <c r="E1634">
        <v>3100762</v>
      </c>
      <c r="F1634" t="s">
        <v>10</v>
      </c>
      <c r="G1634" t="s">
        <v>1344</v>
      </c>
      <c r="H1634" t="s">
        <v>54</v>
      </c>
      <c r="I1634">
        <v>9924745</v>
      </c>
      <c r="J1634" s="12">
        <v>46125</v>
      </c>
      <c r="K1634" s="12">
        <v>46125</v>
      </c>
      <c r="L1634" s="12">
        <v>46156</v>
      </c>
      <c r="M1634">
        <v>-24</v>
      </c>
      <c r="N1634">
        <v>1645597</v>
      </c>
      <c r="O1634">
        <v>0</v>
      </c>
      <c r="P1634">
        <v>1645597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 t="s">
        <v>846</v>
      </c>
      <c r="AA1634" t="s">
        <v>1062</v>
      </c>
      <c r="AB1634" t="s">
        <v>51</v>
      </c>
      <c r="AC1634" t="s">
        <v>51</v>
      </c>
      <c r="AD1634" t="s">
        <v>51</v>
      </c>
      <c r="AE1634" t="s">
        <v>1191</v>
      </c>
      <c r="AF1634" t="s">
        <v>163</v>
      </c>
    </row>
    <row r="1635" spans="1:32" ht="14.5" customHeight="1" x14ac:dyDescent="0.35">
      <c r="A1635" t="s">
        <v>84</v>
      </c>
      <c r="B1635" t="s">
        <v>85</v>
      </c>
      <c r="C1635" t="s">
        <v>846</v>
      </c>
      <c r="D1635">
        <v>3001420</v>
      </c>
      <c r="E1635">
        <v>3100697</v>
      </c>
      <c r="F1635" t="s">
        <v>10</v>
      </c>
      <c r="G1635" t="s">
        <v>1349</v>
      </c>
      <c r="H1635" t="s">
        <v>54</v>
      </c>
      <c r="I1635">
        <v>9924761</v>
      </c>
      <c r="J1635" s="12">
        <v>46125</v>
      </c>
      <c r="K1635" s="12">
        <v>46125</v>
      </c>
      <c r="L1635" s="12">
        <v>46156</v>
      </c>
      <c r="M1635">
        <v>-24</v>
      </c>
      <c r="N1635">
        <v>44141867</v>
      </c>
      <c r="O1635">
        <v>0</v>
      </c>
      <c r="P1635">
        <v>44141867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 t="s">
        <v>846</v>
      </c>
      <c r="AA1635" t="s">
        <v>1062</v>
      </c>
      <c r="AB1635" t="s">
        <v>51</v>
      </c>
      <c r="AC1635" t="s">
        <v>51</v>
      </c>
      <c r="AD1635" t="s">
        <v>51</v>
      </c>
      <c r="AE1635" t="s">
        <v>1414</v>
      </c>
      <c r="AF1635" t="s">
        <v>475</v>
      </c>
    </row>
    <row r="1636" spans="1:32" ht="14.5" customHeight="1" x14ac:dyDescent="0.35">
      <c r="A1636" t="s">
        <v>84</v>
      </c>
      <c r="B1636" t="s">
        <v>85</v>
      </c>
      <c r="C1636" t="s">
        <v>846</v>
      </c>
      <c r="D1636">
        <v>3001420</v>
      </c>
      <c r="E1636">
        <v>3100697</v>
      </c>
      <c r="F1636" t="s">
        <v>10</v>
      </c>
      <c r="G1636" t="s">
        <v>1349</v>
      </c>
      <c r="H1636" t="s">
        <v>54</v>
      </c>
      <c r="I1636">
        <v>9924768</v>
      </c>
      <c r="J1636" s="12">
        <v>46125</v>
      </c>
      <c r="K1636" s="12">
        <v>46125</v>
      </c>
      <c r="L1636" s="12">
        <v>46156</v>
      </c>
      <c r="M1636">
        <v>-24</v>
      </c>
      <c r="N1636">
        <v>293757635</v>
      </c>
      <c r="O1636">
        <v>0</v>
      </c>
      <c r="P1636">
        <v>293757635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 t="s">
        <v>846</v>
      </c>
      <c r="AA1636" t="s">
        <v>1062</v>
      </c>
      <c r="AB1636" t="s">
        <v>51</v>
      </c>
      <c r="AC1636" t="s">
        <v>51</v>
      </c>
      <c r="AD1636" t="s">
        <v>51</v>
      </c>
      <c r="AE1636" t="s">
        <v>1415</v>
      </c>
      <c r="AF1636" t="s">
        <v>62</v>
      </c>
    </row>
    <row r="1637" spans="1:32" ht="14.5" customHeight="1" x14ac:dyDescent="0.35">
      <c r="A1637" t="s">
        <v>84</v>
      </c>
      <c r="B1637" t="s">
        <v>85</v>
      </c>
      <c r="C1637" t="s">
        <v>846</v>
      </c>
      <c r="D1637">
        <v>3001420</v>
      </c>
      <c r="E1637">
        <v>3100662</v>
      </c>
      <c r="F1637" t="s">
        <v>10</v>
      </c>
      <c r="G1637" t="s">
        <v>1305</v>
      </c>
      <c r="H1637" t="s">
        <v>54</v>
      </c>
      <c r="I1637">
        <v>9924770</v>
      </c>
      <c r="J1637" s="12">
        <v>46125</v>
      </c>
      <c r="K1637" s="12">
        <v>46125</v>
      </c>
      <c r="L1637" s="12">
        <v>46156</v>
      </c>
      <c r="M1637">
        <v>-24</v>
      </c>
      <c r="N1637">
        <v>32999194</v>
      </c>
      <c r="O1637">
        <v>0</v>
      </c>
      <c r="P1637">
        <v>32999194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 t="s">
        <v>846</v>
      </c>
      <c r="AA1637" t="s">
        <v>1062</v>
      </c>
      <c r="AB1637" t="s">
        <v>51</v>
      </c>
      <c r="AC1637" t="s">
        <v>51</v>
      </c>
      <c r="AD1637" t="s">
        <v>51</v>
      </c>
      <c r="AE1637" t="s">
        <v>1416</v>
      </c>
      <c r="AF1637" t="s">
        <v>1168</v>
      </c>
    </row>
    <row r="1638" spans="1:32" ht="14.5" customHeight="1" x14ac:dyDescent="0.35">
      <c r="A1638" t="s">
        <v>84</v>
      </c>
      <c r="B1638" t="s">
        <v>85</v>
      </c>
      <c r="C1638" t="s">
        <v>846</v>
      </c>
      <c r="D1638">
        <v>3001420</v>
      </c>
      <c r="E1638">
        <v>3100680</v>
      </c>
      <c r="F1638" t="s">
        <v>10</v>
      </c>
      <c r="G1638" t="s">
        <v>1309</v>
      </c>
      <c r="H1638" t="s">
        <v>54</v>
      </c>
      <c r="I1638">
        <v>9924771</v>
      </c>
      <c r="J1638" s="12">
        <v>46125</v>
      </c>
      <c r="K1638" s="12">
        <v>46125</v>
      </c>
      <c r="L1638" s="12">
        <v>46156</v>
      </c>
      <c r="M1638">
        <v>-24</v>
      </c>
      <c r="N1638">
        <v>42355495</v>
      </c>
      <c r="O1638">
        <v>0</v>
      </c>
      <c r="P1638">
        <v>42355495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 t="s">
        <v>846</v>
      </c>
      <c r="AA1638" t="s">
        <v>1062</v>
      </c>
      <c r="AB1638" t="s">
        <v>51</v>
      </c>
      <c r="AC1638" t="s">
        <v>51</v>
      </c>
      <c r="AD1638" t="s">
        <v>51</v>
      </c>
      <c r="AE1638" t="s">
        <v>1417</v>
      </c>
      <c r="AF1638" t="s">
        <v>475</v>
      </c>
    </row>
    <row r="1639" spans="1:32" ht="14.5" customHeight="1" x14ac:dyDescent="0.35">
      <c r="A1639" t="s">
        <v>84</v>
      </c>
      <c r="B1639" t="s">
        <v>85</v>
      </c>
      <c r="C1639" t="s">
        <v>846</v>
      </c>
      <c r="D1639">
        <v>3001420</v>
      </c>
      <c r="E1639">
        <v>3100662</v>
      </c>
      <c r="F1639" t="s">
        <v>10</v>
      </c>
      <c r="G1639" t="s">
        <v>1305</v>
      </c>
      <c r="H1639" t="s">
        <v>54</v>
      </c>
      <c r="I1639">
        <v>9924826</v>
      </c>
      <c r="J1639" s="12">
        <v>46125</v>
      </c>
      <c r="K1639" s="12">
        <v>46125</v>
      </c>
      <c r="L1639" s="12">
        <v>46156</v>
      </c>
      <c r="M1639">
        <v>-24</v>
      </c>
      <c r="N1639">
        <v>255336741</v>
      </c>
      <c r="O1639">
        <v>0</v>
      </c>
      <c r="P1639">
        <v>255336741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 t="s">
        <v>846</v>
      </c>
      <c r="AA1639" t="s">
        <v>1062</v>
      </c>
      <c r="AB1639" t="s">
        <v>51</v>
      </c>
      <c r="AC1639" t="s">
        <v>51</v>
      </c>
      <c r="AD1639" t="s">
        <v>51</v>
      </c>
      <c r="AE1639" t="s">
        <v>1418</v>
      </c>
      <c r="AF1639" t="s">
        <v>271</v>
      </c>
    </row>
    <row r="1640" spans="1:32" ht="14.5" customHeight="1" x14ac:dyDescent="0.35">
      <c r="A1640" t="s">
        <v>84</v>
      </c>
      <c r="B1640" t="s">
        <v>85</v>
      </c>
      <c r="C1640" t="s">
        <v>846</v>
      </c>
      <c r="D1640">
        <v>3001420</v>
      </c>
      <c r="E1640">
        <v>3100637</v>
      </c>
      <c r="F1640" t="s">
        <v>10</v>
      </c>
      <c r="G1640" t="s">
        <v>10</v>
      </c>
      <c r="H1640" t="s">
        <v>54</v>
      </c>
      <c r="I1640">
        <v>9924834</v>
      </c>
      <c r="J1640" s="12">
        <v>46125</v>
      </c>
      <c r="K1640" s="12">
        <v>46125</v>
      </c>
      <c r="L1640" s="12">
        <v>46156</v>
      </c>
      <c r="M1640">
        <v>-24</v>
      </c>
      <c r="N1640">
        <v>715103228</v>
      </c>
      <c r="O1640">
        <v>0</v>
      </c>
      <c r="P1640">
        <v>715103228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 t="s">
        <v>846</v>
      </c>
      <c r="AA1640" t="s">
        <v>1062</v>
      </c>
      <c r="AB1640" t="s">
        <v>51</v>
      </c>
      <c r="AC1640" t="s">
        <v>51</v>
      </c>
      <c r="AD1640" t="s">
        <v>51</v>
      </c>
      <c r="AE1640" t="s">
        <v>1419</v>
      </c>
      <c r="AF1640" t="s">
        <v>770</v>
      </c>
    </row>
    <row r="1641" spans="1:32" ht="14.5" customHeight="1" x14ac:dyDescent="0.35">
      <c r="A1641" t="s">
        <v>84</v>
      </c>
      <c r="B1641" t="s">
        <v>85</v>
      </c>
      <c r="C1641" t="s">
        <v>846</v>
      </c>
      <c r="D1641">
        <v>3001420</v>
      </c>
      <c r="E1641">
        <v>3100680</v>
      </c>
      <c r="F1641" t="s">
        <v>10</v>
      </c>
      <c r="G1641" t="s">
        <v>1309</v>
      </c>
      <c r="H1641" t="s">
        <v>54</v>
      </c>
      <c r="I1641">
        <v>9924851</v>
      </c>
      <c r="J1641" s="12">
        <v>46125</v>
      </c>
      <c r="K1641" s="12">
        <v>46125</v>
      </c>
      <c r="L1641" s="12">
        <v>46156</v>
      </c>
      <c r="M1641">
        <v>-24</v>
      </c>
      <c r="N1641">
        <v>207664628</v>
      </c>
      <c r="O1641">
        <v>0</v>
      </c>
      <c r="P1641">
        <v>207664628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 t="s">
        <v>846</v>
      </c>
      <c r="AA1641" t="s">
        <v>1062</v>
      </c>
      <c r="AB1641" t="s">
        <v>51</v>
      </c>
      <c r="AC1641" t="s">
        <v>51</v>
      </c>
      <c r="AD1641" t="s">
        <v>51</v>
      </c>
      <c r="AE1641" t="s">
        <v>1420</v>
      </c>
      <c r="AF1641" t="s">
        <v>195</v>
      </c>
    </row>
    <row r="1642" spans="1:32" ht="14.5" customHeight="1" x14ac:dyDescent="0.35">
      <c r="A1642" t="s">
        <v>84</v>
      </c>
      <c r="B1642" t="s">
        <v>85</v>
      </c>
      <c r="C1642" t="s">
        <v>846</v>
      </c>
      <c r="D1642">
        <v>3001420</v>
      </c>
      <c r="E1642">
        <v>3100637</v>
      </c>
      <c r="F1642" t="s">
        <v>10</v>
      </c>
      <c r="G1642" t="s">
        <v>10</v>
      </c>
      <c r="H1642" t="s">
        <v>54</v>
      </c>
      <c r="I1642">
        <v>9925471</v>
      </c>
      <c r="J1642" s="12">
        <v>46126</v>
      </c>
      <c r="K1642" s="12">
        <v>46126</v>
      </c>
      <c r="L1642" s="12">
        <v>46157</v>
      </c>
      <c r="M1642">
        <v>-25</v>
      </c>
      <c r="N1642">
        <v>375019072</v>
      </c>
      <c r="O1642">
        <v>0</v>
      </c>
      <c r="P1642">
        <v>375019072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 t="s">
        <v>846</v>
      </c>
      <c r="AA1642" t="s">
        <v>1062</v>
      </c>
      <c r="AB1642" t="s">
        <v>51</v>
      </c>
      <c r="AC1642" t="s">
        <v>51</v>
      </c>
      <c r="AD1642" t="s">
        <v>51</v>
      </c>
      <c r="AE1642" t="s">
        <v>1421</v>
      </c>
      <c r="AF1642" t="s">
        <v>155</v>
      </c>
    </row>
    <row r="1643" spans="1:32" ht="14.5" customHeight="1" x14ac:dyDescent="0.35">
      <c r="A1643" t="s">
        <v>84</v>
      </c>
      <c r="B1643" t="s">
        <v>85</v>
      </c>
      <c r="C1643" t="s">
        <v>846</v>
      </c>
      <c r="D1643">
        <v>3001420</v>
      </c>
      <c r="E1643">
        <v>3100637</v>
      </c>
      <c r="F1643" t="s">
        <v>10</v>
      </c>
      <c r="G1643" t="s">
        <v>10</v>
      </c>
      <c r="H1643" t="s">
        <v>54</v>
      </c>
      <c r="I1643">
        <v>9925473</v>
      </c>
      <c r="J1643" s="12">
        <v>46126</v>
      </c>
      <c r="K1643" s="12">
        <v>46126</v>
      </c>
      <c r="L1643" s="12">
        <v>46157</v>
      </c>
      <c r="M1643">
        <v>-25</v>
      </c>
      <c r="N1643">
        <v>10531822</v>
      </c>
      <c r="O1643">
        <v>0</v>
      </c>
      <c r="P1643">
        <v>10531822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 t="s">
        <v>846</v>
      </c>
      <c r="AA1643" t="s">
        <v>1062</v>
      </c>
      <c r="AB1643" t="s">
        <v>51</v>
      </c>
      <c r="AC1643" t="s">
        <v>51</v>
      </c>
      <c r="AD1643" t="s">
        <v>51</v>
      </c>
      <c r="AE1643" t="s">
        <v>1422</v>
      </c>
      <c r="AF1643" t="s">
        <v>163</v>
      </c>
    </row>
    <row r="1644" spans="1:32" ht="14.5" customHeight="1" x14ac:dyDescent="0.35">
      <c r="A1644" t="s">
        <v>84</v>
      </c>
      <c r="B1644" t="s">
        <v>85</v>
      </c>
      <c r="C1644" t="s">
        <v>47</v>
      </c>
      <c r="D1644">
        <v>3001420</v>
      </c>
      <c r="E1644">
        <v>3100661</v>
      </c>
      <c r="F1644" t="s">
        <v>10</v>
      </c>
      <c r="G1644" t="s">
        <v>1305</v>
      </c>
      <c r="H1644" t="s">
        <v>140</v>
      </c>
      <c r="I1644">
        <v>9926437</v>
      </c>
      <c r="J1644" s="12">
        <v>46128</v>
      </c>
      <c r="K1644" s="12">
        <v>46128</v>
      </c>
      <c r="L1644" s="12">
        <v>46158</v>
      </c>
      <c r="M1644">
        <v>-26</v>
      </c>
      <c r="N1644">
        <v>751653</v>
      </c>
      <c r="O1644">
        <v>0</v>
      </c>
      <c r="P1644">
        <v>751653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 t="s">
        <v>47</v>
      </c>
      <c r="AA1644" t="s">
        <v>1062</v>
      </c>
      <c r="AB1644" t="s">
        <v>51</v>
      </c>
      <c r="AC1644" t="s">
        <v>51</v>
      </c>
      <c r="AD1644" t="s">
        <v>51</v>
      </c>
      <c r="AE1644" t="s">
        <v>1423</v>
      </c>
      <c r="AF1644" t="s">
        <v>920</v>
      </c>
    </row>
    <row r="1645" spans="1:32" ht="14.5" customHeight="1" x14ac:dyDescent="0.35">
      <c r="A1645" t="s">
        <v>84</v>
      </c>
      <c r="B1645" t="s">
        <v>85</v>
      </c>
      <c r="C1645" t="s">
        <v>846</v>
      </c>
      <c r="D1645">
        <v>3001420</v>
      </c>
      <c r="E1645">
        <v>3100764</v>
      </c>
      <c r="F1645" t="s">
        <v>10</v>
      </c>
      <c r="G1645" t="s">
        <v>1346</v>
      </c>
      <c r="H1645" t="s">
        <v>54</v>
      </c>
      <c r="I1645">
        <v>9926438</v>
      </c>
      <c r="J1645" s="12">
        <v>46128</v>
      </c>
      <c r="K1645" s="12">
        <v>46128</v>
      </c>
      <c r="L1645" s="12">
        <v>46159</v>
      </c>
      <c r="M1645">
        <v>-27</v>
      </c>
      <c r="N1645">
        <v>394131008</v>
      </c>
      <c r="O1645">
        <v>0</v>
      </c>
      <c r="P1645">
        <v>394131008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 t="s">
        <v>846</v>
      </c>
      <c r="AA1645" t="s">
        <v>1062</v>
      </c>
      <c r="AB1645" t="s">
        <v>51</v>
      </c>
      <c r="AC1645" t="s">
        <v>51</v>
      </c>
      <c r="AD1645" t="s">
        <v>51</v>
      </c>
      <c r="AE1645" t="s">
        <v>1424</v>
      </c>
      <c r="AF1645" t="s">
        <v>69</v>
      </c>
    </row>
    <row r="1646" spans="1:32" ht="14.5" customHeight="1" x14ac:dyDescent="0.35">
      <c r="A1646" t="s">
        <v>84</v>
      </c>
      <c r="B1646" t="s">
        <v>85</v>
      </c>
      <c r="C1646" t="s">
        <v>846</v>
      </c>
      <c r="D1646">
        <v>3001420</v>
      </c>
      <c r="E1646">
        <v>3100703</v>
      </c>
      <c r="F1646" t="s">
        <v>10</v>
      </c>
      <c r="G1646" t="s">
        <v>1351</v>
      </c>
      <c r="H1646" t="s">
        <v>54</v>
      </c>
      <c r="I1646">
        <v>9926441</v>
      </c>
      <c r="J1646" s="12">
        <v>46128</v>
      </c>
      <c r="K1646" s="12">
        <v>46128</v>
      </c>
      <c r="L1646" s="12">
        <v>46159</v>
      </c>
      <c r="M1646">
        <v>-27</v>
      </c>
      <c r="N1646">
        <v>135797347</v>
      </c>
      <c r="O1646">
        <v>0</v>
      </c>
      <c r="P1646">
        <v>135797347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 t="s">
        <v>846</v>
      </c>
      <c r="AA1646" t="s">
        <v>1062</v>
      </c>
      <c r="AB1646" t="s">
        <v>51</v>
      </c>
      <c r="AC1646" t="s">
        <v>51</v>
      </c>
      <c r="AD1646" t="s">
        <v>51</v>
      </c>
      <c r="AE1646" t="s">
        <v>1425</v>
      </c>
      <c r="AF1646" t="s">
        <v>169</v>
      </c>
    </row>
    <row r="1647" spans="1:32" ht="14.5" customHeight="1" x14ac:dyDescent="0.35">
      <c r="A1647" t="s">
        <v>84</v>
      </c>
      <c r="B1647" t="s">
        <v>85</v>
      </c>
      <c r="C1647" t="s">
        <v>47</v>
      </c>
      <c r="D1647">
        <v>3001420</v>
      </c>
      <c r="E1647">
        <v>3100702</v>
      </c>
      <c r="F1647" t="s">
        <v>10</v>
      </c>
      <c r="G1647" t="s">
        <v>1351</v>
      </c>
      <c r="H1647" t="s">
        <v>140</v>
      </c>
      <c r="I1647">
        <v>9926628</v>
      </c>
      <c r="J1647" s="12">
        <v>46129</v>
      </c>
      <c r="K1647" s="12">
        <v>46129</v>
      </c>
      <c r="L1647" s="12">
        <v>46159</v>
      </c>
      <c r="M1647">
        <v>-27</v>
      </c>
      <c r="N1647">
        <v>2722968</v>
      </c>
      <c r="O1647">
        <v>0</v>
      </c>
      <c r="P1647">
        <v>2722968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 t="s">
        <v>47</v>
      </c>
      <c r="AA1647" t="s">
        <v>1062</v>
      </c>
      <c r="AB1647" t="s">
        <v>51</v>
      </c>
      <c r="AC1647" t="s">
        <v>51</v>
      </c>
      <c r="AD1647" t="s">
        <v>51</v>
      </c>
      <c r="AE1647" t="s">
        <v>1426</v>
      </c>
      <c r="AF1647" t="s">
        <v>144</v>
      </c>
    </row>
    <row r="1648" spans="1:32" ht="14.5" customHeight="1" x14ac:dyDescent="0.35">
      <c r="A1648" t="s">
        <v>84</v>
      </c>
      <c r="B1648" t="s">
        <v>85</v>
      </c>
      <c r="C1648" t="s">
        <v>47</v>
      </c>
      <c r="D1648">
        <v>3001420</v>
      </c>
      <c r="E1648">
        <v>3100744</v>
      </c>
      <c r="F1648" t="s">
        <v>10</v>
      </c>
      <c r="G1648" t="s">
        <v>1314</v>
      </c>
      <c r="H1648" t="s">
        <v>140</v>
      </c>
      <c r="I1648">
        <v>9926629</v>
      </c>
      <c r="J1648" s="12">
        <v>46129</v>
      </c>
      <c r="K1648" s="12">
        <v>46129</v>
      </c>
      <c r="L1648" s="12">
        <v>46159</v>
      </c>
      <c r="M1648">
        <v>-27</v>
      </c>
      <c r="N1648">
        <v>425154</v>
      </c>
      <c r="O1648">
        <v>0</v>
      </c>
      <c r="P1648">
        <v>425154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 t="s">
        <v>47</v>
      </c>
      <c r="AA1648" t="s">
        <v>1062</v>
      </c>
      <c r="AB1648" t="s">
        <v>51</v>
      </c>
      <c r="AC1648" t="s">
        <v>51</v>
      </c>
      <c r="AD1648" t="s">
        <v>51</v>
      </c>
      <c r="AE1648" t="s">
        <v>1427</v>
      </c>
      <c r="AF1648" t="s">
        <v>144</v>
      </c>
    </row>
    <row r="1649" spans="1:32" ht="14.5" customHeight="1" x14ac:dyDescent="0.35">
      <c r="A1649" t="s">
        <v>84</v>
      </c>
      <c r="B1649" t="s">
        <v>85</v>
      </c>
      <c r="C1649" t="s">
        <v>47</v>
      </c>
      <c r="D1649">
        <v>3001420</v>
      </c>
      <c r="E1649">
        <v>3100696</v>
      </c>
      <c r="F1649" t="s">
        <v>10</v>
      </c>
      <c r="G1649" t="s">
        <v>1349</v>
      </c>
      <c r="H1649" t="s">
        <v>140</v>
      </c>
      <c r="I1649">
        <v>9926636</v>
      </c>
      <c r="J1649" s="12">
        <v>46129</v>
      </c>
      <c r="K1649" s="12">
        <v>46129</v>
      </c>
      <c r="L1649" s="12">
        <v>46159</v>
      </c>
      <c r="M1649">
        <v>-27</v>
      </c>
      <c r="N1649">
        <v>6398</v>
      </c>
      <c r="O1649">
        <v>0</v>
      </c>
      <c r="P1649">
        <v>6398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 t="s">
        <v>47</v>
      </c>
      <c r="AA1649" t="s">
        <v>1062</v>
      </c>
      <c r="AB1649" t="s">
        <v>51</v>
      </c>
      <c r="AC1649" t="s">
        <v>51</v>
      </c>
      <c r="AD1649" t="s">
        <v>51</v>
      </c>
      <c r="AE1649" t="s">
        <v>1428</v>
      </c>
      <c r="AF1649" t="s">
        <v>142</v>
      </c>
    </row>
    <row r="1650" spans="1:32" ht="14.5" customHeight="1" x14ac:dyDescent="0.35">
      <c r="A1650" t="s">
        <v>84</v>
      </c>
      <c r="B1650" t="s">
        <v>85</v>
      </c>
      <c r="C1650" t="s">
        <v>47</v>
      </c>
      <c r="D1650">
        <v>3001420</v>
      </c>
      <c r="E1650">
        <v>3100698</v>
      </c>
      <c r="F1650" t="s">
        <v>10</v>
      </c>
      <c r="G1650" t="s">
        <v>1343</v>
      </c>
      <c r="H1650" t="s">
        <v>140</v>
      </c>
      <c r="I1650">
        <v>9926637</v>
      </c>
      <c r="J1650" s="12">
        <v>46129</v>
      </c>
      <c r="K1650" s="12">
        <v>46129</v>
      </c>
      <c r="L1650" s="12">
        <v>46159</v>
      </c>
      <c r="M1650">
        <v>-27</v>
      </c>
      <c r="N1650">
        <v>307335</v>
      </c>
      <c r="O1650">
        <v>0</v>
      </c>
      <c r="P1650">
        <v>307335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 t="s">
        <v>47</v>
      </c>
      <c r="AA1650" t="s">
        <v>1062</v>
      </c>
      <c r="AB1650" t="s">
        <v>51</v>
      </c>
      <c r="AC1650" t="s">
        <v>51</v>
      </c>
      <c r="AD1650" t="s">
        <v>51</v>
      </c>
      <c r="AE1650" t="s">
        <v>1429</v>
      </c>
      <c r="AF1650" t="s">
        <v>144</v>
      </c>
    </row>
    <row r="1651" spans="1:32" ht="14.5" customHeight="1" x14ac:dyDescent="0.35">
      <c r="A1651" t="s">
        <v>84</v>
      </c>
      <c r="B1651" t="s">
        <v>85</v>
      </c>
      <c r="C1651" t="s">
        <v>47</v>
      </c>
      <c r="D1651">
        <v>3001420</v>
      </c>
      <c r="E1651">
        <v>3100700</v>
      </c>
      <c r="F1651" t="s">
        <v>10</v>
      </c>
      <c r="G1651" t="s">
        <v>1350</v>
      </c>
      <c r="H1651" t="s">
        <v>140</v>
      </c>
      <c r="I1651">
        <v>9926638</v>
      </c>
      <c r="J1651" s="12">
        <v>46129</v>
      </c>
      <c r="K1651" s="12">
        <v>46129</v>
      </c>
      <c r="L1651" s="12">
        <v>46159</v>
      </c>
      <c r="M1651">
        <v>-27</v>
      </c>
      <c r="N1651">
        <v>2328962</v>
      </c>
      <c r="O1651">
        <v>0</v>
      </c>
      <c r="P1651">
        <v>2328962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 t="s">
        <v>47</v>
      </c>
      <c r="AA1651" t="s">
        <v>1062</v>
      </c>
      <c r="AB1651" t="s">
        <v>51</v>
      </c>
      <c r="AC1651" t="s">
        <v>51</v>
      </c>
      <c r="AD1651" t="s">
        <v>51</v>
      </c>
      <c r="AE1651" t="s">
        <v>1430</v>
      </c>
      <c r="AF1651" t="s">
        <v>144</v>
      </c>
    </row>
    <row r="1652" spans="1:32" ht="14.5" customHeight="1" x14ac:dyDescent="0.35">
      <c r="A1652" t="s">
        <v>84</v>
      </c>
      <c r="B1652" t="s">
        <v>85</v>
      </c>
      <c r="C1652" t="s">
        <v>47</v>
      </c>
      <c r="D1652">
        <v>3001420</v>
      </c>
      <c r="E1652">
        <v>3100763</v>
      </c>
      <c r="F1652" t="s">
        <v>10</v>
      </c>
      <c r="G1652" t="s">
        <v>1346</v>
      </c>
      <c r="H1652" t="s">
        <v>140</v>
      </c>
      <c r="I1652">
        <v>9926640</v>
      </c>
      <c r="J1652" s="12">
        <v>46129</v>
      </c>
      <c r="K1652" s="12">
        <v>46129</v>
      </c>
      <c r="L1652" s="12">
        <v>46159</v>
      </c>
      <c r="M1652">
        <v>-27</v>
      </c>
      <c r="N1652">
        <v>2031932</v>
      </c>
      <c r="O1652">
        <v>0</v>
      </c>
      <c r="P1652">
        <v>2031932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 t="s">
        <v>47</v>
      </c>
      <c r="AA1652" t="s">
        <v>1062</v>
      </c>
      <c r="AB1652" t="s">
        <v>51</v>
      </c>
      <c r="AC1652" t="s">
        <v>51</v>
      </c>
      <c r="AD1652" t="s">
        <v>51</v>
      </c>
      <c r="AE1652" t="s">
        <v>1431</v>
      </c>
      <c r="AF1652" t="s">
        <v>660</v>
      </c>
    </row>
    <row r="1653" spans="1:32" ht="14.5" customHeight="1" x14ac:dyDescent="0.35">
      <c r="A1653" t="s">
        <v>84</v>
      </c>
      <c r="B1653" t="s">
        <v>85</v>
      </c>
      <c r="C1653" t="s">
        <v>846</v>
      </c>
      <c r="D1653">
        <v>3001420</v>
      </c>
      <c r="E1653">
        <v>3100745</v>
      </c>
      <c r="F1653" t="s">
        <v>10</v>
      </c>
      <c r="G1653" t="s">
        <v>1314</v>
      </c>
      <c r="H1653" t="s">
        <v>54</v>
      </c>
      <c r="I1653">
        <v>9926745</v>
      </c>
      <c r="J1653" s="12">
        <v>46129</v>
      </c>
      <c r="K1653" s="12">
        <v>46129</v>
      </c>
      <c r="L1653" s="12">
        <v>46160</v>
      </c>
      <c r="M1653">
        <v>-28</v>
      </c>
      <c r="N1653">
        <v>147286832</v>
      </c>
      <c r="O1653">
        <v>0</v>
      </c>
      <c r="P1653">
        <v>147286832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 t="s">
        <v>846</v>
      </c>
      <c r="AA1653" t="s">
        <v>1062</v>
      </c>
      <c r="AB1653" t="s">
        <v>51</v>
      </c>
      <c r="AC1653" t="s">
        <v>51</v>
      </c>
      <c r="AD1653" t="s">
        <v>51</v>
      </c>
      <c r="AE1653" t="s">
        <v>1432</v>
      </c>
      <c r="AF1653" t="s">
        <v>69</v>
      </c>
    </row>
    <row r="1654" spans="1:32" ht="14.5" customHeight="1" x14ac:dyDescent="0.35">
      <c r="A1654" t="s">
        <v>84</v>
      </c>
      <c r="B1654" t="s">
        <v>85</v>
      </c>
      <c r="C1654" t="s">
        <v>846</v>
      </c>
      <c r="D1654">
        <v>3001420</v>
      </c>
      <c r="E1654">
        <v>3100699</v>
      </c>
      <c r="F1654" t="s">
        <v>10</v>
      </c>
      <c r="G1654" t="s">
        <v>1343</v>
      </c>
      <c r="H1654" t="s">
        <v>54</v>
      </c>
      <c r="I1654">
        <v>9927409</v>
      </c>
      <c r="J1654" s="12">
        <v>46130</v>
      </c>
      <c r="K1654" s="12">
        <v>46130</v>
      </c>
      <c r="L1654" s="12">
        <v>46161</v>
      </c>
      <c r="M1654">
        <v>-29</v>
      </c>
      <c r="N1654">
        <v>167078614</v>
      </c>
      <c r="O1654">
        <v>0</v>
      </c>
      <c r="P1654">
        <v>167078614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 t="s">
        <v>846</v>
      </c>
      <c r="AA1654" t="s">
        <v>1062</v>
      </c>
      <c r="AB1654" t="s">
        <v>51</v>
      </c>
      <c r="AC1654" t="s">
        <v>51</v>
      </c>
      <c r="AD1654" t="s">
        <v>51</v>
      </c>
      <c r="AE1654" t="s">
        <v>1433</v>
      </c>
      <c r="AF1654" t="s">
        <v>1434</v>
      </c>
    </row>
    <row r="1655" spans="1:32" ht="14.5" customHeight="1" x14ac:dyDescent="0.35">
      <c r="A1655" t="s">
        <v>498</v>
      </c>
      <c r="B1655"/>
      <c r="C1655" t="s">
        <v>47</v>
      </c>
      <c r="D1655">
        <v>3001421</v>
      </c>
      <c r="E1655">
        <v>3100856</v>
      </c>
      <c r="F1655" t="s">
        <v>1435</v>
      </c>
      <c r="G1655" t="s">
        <v>1436</v>
      </c>
      <c r="H1655" t="s">
        <v>54</v>
      </c>
      <c r="I1655">
        <v>6955252</v>
      </c>
      <c r="J1655" s="12">
        <v>46093</v>
      </c>
      <c r="K1655" s="12">
        <v>46093</v>
      </c>
      <c r="L1655" s="12">
        <v>46093</v>
      </c>
      <c r="M1655">
        <v>39</v>
      </c>
      <c r="N1655">
        <v>-4418918</v>
      </c>
      <c r="O1655">
        <v>-4418918</v>
      </c>
      <c r="P1655">
        <v>0</v>
      </c>
      <c r="Q1655">
        <v>0</v>
      </c>
      <c r="R1655">
        <v>-4418918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 t="s">
        <v>47</v>
      </c>
      <c r="AA1655" t="s">
        <v>501</v>
      </c>
      <c r="AB1655" t="s">
        <v>51</v>
      </c>
      <c r="AC1655" t="s">
        <v>51</v>
      </c>
      <c r="AD1655" t="s">
        <v>51</v>
      </c>
      <c r="AE1655" t="s">
        <v>51</v>
      </c>
      <c r="AF1655" t="s">
        <v>1437</v>
      </c>
    </row>
    <row r="1656" spans="1:32" ht="14.5" customHeight="1" x14ac:dyDescent="0.35">
      <c r="A1656" t="s">
        <v>84</v>
      </c>
      <c r="B1656" t="s">
        <v>85</v>
      </c>
      <c r="C1656" t="s">
        <v>47</v>
      </c>
      <c r="D1656">
        <v>3001421</v>
      </c>
      <c r="E1656">
        <v>3001421</v>
      </c>
      <c r="F1656" t="s">
        <v>1435</v>
      </c>
      <c r="G1656" t="s">
        <v>1435</v>
      </c>
      <c r="H1656" t="s">
        <v>54</v>
      </c>
      <c r="I1656">
        <v>6955341</v>
      </c>
      <c r="J1656" s="12">
        <v>46093</v>
      </c>
      <c r="K1656" s="12">
        <v>46093</v>
      </c>
      <c r="L1656" s="12">
        <v>46093</v>
      </c>
      <c r="M1656">
        <v>39</v>
      </c>
      <c r="N1656">
        <v>-97022</v>
      </c>
      <c r="O1656">
        <v>-97022</v>
      </c>
      <c r="P1656">
        <v>0</v>
      </c>
      <c r="Q1656">
        <v>0</v>
      </c>
      <c r="R1656">
        <v>-97022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 t="s">
        <v>548</v>
      </c>
      <c r="AA1656" t="s">
        <v>501</v>
      </c>
      <c r="AB1656" t="s">
        <v>51</v>
      </c>
      <c r="AC1656" t="s">
        <v>51</v>
      </c>
      <c r="AD1656" t="s">
        <v>51</v>
      </c>
      <c r="AE1656" t="s">
        <v>51</v>
      </c>
      <c r="AF1656" t="s">
        <v>1438</v>
      </c>
    </row>
    <row r="1657" spans="1:32" ht="14.5" customHeight="1" x14ac:dyDescent="0.35">
      <c r="A1657" t="s">
        <v>84</v>
      </c>
      <c r="B1657" t="s">
        <v>85</v>
      </c>
      <c r="C1657" t="s">
        <v>47</v>
      </c>
      <c r="D1657">
        <v>3001421</v>
      </c>
      <c r="E1657">
        <v>3001421</v>
      </c>
      <c r="F1657" t="s">
        <v>1435</v>
      </c>
      <c r="G1657" t="s">
        <v>1435</v>
      </c>
      <c r="H1657" t="s">
        <v>54</v>
      </c>
      <c r="I1657">
        <v>6955342</v>
      </c>
      <c r="J1657" s="12">
        <v>46093</v>
      </c>
      <c r="K1657" s="12">
        <v>46093</v>
      </c>
      <c r="L1657" s="12">
        <v>46093</v>
      </c>
      <c r="M1657">
        <v>39</v>
      </c>
      <c r="N1657">
        <v>-210263</v>
      </c>
      <c r="O1657">
        <v>-210263</v>
      </c>
      <c r="P1657">
        <v>0</v>
      </c>
      <c r="Q1657">
        <v>0</v>
      </c>
      <c r="R1657">
        <v>-210263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 t="s">
        <v>548</v>
      </c>
      <c r="AA1657" t="s">
        <v>501</v>
      </c>
      <c r="AB1657" t="s">
        <v>51</v>
      </c>
      <c r="AC1657" t="s">
        <v>51</v>
      </c>
      <c r="AD1657" t="s">
        <v>51</v>
      </c>
      <c r="AE1657" t="s">
        <v>51</v>
      </c>
      <c r="AF1657" t="s">
        <v>1438</v>
      </c>
    </row>
    <row r="1658" spans="1:32" ht="14.5" customHeight="1" x14ac:dyDescent="0.35">
      <c r="A1658" t="s">
        <v>84</v>
      </c>
      <c r="B1658" t="s">
        <v>85</v>
      </c>
      <c r="C1658" t="s">
        <v>47</v>
      </c>
      <c r="D1658">
        <v>3001421</v>
      </c>
      <c r="E1658">
        <v>3001421</v>
      </c>
      <c r="F1658" t="s">
        <v>1435</v>
      </c>
      <c r="G1658" t="s">
        <v>1435</v>
      </c>
      <c r="H1658" t="s">
        <v>54</v>
      </c>
      <c r="I1658">
        <v>6955416</v>
      </c>
      <c r="J1658" s="12">
        <v>46093</v>
      </c>
      <c r="K1658" s="12">
        <v>46093</v>
      </c>
      <c r="L1658" s="12">
        <v>46093</v>
      </c>
      <c r="M1658">
        <v>39</v>
      </c>
      <c r="N1658">
        <v>-3259751</v>
      </c>
      <c r="O1658">
        <v>-3259751</v>
      </c>
      <c r="P1658">
        <v>0</v>
      </c>
      <c r="Q1658">
        <v>0</v>
      </c>
      <c r="R1658">
        <v>-3259751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 t="s">
        <v>548</v>
      </c>
      <c r="AA1658" t="s">
        <v>501</v>
      </c>
      <c r="AB1658" t="s">
        <v>51</v>
      </c>
      <c r="AC1658" t="s">
        <v>51</v>
      </c>
      <c r="AD1658" t="s">
        <v>51</v>
      </c>
      <c r="AE1658" t="s">
        <v>51</v>
      </c>
      <c r="AF1658" t="s">
        <v>1439</v>
      </c>
    </row>
    <row r="1659" spans="1:32" ht="14.5" customHeight="1" x14ac:dyDescent="0.35">
      <c r="A1659" t="s">
        <v>498</v>
      </c>
      <c r="B1659" t="s">
        <v>1230</v>
      </c>
      <c r="C1659" t="s">
        <v>47</v>
      </c>
      <c r="D1659">
        <v>3001421</v>
      </c>
      <c r="E1659">
        <v>3100432</v>
      </c>
      <c r="F1659" t="s">
        <v>1435</v>
      </c>
      <c r="G1659" t="s">
        <v>1435</v>
      </c>
      <c r="H1659" t="s">
        <v>54</v>
      </c>
      <c r="I1659">
        <v>6955425</v>
      </c>
      <c r="J1659" s="12">
        <v>46093</v>
      </c>
      <c r="K1659" s="12">
        <v>46093</v>
      </c>
      <c r="L1659" s="12">
        <v>46093</v>
      </c>
      <c r="M1659">
        <v>39</v>
      </c>
      <c r="N1659">
        <v>-425000</v>
      </c>
      <c r="O1659">
        <v>-425000</v>
      </c>
      <c r="P1659">
        <v>0</v>
      </c>
      <c r="Q1659">
        <v>0</v>
      </c>
      <c r="R1659">
        <v>-425000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 t="s">
        <v>846</v>
      </c>
      <c r="AA1659" t="s">
        <v>501</v>
      </c>
      <c r="AB1659" t="s">
        <v>51</v>
      </c>
      <c r="AC1659" t="s">
        <v>51</v>
      </c>
      <c r="AD1659" t="s">
        <v>51</v>
      </c>
      <c r="AE1659" t="s">
        <v>51</v>
      </c>
      <c r="AF1659" t="s">
        <v>1440</v>
      </c>
    </row>
    <row r="1660" spans="1:32" ht="14.5" customHeight="1" x14ac:dyDescent="0.35">
      <c r="A1660" t="s">
        <v>84</v>
      </c>
      <c r="B1660" t="s">
        <v>85</v>
      </c>
      <c r="C1660" t="s">
        <v>47</v>
      </c>
      <c r="D1660">
        <v>3001421</v>
      </c>
      <c r="E1660">
        <v>3001421</v>
      </c>
      <c r="F1660" t="s">
        <v>1435</v>
      </c>
      <c r="G1660" t="s">
        <v>1435</v>
      </c>
      <c r="H1660" t="s">
        <v>54</v>
      </c>
      <c r="I1660">
        <v>6955447</v>
      </c>
      <c r="J1660" s="12">
        <v>46093</v>
      </c>
      <c r="K1660" s="12">
        <v>46093</v>
      </c>
      <c r="L1660" s="12">
        <v>46093</v>
      </c>
      <c r="M1660">
        <v>39</v>
      </c>
      <c r="N1660">
        <v>-510000</v>
      </c>
      <c r="O1660">
        <v>-510000</v>
      </c>
      <c r="P1660">
        <v>0</v>
      </c>
      <c r="Q1660">
        <v>0</v>
      </c>
      <c r="R1660">
        <v>-510000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 t="s">
        <v>548</v>
      </c>
      <c r="AA1660" t="s">
        <v>501</v>
      </c>
      <c r="AB1660" t="s">
        <v>51</v>
      </c>
      <c r="AC1660" t="s">
        <v>51</v>
      </c>
      <c r="AD1660" t="s">
        <v>51</v>
      </c>
      <c r="AE1660" t="s">
        <v>51</v>
      </c>
      <c r="AF1660" t="s">
        <v>1441</v>
      </c>
    </row>
    <row r="1661" spans="1:32" ht="14.5" customHeight="1" x14ac:dyDescent="0.35">
      <c r="A1661" t="s">
        <v>498</v>
      </c>
      <c r="B1661"/>
      <c r="C1661" t="s">
        <v>47</v>
      </c>
      <c r="D1661">
        <v>3001421</v>
      </c>
      <c r="E1661">
        <v>3100856</v>
      </c>
      <c r="F1661" t="s">
        <v>1435</v>
      </c>
      <c r="G1661" t="s">
        <v>1436</v>
      </c>
      <c r="H1661" t="s">
        <v>54</v>
      </c>
      <c r="I1661">
        <v>6955692</v>
      </c>
      <c r="J1661" s="12">
        <v>46095</v>
      </c>
      <c r="K1661" s="12">
        <v>46095</v>
      </c>
      <c r="L1661" s="12">
        <v>46095</v>
      </c>
      <c r="M1661">
        <v>37</v>
      </c>
      <c r="N1661">
        <v>-5728669</v>
      </c>
      <c r="O1661">
        <v>-5728669</v>
      </c>
      <c r="P1661">
        <v>0</v>
      </c>
      <c r="Q1661">
        <v>0</v>
      </c>
      <c r="R1661">
        <v>-5728669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 t="s">
        <v>47</v>
      </c>
      <c r="AA1661" t="s">
        <v>501</v>
      </c>
      <c r="AB1661" t="s">
        <v>51</v>
      </c>
      <c r="AC1661" t="s">
        <v>51</v>
      </c>
      <c r="AD1661" t="s">
        <v>51</v>
      </c>
      <c r="AE1661" t="s">
        <v>51</v>
      </c>
      <c r="AF1661" t="s">
        <v>106</v>
      </c>
    </row>
    <row r="1662" spans="1:32" ht="14.5" customHeight="1" x14ac:dyDescent="0.35">
      <c r="A1662" t="s">
        <v>84</v>
      </c>
      <c r="B1662" t="s">
        <v>85</v>
      </c>
      <c r="C1662" t="s">
        <v>47</v>
      </c>
      <c r="D1662">
        <v>3001421</v>
      </c>
      <c r="E1662">
        <v>3001421</v>
      </c>
      <c r="F1662" t="s">
        <v>1435</v>
      </c>
      <c r="G1662" t="s">
        <v>1435</v>
      </c>
      <c r="H1662" t="s">
        <v>54</v>
      </c>
      <c r="I1662">
        <v>6955722</v>
      </c>
      <c r="J1662" s="12">
        <v>46095</v>
      </c>
      <c r="K1662" s="12">
        <v>46095</v>
      </c>
      <c r="L1662" s="12">
        <v>46095</v>
      </c>
      <c r="M1662">
        <v>37</v>
      </c>
      <c r="N1662">
        <v>-12302030</v>
      </c>
      <c r="O1662">
        <v>-12302030</v>
      </c>
      <c r="P1662">
        <v>0</v>
      </c>
      <c r="Q1662">
        <v>0</v>
      </c>
      <c r="R1662">
        <v>-12302030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 t="s">
        <v>548</v>
      </c>
      <c r="AA1662" t="s">
        <v>501</v>
      </c>
      <c r="AB1662" t="s">
        <v>51</v>
      </c>
      <c r="AC1662" t="s">
        <v>51</v>
      </c>
      <c r="AD1662" t="s">
        <v>51</v>
      </c>
      <c r="AE1662" t="s">
        <v>51</v>
      </c>
      <c r="AF1662" t="s">
        <v>56</v>
      </c>
    </row>
    <row r="1663" spans="1:32" ht="14.5" customHeight="1" x14ac:dyDescent="0.35">
      <c r="A1663" t="s">
        <v>498</v>
      </c>
      <c r="B1663"/>
      <c r="C1663" t="s">
        <v>47</v>
      </c>
      <c r="D1663">
        <v>3001421</v>
      </c>
      <c r="E1663">
        <v>3100856</v>
      </c>
      <c r="F1663" t="s">
        <v>1435</v>
      </c>
      <c r="G1663" t="s">
        <v>1436</v>
      </c>
      <c r="H1663" t="s">
        <v>54</v>
      </c>
      <c r="I1663">
        <v>6956332</v>
      </c>
      <c r="J1663" s="12">
        <v>46098</v>
      </c>
      <c r="K1663" s="12">
        <v>46098</v>
      </c>
      <c r="L1663" s="12">
        <v>46098</v>
      </c>
      <c r="M1663">
        <v>34</v>
      </c>
      <c r="N1663">
        <v>-3616028</v>
      </c>
      <c r="O1663">
        <v>-3616028</v>
      </c>
      <c r="P1663">
        <v>0</v>
      </c>
      <c r="Q1663">
        <v>0</v>
      </c>
      <c r="R1663">
        <v>-3616028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 t="s">
        <v>47</v>
      </c>
      <c r="AA1663" t="s">
        <v>501</v>
      </c>
      <c r="AB1663" t="s">
        <v>51</v>
      </c>
      <c r="AC1663" t="s">
        <v>51</v>
      </c>
      <c r="AD1663" t="s">
        <v>51</v>
      </c>
      <c r="AE1663" t="s">
        <v>51</v>
      </c>
      <c r="AF1663" t="s">
        <v>1442</v>
      </c>
    </row>
    <row r="1664" spans="1:32" ht="14.5" customHeight="1" x14ac:dyDescent="0.35">
      <c r="A1664" t="s">
        <v>84</v>
      </c>
      <c r="B1664" t="s">
        <v>85</v>
      </c>
      <c r="C1664" t="s">
        <v>47</v>
      </c>
      <c r="D1664">
        <v>3001421</v>
      </c>
      <c r="E1664">
        <v>3001421</v>
      </c>
      <c r="F1664" t="s">
        <v>1435</v>
      </c>
      <c r="G1664" t="s">
        <v>1435</v>
      </c>
      <c r="H1664" t="s">
        <v>54</v>
      </c>
      <c r="I1664">
        <v>6956857</v>
      </c>
      <c r="J1664" s="12">
        <v>46106</v>
      </c>
      <c r="K1664" s="12">
        <v>46106</v>
      </c>
      <c r="L1664" s="12">
        <v>46106</v>
      </c>
      <c r="M1664">
        <v>26</v>
      </c>
      <c r="N1664">
        <v>-2061216</v>
      </c>
      <c r="O1664">
        <v>-2061216</v>
      </c>
      <c r="P1664">
        <v>0</v>
      </c>
      <c r="Q1664">
        <v>-2061216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 t="s">
        <v>548</v>
      </c>
      <c r="AA1664" t="s">
        <v>501</v>
      </c>
      <c r="AB1664" t="s">
        <v>51</v>
      </c>
      <c r="AC1664" t="s">
        <v>51</v>
      </c>
      <c r="AD1664" t="s">
        <v>51</v>
      </c>
      <c r="AE1664" t="s">
        <v>51</v>
      </c>
      <c r="AF1664" t="s">
        <v>1443</v>
      </c>
    </row>
    <row r="1665" spans="1:32" ht="14.5" customHeight="1" x14ac:dyDescent="0.35">
      <c r="A1665" t="s">
        <v>498</v>
      </c>
      <c r="B1665"/>
      <c r="C1665" t="s">
        <v>47</v>
      </c>
      <c r="D1665">
        <v>3001421</v>
      </c>
      <c r="E1665">
        <v>3100856</v>
      </c>
      <c r="F1665" t="s">
        <v>1435</v>
      </c>
      <c r="G1665" t="s">
        <v>1436</v>
      </c>
      <c r="H1665" t="s">
        <v>54</v>
      </c>
      <c r="I1665">
        <v>6956930</v>
      </c>
      <c r="J1665" s="12">
        <v>46106</v>
      </c>
      <c r="K1665" s="12">
        <v>46106</v>
      </c>
      <c r="L1665" s="12">
        <v>46106</v>
      </c>
      <c r="M1665">
        <v>26</v>
      </c>
      <c r="N1665">
        <v>-5533500</v>
      </c>
      <c r="O1665">
        <v>-5533500</v>
      </c>
      <c r="P1665">
        <v>0</v>
      </c>
      <c r="Q1665">
        <v>-5533500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 t="s">
        <v>47</v>
      </c>
      <c r="AA1665" t="s">
        <v>501</v>
      </c>
      <c r="AB1665" t="s">
        <v>51</v>
      </c>
      <c r="AC1665" t="s">
        <v>51</v>
      </c>
      <c r="AD1665" t="s">
        <v>51</v>
      </c>
      <c r="AE1665" t="s">
        <v>51</v>
      </c>
      <c r="AF1665" t="s">
        <v>1444</v>
      </c>
    </row>
    <row r="1666" spans="1:32" ht="14.5" customHeight="1" x14ac:dyDescent="0.35">
      <c r="A1666" t="s">
        <v>84</v>
      </c>
      <c r="B1666" t="s">
        <v>85</v>
      </c>
      <c r="C1666" t="s">
        <v>47</v>
      </c>
      <c r="D1666">
        <v>3001421</v>
      </c>
      <c r="E1666">
        <v>3001421</v>
      </c>
      <c r="F1666" t="s">
        <v>1435</v>
      </c>
      <c r="G1666" t="s">
        <v>1435</v>
      </c>
      <c r="H1666" t="s">
        <v>54</v>
      </c>
      <c r="I1666">
        <v>6957149</v>
      </c>
      <c r="J1666" s="12">
        <v>46106</v>
      </c>
      <c r="K1666" s="12">
        <v>46106</v>
      </c>
      <c r="L1666" s="12">
        <v>46106</v>
      </c>
      <c r="M1666">
        <v>26</v>
      </c>
      <c r="N1666">
        <v>-7069188</v>
      </c>
      <c r="O1666">
        <v>-7069188</v>
      </c>
      <c r="P1666">
        <v>0</v>
      </c>
      <c r="Q1666">
        <v>-7069188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 t="s">
        <v>548</v>
      </c>
      <c r="AA1666" t="s">
        <v>501</v>
      </c>
      <c r="AB1666" t="s">
        <v>51</v>
      </c>
      <c r="AC1666" t="s">
        <v>51</v>
      </c>
      <c r="AD1666" t="s">
        <v>51</v>
      </c>
      <c r="AE1666" t="s">
        <v>51</v>
      </c>
      <c r="AF1666" t="s">
        <v>1445</v>
      </c>
    </row>
    <row r="1667" spans="1:32" ht="14.5" customHeight="1" x14ac:dyDescent="0.35">
      <c r="A1667" t="s">
        <v>84</v>
      </c>
      <c r="B1667" t="s">
        <v>85</v>
      </c>
      <c r="C1667" t="s">
        <v>47</v>
      </c>
      <c r="D1667">
        <v>3001421</v>
      </c>
      <c r="E1667">
        <v>3001421</v>
      </c>
      <c r="F1667" t="s">
        <v>1435</v>
      </c>
      <c r="G1667" t="s">
        <v>1435</v>
      </c>
      <c r="H1667" t="s">
        <v>54</v>
      </c>
      <c r="I1667">
        <v>6957164</v>
      </c>
      <c r="J1667" s="12">
        <v>46106</v>
      </c>
      <c r="K1667" s="12">
        <v>46106</v>
      </c>
      <c r="L1667" s="12">
        <v>46106</v>
      </c>
      <c r="M1667">
        <v>26</v>
      </c>
      <c r="N1667">
        <v>-3464053</v>
      </c>
      <c r="O1667">
        <v>-3464053</v>
      </c>
      <c r="P1667">
        <v>0</v>
      </c>
      <c r="Q1667">
        <v>-3464053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 t="s">
        <v>548</v>
      </c>
      <c r="AA1667" t="s">
        <v>501</v>
      </c>
      <c r="AB1667" t="s">
        <v>51</v>
      </c>
      <c r="AC1667" t="s">
        <v>51</v>
      </c>
      <c r="AD1667" t="s">
        <v>51</v>
      </c>
      <c r="AE1667" t="s">
        <v>51</v>
      </c>
      <c r="AF1667" t="s">
        <v>1439</v>
      </c>
    </row>
    <row r="1668" spans="1:32" ht="14.5" customHeight="1" x14ac:dyDescent="0.35">
      <c r="A1668" t="s">
        <v>84</v>
      </c>
      <c r="B1668" t="s">
        <v>85</v>
      </c>
      <c r="C1668" t="s">
        <v>47</v>
      </c>
      <c r="D1668">
        <v>3001421</v>
      </c>
      <c r="E1668">
        <v>3001421</v>
      </c>
      <c r="F1668" t="s">
        <v>1435</v>
      </c>
      <c r="G1668" t="s">
        <v>1435</v>
      </c>
      <c r="H1668" t="s">
        <v>54</v>
      </c>
      <c r="I1668">
        <v>6957670</v>
      </c>
      <c r="J1668" s="12">
        <v>46111</v>
      </c>
      <c r="K1668" s="12">
        <v>46111</v>
      </c>
      <c r="L1668" s="12">
        <v>46111</v>
      </c>
      <c r="M1668">
        <v>21</v>
      </c>
      <c r="N1668">
        <v>-2273112</v>
      </c>
      <c r="O1668">
        <v>-2273112</v>
      </c>
      <c r="P1668">
        <v>0</v>
      </c>
      <c r="Q1668">
        <v>-2273112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 t="s">
        <v>548</v>
      </c>
      <c r="AA1668" t="s">
        <v>501</v>
      </c>
      <c r="AB1668" t="s">
        <v>51</v>
      </c>
      <c r="AC1668" t="s">
        <v>51</v>
      </c>
      <c r="AD1668" t="s">
        <v>51</v>
      </c>
      <c r="AE1668" t="s">
        <v>51</v>
      </c>
      <c r="AF1668" t="s">
        <v>1446</v>
      </c>
    </row>
    <row r="1669" spans="1:32" ht="14.5" customHeight="1" x14ac:dyDescent="0.35">
      <c r="A1669" t="s">
        <v>498</v>
      </c>
      <c r="B1669" t="s">
        <v>1230</v>
      </c>
      <c r="C1669" t="s">
        <v>47</v>
      </c>
      <c r="D1669">
        <v>3001421</v>
      </c>
      <c r="E1669">
        <v>3100432</v>
      </c>
      <c r="F1669" t="s">
        <v>1435</v>
      </c>
      <c r="G1669" t="s">
        <v>1435</v>
      </c>
      <c r="H1669" t="s">
        <v>54</v>
      </c>
      <c r="I1669">
        <v>6957675</v>
      </c>
      <c r="J1669" s="12">
        <v>46111</v>
      </c>
      <c r="K1669" s="12">
        <v>46111</v>
      </c>
      <c r="L1669" s="12">
        <v>46111</v>
      </c>
      <c r="M1669">
        <v>21</v>
      </c>
      <c r="N1669">
        <v>-833871</v>
      </c>
      <c r="O1669">
        <v>-833871</v>
      </c>
      <c r="P1669">
        <v>0</v>
      </c>
      <c r="Q1669">
        <v>-833871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 t="s">
        <v>846</v>
      </c>
      <c r="AA1669" t="s">
        <v>501</v>
      </c>
      <c r="AB1669" t="s">
        <v>51</v>
      </c>
      <c r="AC1669" t="s">
        <v>51</v>
      </c>
      <c r="AD1669" t="s">
        <v>51</v>
      </c>
      <c r="AE1669" t="s">
        <v>51</v>
      </c>
      <c r="AF1669" t="s">
        <v>1447</v>
      </c>
    </row>
    <row r="1670" spans="1:32" ht="14.5" customHeight="1" x14ac:dyDescent="0.35">
      <c r="A1670" t="s">
        <v>498</v>
      </c>
      <c r="B1670"/>
      <c r="C1670" t="s">
        <v>47</v>
      </c>
      <c r="D1670">
        <v>3001421</v>
      </c>
      <c r="E1670">
        <v>3100856</v>
      </c>
      <c r="F1670" t="s">
        <v>1435</v>
      </c>
      <c r="G1670" t="s">
        <v>1436</v>
      </c>
      <c r="H1670" t="s">
        <v>54</v>
      </c>
      <c r="I1670">
        <v>6957701</v>
      </c>
      <c r="J1670" s="12">
        <v>46112</v>
      </c>
      <c r="K1670" s="12">
        <v>46112</v>
      </c>
      <c r="L1670" s="12">
        <v>46112</v>
      </c>
      <c r="M1670">
        <v>20</v>
      </c>
      <c r="N1670">
        <v>-1279964</v>
      </c>
      <c r="O1670">
        <v>-1279964</v>
      </c>
      <c r="P1670">
        <v>0</v>
      </c>
      <c r="Q1670">
        <v>-1279964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 t="s">
        <v>47</v>
      </c>
      <c r="AA1670" t="s">
        <v>501</v>
      </c>
      <c r="AB1670" t="s">
        <v>51</v>
      </c>
      <c r="AC1670" t="s">
        <v>51</v>
      </c>
      <c r="AD1670" t="s">
        <v>51</v>
      </c>
      <c r="AE1670" t="s">
        <v>51</v>
      </c>
      <c r="AF1670" t="s">
        <v>1448</v>
      </c>
    </row>
    <row r="1671" spans="1:32" ht="14.5" customHeight="1" x14ac:dyDescent="0.35">
      <c r="A1671" t="s">
        <v>498</v>
      </c>
      <c r="B1671" t="s">
        <v>1230</v>
      </c>
      <c r="C1671" t="s">
        <v>47</v>
      </c>
      <c r="D1671">
        <v>3001421</v>
      </c>
      <c r="E1671">
        <v>3100432</v>
      </c>
      <c r="F1671" t="s">
        <v>1435</v>
      </c>
      <c r="G1671" t="s">
        <v>1435</v>
      </c>
      <c r="H1671" t="s">
        <v>54</v>
      </c>
      <c r="I1671">
        <v>6958007</v>
      </c>
      <c r="J1671" s="12">
        <v>46118</v>
      </c>
      <c r="K1671" s="12">
        <v>46118</v>
      </c>
      <c r="L1671" s="12">
        <v>46118</v>
      </c>
      <c r="M1671">
        <v>14</v>
      </c>
      <c r="N1671">
        <v>-11101444</v>
      </c>
      <c r="O1671">
        <v>-11101444</v>
      </c>
      <c r="P1671">
        <v>0</v>
      </c>
      <c r="Q1671">
        <v>-11101444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 t="s">
        <v>846</v>
      </c>
      <c r="AA1671" t="s">
        <v>501</v>
      </c>
      <c r="AB1671" t="s">
        <v>51</v>
      </c>
      <c r="AC1671" t="s">
        <v>51</v>
      </c>
      <c r="AD1671" t="s">
        <v>51</v>
      </c>
      <c r="AE1671" t="s">
        <v>51</v>
      </c>
      <c r="AF1671" t="s">
        <v>56</v>
      </c>
    </row>
    <row r="1672" spans="1:32" ht="14.5" customHeight="1" x14ac:dyDescent="0.35">
      <c r="A1672" t="s">
        <v>498</v>
      </c>
      <c r="B1672"/>
      <c r="C1672" t="s">
        <v>47</v>
      </c>
      <c r="D1672">
        <v>3001421</v>
      </c>
      <c r="E1672">
        <v>3100856</v>
      </c>
      <c r="F1672" t="s">
        <v>1435</v>
      </c>
      <c r="G1672" t="s">
        <v>1436</v>
      </c>
      <c r="H1672" t="s">
        <v>54</v>
      </c>
      <c r="I1672">
        <v>6958008</v>
      </c>
      <c r="J1672" s="12">
        <v>46118</v>
      </c>
      <c r="K1672" s="12">
        <v>46118</v>
      </c>
      <c r="L1672" s="12">
        <v>46118</v>
      </c>
      <c r="M1672">
        <v>14</v>
      </c>
      <c r="N1672">
        <v>-7674289</v>
      </c>
      <c r="O1672">
        <v>-7674289</v>
      </c>
      <c r="P1672">
        <v>0</v>
      </c>
      <c r="Q1672">
        <v>-7674289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 t="s">
        <v>47</v>
      </c>
      <c r="AA1672" t="s">
        <v>501</v>
      </c>
      <c r="AB1672" t="s">
        <v>51</v>
      </c>
      <c r="AC1672" t="s">
        <v>51</v>
      </c>
      <c r="AD1672" t="s">
        <v>51</v>
      </c>
      <c r="AE1672" t="s">
        <v>51</v>
      </c>
      <c r="AF1672" t="s">
        <v>183</v>
      </c>
    </row>
    <row r="1673" spans="1:32" ht="14.5" customHeight="1" x14ac:dyDescent="0.35">
      <c r="A1673" t="s">
        <v>498</v>
      </c>
      <c r="B1673" t="s">
        <v>1230</v>
      </c>
      <c r="C1673" t="s">
        <v>47</v>
      </c>
      <c r="D1673">
        <v>3001421</v>
      </c>
      <c r="E1673">
        <v>3100432</v>
      </c>
      <c r="F1673" t="s">
        <v>1435</v>
      </c>
      <c r="G1673" t="s">
        <v>1435</v>
      </c>
      <c r="H1673" t="s">
        <v>54</v>
      </c>
      <c r="I1673">
        <v>6958376</v>
      </c>
      <c r="J1673" s="12">
        <v>46121</v>
      </c>
      <c r="K1673" s="12">
        <v>46121</v>
      </c>
      <c r="L1673" s="12">
        <v>46121</v>
      </c>
      <c r="M1673">
        <v>11</v>
      </c>
      <c r="N1673">
        <v>-230945</v>
      </c>
      <c r="O1673">
        <v>-230945</v>
      </c>
      <c r="P1673">
        <v>0</v>
      </c>
      <c r="Q1673">
        <v>-230945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 t="s">
        <v>846</v>
      </c>
      <c r="AA1673" t="s">
        <v>501</v>
      </c>
      <c r="AB1673" t="s">
        <v>51</v>
      </c>
      <c r="AC1673" t="s">
        <v>51</v>
      </c>
      <c r="AD1673" t="s">
        <v>51</v>
      </c>
      <c r="AE1673" t="s">
        <v>51</v>
      </c>
      <c r="AF1673" t="s">
        <v>1449</v>
      </c>
    </row>
    <row r="1674" spans="1:32" ht="14.5" customHeight="1" x14ac:dyDescent="0.35">
      <c r="A1674" t="s">
        <v>84</v>
      </c>
      <c r="B1674" t="s">
        <v>85</v>
      </c>
      <c r="C1674" t="s">
        <v>47</v>
      </c>
      <c r="D1674">
        <v>3001421</v>
      </c>
      <c r="E1674">
        <v>3001421</v>
      </c>
      <c r="F1674" t="s">
        <v>1435</v>
      </c>
      <c r="G1674" t="s">
        <v>1435</v>
      </c>
      <c r="H1674" t="s">
        <v>54</v>
      </c>
      <c r="I1674">
        <v>6958419</v>
      </c>
      <c r="J1674" s="12">
        <v>46121</v>
      </c>
      <c r="K1674" s="12">
        <v>46121</v>
      </c>
      <c r="L1674" s="12">
        <v>46121</v>
      </c>
      <c r="M1674">
        <v>11</v>
      </c>
      <c r="N1674">
        <v>-237396</v>
      </c>
      <c r="O1674">
        <v>-237396</v>
      </c>
      <c r="P1674">
        <v>0</v>
      </c>
      <c r="Q1674">
        <v>-237396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 t="s">
        <v>548</v>
      </c>
      <c r="AA1674" t="s">
        <v>501</v>
      </c>
      <c r="AB1674" t="s">
        <v>51</v>
      </c>
      <c r="AC1674" t="s">
        <v>51</v>
      </c>
      <c r="AD1674" t="s">
        <v>51</v>
      </c>
      <c r="AE1674" t="s">
        <v>51</v>
      </c>
      <c r="AF1674" t="s">
        <v>1438</v>
      </c>
    </row>
    <row r="1675" spans="1:32" ht="14.5" customHeight="1" x14ac:dyDescent="0.35">
      <c r="A1675" t="s">
        <v>498</v>
      </c>
      <c r="B1675" t="s">
        <v>1230</v>
      </c>
      <c r="C1675" t="s">
        <v>47</v>
      </c>
      <c r="D1675">
        <v>3001421</v>
      </c>
      <c r="E1675">
        <v>3100432</v>
      </c>
      <c r="F1675" t="s">
        <v>1435</v>
      </c>
      <c r="G1675" t="s">
        <v>1435</v>
      </c>
      <c r="H1675" t="s">
        <v>54</v>
      </c>
      <c r="I1675">
        <v>6958432</v>
      </c>
      <c r="J1675" s="12">
        <v>46121</v>
      </c>
      <c r="K1675" s="12">
        <v>46121</v>
      </c>
      <c r="L1675" s="12">
        <v>46121</v>
      </c>
      <c r="M1675">
        <v>11</v>
      </c>
      <c r="N1675">
        <v>-455698</v>
      </c>
      <c r="O1675">
        <v>-455698</v>
      </c>
      <c r="P1675">
        <v>0</v>
      </c>
      <c r="Q1675">
        <v>-455698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 t="s">
        <v>846</v>
      </c>
      <c r="AA1675" t="s">
        <v>501</v>
      </c>
      <c r="AB1675" t="s">
        <v>51</v>
      </c>
      <c r="AC1675" t="s">
        <v>51</v>
      </c>
      <c r="AD1675" t="s">
        <v>51</v>
      </c>
      <c r="AE1675" t="s">
        <v>51</v>
      </c>
      <c r="AF1675" t="s">
        <v>1449</v>
      </c>
    </row>
    <row r="1676" spans="1:32" ht="14.5" customHeight="1" x14ac:dyDescent="0.35">
      <c r="A1676" t="s">
        <v>498</v>
      </c>
      <c r="B1676" t="s">
        <v>1230</v>
      </c>
      <c r="C1676" t="s">
        <v>47</v>
      </c>
      <c r="D1676">
        <v>3001421</v>
      </c>
      <c r="E1676">
        <v>3100432</v>
      </c>
      <c r="F1676" t="s">
        <v>1435</v>
      </c>
      <c r="G1676" t="s">
        <v>1435</v>
      </c>
      <c r="H1676" t="s">
        <v>54</v>
      </c>
      <c r="I1676">
        <v>6958473</v>
      </c>
      <c r="J1676" s="12">
        <v>46121</v>
      </c>
      <c r="K1676" s="12">
        <v>46121</v>
      </c>
      <c r="L1676" s="12">
        <v>46121</v>
      </c>
      <c r="M1676">
        <v>11</v>
      </c>
      <c r="N1676">
        <v>-419624</v>
      </c>
      <c r="O1676">
        <v>-419624</v>
      </c>
      <c r="P1676">
        <v>0</v>
      </c>
      <c r="Q1676">
        <v>-419624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 t="s">
        <v>846</v>
      </c>
      <c r="AA1676" t="s">
        <v>501</v>
      </c>
      <c r="AB1676" t="s">
        <v>51</v>
      </c>
      <c r="AC1676" t="s">
        <v>51</v>
      </c>
      <c r="AD1676" t="s">
        <v>51</v>
      </c>
      <c r="AE1676" t="s">
        <v>51</v>
      </c>
      <c r="AF1676" t="s">
        <v>1449</v>
      </c>
    </row>
    <row r="1677" spans="1:32" ht="14.5" customHeight="1" x14ac:dyDescent="0.35">
      <c r="A1677" t="s">
        <v>498</v>
      </c>
      <c r="B1677"/>
      <c r="C1677" t="s">
        <v>846</v>
      </c>
      <c r="D1677">
        <v>3001421</v>
      </c>
      <c r="E1677">
        <v>3100857</v>
      </c>
      <c r="F1677" t="s">
        <v>1435</v>
      </c>
      <c r="G1677" t="s">
        <v>1436</v>
      </c>
      <c r="H1677" t="s">
        <v>111</v>
      </c>
      <c r="I1677">
        <v>6958660</v>
      </c>
      <c r="J1677" s="12">
        <v>46122</v>
      </c>
      <c r="K1677" s="12">
        <v>46122</v>
      </c>
      <c r="L1677" s="12">
        <v>46122</v>
      </c>
      <c r="M1677">
        <v>10</v>
      </c>
      <c r="N1677">
        <v>-6674592</v>
      </c>
      <c r="O1677">
        <v>-6674592</v>
      </c>
      <c r="P1677">
        <v>0</v>
      </c>
      <c r="Q1677">
        <v>-6674592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 t="s">
        <v>846</v>
      </c>
      <c r="AA1677" t="s">
        <v>501</v>
      </c>
      <c r="AB1677" t="s">
        <v>51</v>
      </c>
      <c r="AC1677" t="s">
        <v>51</v>
      </c>
      <c r="AD1677" t="s">
        <v>51</v>
      </c>
      <c r="AE1677" t="s">
        <v>51</v>
      </c>
      <c r="AF1677" t="s">
        <v>744</v>
      </c>
    </row>
    <row r="1678" spans="1:32" ht="14.5" customHeight="1" x14ac:dyDescent="0.35">
      <c r="A1678" t="s">
        <v>498</v>
      </c>
      <c r="B1678" t="s">
        <v>1230</v>
      </c>
      <c r="C1678" t="s">
        <v>47</v>
      </c>
      <c r="D1678">
        <v>3001421</v>
      </c>
      <c r="E1678">
        <v>3100432</v>
      </c>
      <c r="F1678" t="s">
        <v>1435</v>
      </c>
      <c r="G1678" t="s">
        <v>1435</v>
      </c>
      <c r="H1678" t="s">
        <v>54</v>
      </c>
      <c r="I1678">
        <v>6959509</v>
      </c>
      <c r="J1678" s="12">
        <v>46127</v>
      </c>
      <c r="K1678" s="12">
        <v>46127</v>
      </c>
      <c r="L1678" s="12">
        <v>46127</v>
      </c>
      <c r="M1678">
        <v>5</v>
      </c>
      <c r="N1678">
        <v>-3534594</v>
      </c>
      <c r="O1678">
        <v>-3534594</v>
      </c>
      <c r="P1678">
        <v>0</v>
      </c>
      <c r="Q1678">
        <v>-3534594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 t="s">
        <v>846</v>
      </c>
      <c r="AA1678" t="s">
        <v>501</v>
      </c>
      <c r="AB1678" t="s">
        <v>51</v>
      </c>
      <c r="AC1678" t="s">
        <v>51</v>
      </c>
      <c r="AD1678" t="s">
        <v>51</v>
      </c>
      <c r="AE1678" t="s">
        <v>51</v>
      </c>
      <c r="AF1678" t="s">
        <v>1450</v>
      </c>
    </row>
    <row r="1679" spans="1:32" ht="14.5" customHeight="1" x14ac:dyDescent="0.35">
      <c r="A1679" t="s">
        <v>498</v>
      </c>
      <c r="B1679"/>
      <c r="C1679" t="s">
        <v>47</v>
      </c>
      <c r="D1679">
        <v>3001421</v>
      </c>
      <c r="E1679">
        <v>3100856</v>
      </c>
      <c r="F1679" t="s">
        <v>1435</v>
      </c>
      <c r="G1679" t="s">
        <v>1436</v>
      </c>
      <c r="H1679" t="s">
        <v>54</v>
      </c>
      <c r="I1679">
        <v>6959518</v>
      </c>
      <c r="J1679" s="12">
        <v>46127</v>
      </c>
      <c r="K1679" s="12">
        <v>46127</v>
      </c>
      <c r="L1679" s="12">
        <v>46127</v>
      </c>
      <c r="M1679">
        <v>5</v>
      </c>
      <c r="N1679">
        <v>-3616028</v>
      </c>
      <c r="O1679">
        <v>-3616028</v>
      </c>
      <c r="P1679">
        <v>0</v>
      </c>
      <c r="Q1679">
        <v>-3616028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 t="s">
        <v>47</v>
      </c>
      <c r="AA1679" t="s">
        <v>501</v>
      </c>
      <c r="AB1679" t="s">
        <v>51</v>
      </c>
      <c r="AC1679" t="s">
        <v>51</v>
      </c>
      <c r="AD1679" t="s">
        <v>51</v>
      </c>
      <c r="AE1679" t="s">
        <v>51</v>
      </c>
      <c r="AF1679" t="s">
        <v>1451</v>
      </c>
    </row>
    <row r="1680" spans="1:32" ht="14.5" customHeight="1" x14ac:dyDescent="0.35">
      <c r="A1680" t="s">
        <v>498</v>
      </c>
      <c r="B1680" t="s">
        <v>1230</v>
      </c>
      <c r="C1680" t="s">
        <v>47</v>
      </c>
      <c r="D1680">
        <v>3001421</v>
      </c>
      <c r="E1680">
        <v>3100432</v>
      </c>
      <c r="F1680" t="s">
        <v>1435</v>
      </c>
      <c r="G1680" t="s">
        <v>1435</v>
      </c>
      <c r="H1680" t="s">
        <v>54</v>
      </c>
      <c r="I1680">
        <v>6959535</v>
      </c>
      <c r="J1680" s="12">
        <v>46127</v>
      </c>
      <c r="K1680" s="12">
        <v>46127</v>
      </c>
      <c r="L1680" s="12">
        <v>46127</v>
      </c>
      <c r="M1680">
        <v>5</v>
      </c>
      <c r="N1680">
        <v>-3534594</v>
      </c>
      <c r="O1680">
        <v>-3534594</v>
      </c>
      <c r="P1680">
        <v>0</v>
      </c>
      <c r="Q1680">
        <v>-3534594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 t="s">
        <v>846</v>
      </c>
      <c r="AA1680" t="s">
        <v>501</v>
      </c>
      <c r="AB1680" t="s">
        <v>51</v>
      </c>
      <c r="AC1680" t="s">
        <v>51</v>
      </c>
      <c r="AD1680" t="s">
        <v>51</v>
      </c>
      <c r="AE1680" t="s">
        <v>51</v>
      </c>
      <c r="AF1680" t="s">
        <v>1452</v>
      </c>
    </row>
    <row r="1681" spans="1:32" ht="14.5" customHeight="1" x14ac:dyDescent="0.35">
      <c r="A1681" t="s">
        <v>498</v>
      </c>
      <c r="B1681"/>
      <c r="C1681" t="s">
        <v>47</v>
      </c>
      <c r="D1681">
        <v>3001421</v>
      </c>
      <c r="E1681">
        <v>3100856</v>
      </c>
      <c r="F1681" t="s">
        <v>1435</v>
      </c>
      <c r="G1681" t="s">
        <v>1436</v>
      </c>
      <c r="H1681" t="s">
        <v>54</v>
      </c>
      <c r="I1681">
        <v>6959546</v>
      </c>
      <c r="J1681" s="12">
        <v>46127</v>
      </c>
      <c r="K1681" s="12">
        <v>46127</v>
      </c>
      <c r="L1681" s="12">
        <v>46127</v>
      </c>
      <c r="M1681">
        <v>5</v>
      </c>
      <c r="N1681">
        <v>-3616028</v>
      </c>
      <c r="O1681">
        <v>-3616028</v>
      </c>
      <c r="P1681">
        <v>0</v>
      </c>
      <c r="Q1681">
        <v>-3616028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 t="s">
        <v>47</v>
      </c>
      <c r="AA1681" t="s">
        <v>501</v>
      </c>
      <c r="AB1681" t="s">
        <v>51</v>
      </c>
      <c r="AC1681" t="s">
        <v>51</v>
      </c>
      <c r="AD1681" t="s">
        <v>51</v>
      </c>
      <c r="AE1681" t="s">
        <v>51</v>
      </c>
      <c r="AF1681" t="s">
        <v>1453</v>
      </c>
    </row>
    <row r="1682" spans="1:32" ht="14.5" customHeight="1" x14ac:dyDescent="0.35">
      <c r="A1682" t="s">
        <v>84</v>
      </c>
      <c r="B1682" t="s">
        <v>85</v>
      </c>
      <c r="C1682" t="s">
        <v>47</v>
      </c>
      <c r="D1682">
        <v>3001421</v>
      </c>
      <c r="E1682">
        <v>3001421</v>
      </c>
      <c r="F1682" t="s">
        <v>1435</v>
      </c>
      <c r="G1682" t="s">
        <v>1435</v>
      </c>
      <c r="H1682" t="s">
        <v>54</v>
      </c>
      <c r="I1682">
        <v>6959896</v>
      </c>
      <c r="J1682" s="12">
        <v>46129</v>
      </c>
      <c r="K1682" s="12">
        <v>46129</v>
      </c>
      <c r="L1682" s="12">
        <v>46129</v>
      </c>
      <c r="M1682">
        <v>3</v>
      </c>
      <c r="N1682">
        <v>-10678561</v>
      </c>
      <c r="O1682">
        <v>-10678561</v>
      </c>
      <c r="P1682">
        <v>0</v>
      </c>
      <c r="Q1682">
        <v>-10678561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 t="s">
        <v>548</v>
      </c>
      <c r="AA1682" t="s">
        <v>501</v>
      </c>
      <c r="AB1682" t="s">
        <v>51</v>
      </c>
      <c r="AC1682" t="s">
        <v>51</v>
      </c>
      <c r="AD1682" t="s">
        <v>51</v>
      </c>
      <c r="AE1682" t="s">
        <v>51</v>
      </c>
      <c r="AF1682" t="s">
        <v>56</v>
      </c>
    </row>
    <row r="1683" spans="1:32" ht="14.5" customHeight="1" x14ac:dyDescent="0.35">
      <c r="A1683" t="s">
        <v>498</v>
      </c>
      <c r="B1683"/>
      <c r="C1683" t="s">
        <v>47</v>
      </c>
      <c r="D1683">
        <v>3001421</v>
      </c>
      <c r="E1683">
        <v>3100856</v>
      </c>
      <c r="F1683" t="s">
        <v>1435</v>
      </c>
      <c r="G1683" t="s">
        <v>1436</v>
      </c>
      <c r="H1683" t="s">
        <v>54</v>
      </c>
      <c r="I1683">
        <v>6960276</v>
      </c>
      <c r="J1683" s="12">
        <v>46130</v>
      </c>
      <c r="K1683" s="12">
        <v>46130</v>
      </c>
      <c r="L1683" s="12">
        <v>46130</v>
      </c>
      <c r="M1683">
        <v>2</v>
      </c>
      <c r="N1683">
        <v>-473097</v>
      </c>
      <c r="O1683">
        <v>-473097</v>
      </c>
      <c r="P1683">
        <v>0</v>
      </c>
      <c r="Q1683">
        <v>-473097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 t="s">
        <v>47</v>
      </c>
      <c r="AA1683" t="s">
        <v>501</v>
      </c>
      <c r="AB1683" t="s">
        <v>51</v>
      </c>
      <c r="AC1683" t="s">
        <v>51</v>
      </c>
      <c r="AD1683" t="s">
        <v>51</v>
      </c>
      <c r="AE1683" t="s">
        <v>51</v>
      </c>
      <c r="AF1683" t="s">
        <v>1454</v>
      </c>
    </row>
    <row r="1684" spans="1:32" ht="14.5" customHeight="1" x14ac:dyDescent="0.35">
      <c r="A1684" t="s">
        <v>498</v>
      </c>
      <c r="B1684" t="s">
        <v>1230</v>
      </c>
      <c r="C1684" t="s">
        <v>846</v>
      </c>
      <c r="D1684">
        <v>3001421</v>
      </c>
      <c r="E1684">
        <v>3100432</v>
      </c>
      <c r="F1684" t="s">
        <v>1435</v>
      </c>
      <c r="G1684" t="s">
        <v>1435</v>
      </c>
      <c r="H1684" t="s">
        <v>54</v>
      </c>
      <c r="I1684">
        <v>9910011</v>
      </c>
      <c r="J1684" s="12">
        <v>46081</v>
      </c>
      <c r="K1684" s="12">
        <v>46081</v>
      </c>
      <c r="L1684" s="12">
        <v>46118</v>
      </c>
      <c r="M1684">
        <v>14</v>
      </c>
      <c r="N1684">
        <v>350569</v>
      </c>
      <c r="O1684">
        <v>0</v>
      </c>
      <c r="P1684">
        <v>0</v>
      </c>
      <c r="Q1684">
        <v>350569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 t="s">
        <v>846</v>
      </c>
      <c r="AA1684" t="s">
        <v>501</v>
      </c>
      <c r="AB1684" t="s">
        <v>51</v>
      </c>
      <c r="AC1684" t="s">
        <v>51</v>
      </c>
      <c r="AD1684" t="s">
        <v>51</v>
      </c>
      <c r="AE1684" t="s">
        <v>51</v>
      </c>
      <c r="AF1684" t="s">
        <v>77</v>
      </c>
    </row>
    <row r="1685" spans="1:32" ht="14.5" customHeight="1" x14ac:dyDescent="0.35">
      <c r="A1685" t="s">
        <v>498</v>
      </c>
      <c r="B1685"/>
      <c r="C1685" t="s">
        <v>846</v>
      </c>
      <c r="D1685">
        <v>3001421</v>
      </c>
      <c r="E1685">
        <v>3100857</v>
      </c>
      <c r="F1685" t="s">
        <v>1435</v>
      </c>
      <c r="G1685" t="s">
        <v>1436</v>
      </c>
      <c r="H1685" t="s">
        <v>54</v>
      </c>
      <c r="I1685">
        <v>9917461</v>
      </c>
      <c r="J1685" s="12">
        <v>46106</v>
      </c>
      <c r="K1685" s="12">
        <v>46106</v>
      </c>
      <c r="L1685" s="12">
        <v>46136</v>
      </c>
      <c r="M1685">
        <v>-4</v>
      </c>
      <c r="N1685">
        <v>327357</v>
      </c>
      <c r="O1685">
        <v>0</v>
      </c>
      <c r="P1685">
        <v>327357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 t="s">
        <v>846</v>
      </c>
      <c r="AA1685" t="s">
        <v>501</v>
      </c>
      <c r="AB1685" t="s">
        <v>51</v>
      </c>
      <c r="AC1685" t="s">
        <v>1455</v>
      </c>
      <c r="AD1685" t="s">
        <v>51</v>
      </c>
      <c r="AE1685" t="s">
        <v>51</v>
      </c>
      <c r="AF1685" t="s">
        <v>163</v>
      </c>
    </row>
    <row r="1686" spans="1:32" ht="14.5" customHeight="1" x14ac:dyDescent="0.35">
      <c r="A1686" t="s">
        <v>498</v>
      </c>
      <c r="B1686"/>
      <c r="C1686" t="s">
        <v>846</v>
      </c>
      <c r="D1686">
        <v>3001421</v>
      </c>
      <c r="E1686">
        <v>3100857</v>
      </c>
      <c r="F1686" t="s">
        <v>1435</v>
      </c>
      <c r="G1686" t="s">
        <v>1436</v>
      </c>
      <c r="H1686" t="s">
        <v>54</v>
      </c>
      <c r="I1686">
        <v>9917504</v>
      </c>
      <c r="J1686" s="12">
        <v>46106</v>
      </c>
      <c r="K1686" s="12">
        <v>46106</v>
      </c>
      <c r="L1686" s="12">
        <v>46136</v>
      </c>
      <c r="M1686">
        <v>-4</v>
      </c>
      <c r="N1686">
        <v>99526176</v>
      </c>
      <c r="O1686">
        <v>0</v>
      </c>
      <c r="P1686">
        <v>99526176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 t="s">
        <v>846</v>
      </c>
      <c r="AA1686" t="s">
        <v>501</v>
      </c>
      <c r="AB1686" t="s">
        <v>51</v>
      </c>
      <c r="AC1686" t="s">
        <v>1456</v>
      </c>
      <c r="AD1686" t="s">
        <v>51</v>
      </c>
      <c r="AE1686" t="s">
        <v>51</v>
      </c>
      <c r="AF1686" t="s">
        <v>1457</v>
      </c>
    </row>
    <row r="1687" spans="1:32" ht="14.5" customHeight="1" x14ac:dyDescent="0.35">
      <c r="A1687" t="s">
        <v>84</v>
      </c>
      <c r="B1687" t="s">
        <v>85</v>
      </c>
      <c r="C1687" t="s">
        <v>846</v>
      </c>
      <c r="D1687">
        <v>3001421</v>
      </c>
      <c r="E1687">
        <v>3001421</v>
      </c>
      <c r="F1687" t="s">
        <v>1435</v>
      </c>
      <c r="G1687" t="s">
        <v>1435</v>
      </c>
      <c r="H1687" t="s">
        <v>54</v>
      </c>
      <c r="I1687">
        <v>9918398</v>
      </c>
      <c r="J1687" s="12">
        <v>46107</v>
      </c>
      <c r="K1687" s="12">
        <v>46107</v>
      </c>
      <c r="L1687" s="12">
        <v>46144</v>
      </c>
      <c r="M1687">
        <v>-12</v>
      </c>
      <c r="N1687">
        <v>118295246</v>
      </c>
      <c r="O1687">
        <v>0</v>
      </c>
      <c r="P1687">
        <v>118295246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 t="s">
        <v>548</v>
      </c>
      <c r="AA1687" t="s">
        <v>501</v>
      </c>
      <c r="AB1687" t="s">
        <v>51</v>
      </c>
      <c r="AC1687" t="s">
        <v>51</v>
      </c>
      <c r="AD1687" t="s">
        <v>1458</v>
      </c>
      <c r="AE1687" t="s">
        <v>51</v>
      </c>
      <c r="AF1687" t="s">
        <v>800</v>
      </c>
    </row>
    <row r="1688" spans="1:32" ht="14.5" customHeight="1" x14ac:dyDescent="0.35">
      <c r="A1688" t="s">
        <v>84</v>
      </c>
      <c r="B1688" t="s">
        <v>85</v>
      </c>
      <c r="C1688" t="s">
        <v>846</v>
      </c>
      <c r="D1688">
        <v>3001421</v>
      </c>
      <c r="E1688">
        <v>3001421</v>
      </c>
      <c r="F1688" t="s">
        <v>1435</v>
      </c>
      <c r="G1688" t="s">
        <v>1435</v>
      </c>
      <c r="H1688" t="s">
        <v>54</v>
      </c>
      <c r="I1688">
        <v>9918404</v>
      </c>
      <c r="J1688" s="12">
        <v>46107</v>
      </c>
      <c r="K1688" s="12">
        <v>46107</v>
      </c>
      <c r="L1688" s="12">
        <v>46144</v>
      </c>
      <c r="M1688">
        <v>-12</v>
      </c>
      <c r="N1688">
        <v>1752845</v>
      </c>
      <c r="O1688">
        <v>0</v>
      </c>
      <c r="P1688">
        <v>1752845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 t="s">
        <v>548</v>
      </c>
      <c r="AA1688" t="s">
        <v>501</v>
      </c>
      <c r="AB1688" t="s">
        <v>51</v>
      </c>
      <c r="AC1688" t="s">
        <v>51</v>
      </c>
      <c r="AD1688" t="s">
        <v>1459</v>
      </c>
      <c r="AE1688" t="s">
        <v>51</v>
      </c>
      <c r="AF1688" t="s">
        <v>77</v>
      </c>
    </row>
    <row r="1689" spans="1:32" ht="14.5" customHeight="1" x14ac:dyDescent="0.35">
      <c r="A1689" t="s">
        <v>498</v>
      </c>
      <c r="B1689" t="s">
        <v>1230</v>
      </c>
      <c r="C1689" t="s">
        <v>846</v>
      </c>
      <c r="D1689">
        <v>3001421</v>
      </c>
      <c r="E1689">
        <v>3100432</v>
      </c>
      <c r="F1689" t="s">
        <v>1435</v>
      </c>
      <c r="G1689" t="s">
        <v>1435</v>
      </c>
      <c r="H1689" t="s">
        <v>54</v>
      </c>
      <c r="I1689">
        <v>9921032</v>
      </c>
      <c r="J1689" s="12">
        <v>46112</v>
      </c>
      <c r="K1689" s="12">
        <v>46112</v>
      </c>
      <c r="L1689" s="12">
        <v>46149</v>
      </c>
      <c r="M1689">
        <v>-17</v>
      </c>
      <c r="N1689">
        <v>1796202</v>
      </c>
      <c r="O1689">
        <v>0</v>
      </c>
      <c r="P1689">
        <v>1796202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 t="s">
        <v>846</v>
      </c>
      <c r="AA1689" t="s">
        <v>501</v>
      </c>
      <c r="AB1689" t="s">
        <v>51</v>
      </c>
      <c r="AC1689" t="s">
        <v>51</v>
      </c>
      <c r="AD1689" t="s">
        <v>51</v>
      </c>
      <c r="AE1689" t="s">
        <v>1460</v>
      </c>
      <c r="AF1689" t="s">
        <v>493</v>
      </c>
    </row>
    <row r="1690" spans="1:32" ht="14.5" customHeight="1" x14ac:dyDescent="0.35">
      <c r="A1690" t="s">
        <v>498</v>
      </c>
      <c r="B1690" t="s">
        <v>1230</v>
      </c>
      <c r="C1690" t="s">
        <v>846</v>
      </c>
      <c r="D1690">
        <v>3001421</v>
      </c>
      <c r="E1690">
        <v>3100432</v>
      </c>
      <c r="F1690" t="s">
        <v>1435</v>
      </c>
      <c r="G1690" t="s">
        <v>1435</v>
      </c>
      <c r="H1690" t="s">
        <v>54</v>
      </c>
      <c r="I1690">
        <v>9921038</v>
      </c>
      <c r="J1690" s="12">
        <v>46112</v>
      </c>
      <c r="K1690" s="12">
        <v>46112</v>
      </c>
      <c r="L1690" s="12">
        <v>46149</v>
      </c>
      <c r="M1690">
        <v>-17</v>
      </c>
      <c r="N1690">
        <v>137665831</v>
      </c>
      <c r="O1690">
        <v>0</v>
      </c>
      <c r="P1690">
        <v>137665831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 t="s">
        <v>846</v>
      </c>
      <c r="AA1690" t="s">
        <v>501</v>
      </c>
      <c r="AB1690" t="s">
        <v>51</v>
      </c>
      <c r="AC1690" t="s">
        <v>51</v>
      </c>
      <c r="AD1690" t="s">
        <v>51</v>
      </c>
      <c r="AE1690" t="s">
        <v>1461</v>
      </c>
      <c r="AF1690" t="s">
        <v>932</v>
      </c>
    </row>
    <row r="1691" spans="1:32" ht="14.5" customHeight="1" x14ac:dyDescent="0.35">
      <c r="A1691" t="s">
        <v>498</v>
      </c>
      <c r="B1691"/>
      <c r="C1691" t="s">
        <v>47</v>
      </c>
      <c r="D1691">
        <v>3001421</v>
      </c>
      <c r="E1691">
        <v>3100856</v>
      </c>
      <c r="F1691" t="s">
        <v>1435</v>
      </c>
      <c r="G1691" t="s">
        <v>1436</v>
      </c>
      <c r="H1691" t="s">
        <v>140</v>
      </c>
      <c r="I1691">
        <v>9922405</v>
      </c>
      <c r="J1691" s="12">
        <v>46118</v>
      </c>
      <c r="K1691" s="12">
        <v>46118</v>
      </c>
      <c r="L1691" s="12">
        <v>46148</v>
      </c>
      <c r="M1691">
        <v>-16</v>
      </c>
      <c r="N1691">
        <v>85301</v>
      </c>
      <c r="O1691">
        <v>0</v>
      </c>
      <c r="P1691">
        <v>85301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 t="s">
        <v>47</v>
      </c>
      <c r="AA1691" t="s">
        <v>501</v>
      </c>
      <c r="AB1691" t="s">
        <v>51</v>
      </c>
      <c r="AC1691" t="s">
        <v>51</v>
      </c>
      <c r="AD1691" t="s">
        <v>51</v>
      </c>
      <c r="AE1691" t="s">
        <v>1462</v>
      </c>
      <c r="AF1691" t="s">
        <v>1463</v>
      </c>
    </row>
    <row r="1692" spans="1:32" ht="14.5" customHeight="1" x14ac:dyDescent="0.35">
      <c r="A1692" t="s">
        <v>498</v>
      </c>
      <c r="B1692"/>
      <c r="C1692" t="s">
        <v>846</v>
      </c>
      <c r="D1692">
        <v>3001421</v>
      </c>
      <c r="E1692">
        <v>3100857</v>
      </c>
      <c r="F1692" t="s">
        <v>1435</v>
      </c>
      <c r="G1692" t="s">
        <v>1436</v>
      </c>
      <c r="H1692" t="s">
        <v>54</v>
      </c>
      <c r="I1692">
        <v>9925441</v>
      </c>
      <c r="J1692" s="12">
        <v>46126</v>
      </c>
      <c r="K1692" s="12">
        <v>46126</v>
      </c>
      <c r="L1692" s="12">
        <v>46156</v>
      </c>
      <c r="M1692">
        <v>-24</v>
      </c>
      <c r="N1692">
        <v>166133793</v>
      </c>
      <c r="O1692">
        <v>0</v>
      </c>
      <c r="P1692">
        <v>166133793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 t="s">
        <v>846</v>
      </c>
      <c r="AA1692" t="s">
        <v>501</v>
      </c>
      <c r="AB1692" t="s">
        <v>51</v>
      </c>
      <c r="AC1692" t="s">
        <v>51</v>
      </c>
      <c r="AD1692" t="s">
        <v>51</v>
      </c>
      <c r="AE1692" t="s">
        <v>1464</v>
      </c>
      <c r="AF1692" t="s">
        <v>153</v>
      </c>
    </row>
    <row r="1693" spans="1:32" ht="14.5" customHeight="1" x14ac:dyDescent="0.35">
      <c r="A1693" t="s">
        <v>498</v>
      </c>
      <c r="B1693"/>
      <c r="C1693" t="s">
        <v>846</v>
      </c>
      <c r="D1693">
        <v>3001421</v>
      </c>
      <c r="E1693">
        <v>3100857</v>
      </c>
      <c r="F1693" t="s">
        <v>1435</v>
      </c>
      <c r="G1693" t="s">
        <v>1436</v>
      </c>
      <c r="H1693" t="s">
        <v>54</v>
      </c>
      <c r="I1693">
        <v>9925442</v>
      </c>
      <c r="J1693" s="12">
        <v>46126</v>
      </c>
      <c r="K1693" s="12">
        <v>46126</v>
      </c>
      <c r="L1693" s="12">
        <v>46156</v>
      </c>
      <c r="M1693">
        <v>-24</v>
      </c>
      <c r="N1693">
        <v>327357</v>
      </c>
      <c r="O1693">
        <v>0</v>
      </c>
      <c r="P1693">
        <v>327357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 t="s">
        <v>846</v>
      </c>
      <c r="AA1693" t="s">
        <v>501</v>
      </c>
      <c r="AB1693" t="s">
        <v>51</v>
      </c>
      <c r="AC1693" t="s">
        <v>51</v>
      </c>
      <c r="AD1693" t="s">
        <v>51</v>
      </c>
      <c r="AE1693" t="s">
        <v>1455</v>
      </c>
      <c r="AF1693" t="s">
        <v>163</v>
      </c>
    </row>
    <row r="1694" spans="1:32" ht="14.5" customHeight="1" x14ac:dyDescent="0.35">
      <c r="A1694" t="s">
        <v>84</v>
      </c>
      <c r="B1694" t="s">
        <v>85</v>
      </c>
      <c r="C1694" t="s">
        <v>47</v>
      </c>
      <c r="D1694">
        <v>3001421</v>
      </c>
      <c r="E1694">
        <v>3001421</v>
      </c>
      <c r="F1694" t="s">
        <v>1435</v>
      </c>
      <c r="G1694" t="s">
        <v>1435</v>
      </c>
      <c r="H1694" t="s">
        <v>140</v>
      </c>
      <c r="I1694">
        <v>9926634</v>
      </c>
      <c r="J1694" s="12">
        <v>46129</v>
      </c>
      <c r="K1694" s="12">
        <v>46129</v>
      </c>
      <c r="L1694" s="12">
        <v>46159</v>
      </c>
      <c r="M1694">
        <v>-27</v>
      </c>
      <c r="N1694">
        <v>28246</v>
      </c>
      <c r="O1694">
        <v>0</v>
      </c>
      <c r="P1694">
        <v>28246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 t="s">
        <v>548</v>
      </c>
      <c r="AA1694" t="s">
        <v>501</v>
      </c>
      <c r="AB1694" t="s">
        <v>51</v>
      </c>
      <c r="AC1694" t="s">
        <v>51</v>
      </c>
      <c r="AD1694" t="s">
        <v>51</v>
      </c>
      <c r="AE1694" t="s">
        <v>1465</v>
      </c>
      <c r="AF1694" t="s">
        <v>172</v>
      </c>
    </row>
    <row r="1695" spans="1:32" ht="14.5" customHeight="1" x14ac:dyDescent="0.35">
      <c r="A1695" t="s">
        <v>84</v>
      </c>
      <c r="B1695" t="s">
        <v>85</v>
      </c>
      <c r="C1695" t="s">
        <v>846</v>
      </c>
      <c r="D1695">
        <v>3001421</v>
      </c>
      <c r="E1695">
        <v>3001421</v>
      </c>
      <c r="F1695" t="s">
        <v>1435</v>
      </c>
      <c r="G1695" t="s">
        <v>1435</v>
      </c>
      <c r="H1695" t="s">
        <v>49</v>
      </c>
      <c r="I1695">
        <v>9102074306</v>
      </c>
      <c r="J1695" s="12">
        <v>46112</v>
      </c>
      <c r="K1695" s="12">
        <v>46112</v>
      </c>
      <c r="L1695" s="12">
        <v>46112</v>
      </c>
      <c r="M1695">
        <v>20</v>
      </c>
      <c r="N1695">
        <v>121569534</v>
      </c>
      <c r="O1695">
        <v>0</v>
      </c>
      <c r="P1695">
        <v>0</v>
      </c>
      <c r="Q1695">
        <v>121569534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 t="s">
        <v>548</v>
      </c>
      <c r="AA1695" t="s">
        <v>50</v>
      </c>
      <c r="AB1695" t="s">
        <v>51</v>
      </c>
      <c r="AC1695" t="s">
        <v>51</v>
      </c>
      <c r="AD1695" t="s">
        <v>51</v>
      </c>
      <c r="AE1695" t="s">
        <v>51</v>
      </c>
      <c r="AF1695" t="s">
        <v>1466</v>
      </c>
    </row>
    <row r="1696" spans="1:32" ht="14.5" customHeight="1" x14ac:dyDescent="0.35">
      <c r="A1696" t="s">
        <v>774</v>
      </c>
      <c r="B1696" t="s">
        <v>1193</v>
      </c>
      <c r="C1696" t="s">
        <v>47</v>
      </c>
      <c r="D1696">
        <v>3001450</v>
      </c>
      <c r="E1696">
        <v>3001563</v>
      </c>
      <c r="F1696" t="s">
        <v>1467</v>
      </c>
      <c r="G1696" t="s">
        <v>1467</v>
      </c>
      <c r="H1696" t="s">
        <v>54</v>
      </c>
      <c r="I1696">
        <v>6954072</v>
      </c>
      <c r="J1696" s="12">
        <v>46086</v>
      </c>
      <c r="K1696" s="12">
        <v>46086</v>
      </c>
      <c r="L1696" s="12">
        <v>46086</v>
      </c>
      <c r="M1696">
        <v>46</v>
      </c>
      <c r="N1696">
        <v>-79554518</v>
      </c>
      <c r="O1696">
        <v>-79554518</v>
      </c>
      <c r="P1696">
        <v>0</v>
      </c>
      <c r="Q1696">
        <v>0</v>
      </c>
      <c r="R1696">
        <v>-79554518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 t="s">
        <v>47</v>
      </c>
      <c r="AA1696" t="s">
        <v>501</v>
      </c>
      <c r="AB1696" t="s">
        <v>51</v>
      </c>
      <c r="AC1696" t="s">
        <v>51</v>
      </c>
      <c r="AD1696" t="s">
        <v>51</v>
      </c>
      <c r="AE1696" t="s">
        <v>51</v>
      </c>
      <c r="AF1696" t="s">
        <v>426</v>
      </c>
    </row>
    <row r="1697" spans="1:32" ht="14.5" customHeight="1" x14ac:dyDescent="0.35">
      <c r="A1697" t="s">
        <v>774</v>
      </c>
      <c r="B1697" t="s">
        <v>1193</v>
      </c>
      <c r="C1697" t="s">
        <v>47</v>
      </c>
      <c r="D1697">
        <v>3001450</v>
      </c>
      <c r="E1697">
        <v>3001450</v>
      </c>
      <c r="F1697" t="s">
        <v>1467</v>
      </c>
      <c r="G1697" t="s">
        <v>1467</v>
      </c>
      <c r="H1697" t="s">
        <v>54</v>
      </c>
      <c r="I1697">
        <v>6954270</v>
      </c>
      <c r="J1697" s="12">
        <v>46088</v>
      </c>
      <c r="K1697" s="12">
        <v>46088</v>
      </c>
      <c r="L1697" s="12">
        <v>46088</v>
      </c>
      <c r="M1697">
        <v>44</v>
      </c>
      <c r="N1697">
        <v>-2710538</v>
      </c>
      <c r="O1697">
        <v>-2710538</v>
      </c>
      <c r="P1697">
        <v>0</v>
      </c>
      <c r="Q1697">
        <v>0</v>
      </c>
      <c r="R1697">
        <v>-2710538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 t="s">
        <v>47</v>
      </c>
      <c r="AA1697" t="s">
        <v>501</v>
      </c>
      <c r="AB1697" t="s">
        <v>51</v>
      </c>
      <c r="AC1697" t="s">
        <v>51</v>
      </c>
      <c r="AD1697" t="s">
        <v>51</v>
      </c>
      <c r="AE1697" t="s">
        <v>51</v>
      </c>
      <c r="AF1697" t="s">
        <v>1468</v>
      </c>
    </row>
    <row r="1698" spans="1:32" ht="14.5" customHeight="1" x14ac:dyDescent="0.35">
      <c r="A1698" t="s">
        <v>774</v>
      </c>
      <c r="B1698" t="s">
        <v>1193</v>
      </c>
      <c r="C1698" t="s">
        <v>47</v>
      </c>
      <c r="D1698">
        <v>3001450</v>
      </c>
      <c r="E1698">
        <v>3001450</v>
      </c>
      <c r="F1698" t="s">
        <v>1467</v>
      </c>
      <c r="G1698" t="s">
        <v>1467</v>
      </c>
      <c r="H1698" t="s">
        <v>54</v>
      </c>
      <c r="I1698">
        <v>6954271</v>
      </c>
      <c r="J1698" s="12">
        <v>46088</v>
      </c>
      <c r="K1698" s="12">
        <v>46088</v>
      </c>
      <c r="L1698" s="12">
        <v>46088</v>
      </c>
      <c r="M1698">
        <v>44</v>
      </c>
      <c r="N1698">
        <v>-884075</v>
      </c>
      <c r="O1698">
        <v>-884075</v>
      </c>
      <c r="P1698">
        <v>0</v>
      </c>
      <c r="Q1698">
        <v>0</v>
      </c>
      <c r="R1698">
        <v>-884075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 t="s">
        <v>47</v>
      </c>
      <c r="AA1698" t="s">
        <v>501</v>
      </c>
      <c r="AB1698" t="s">
        <v>51</v>
      </c>
      <c r="AC1698" t="s">
        <v>51</v>
      </c>
      <c r="AD1698" t="s">
        <v>51</v>
      </c>
      <c r="AE1698" t="s">
        <v>51</v>
      </c>
      <c r="AF1698" t="s">
        <v>1469</v>
      </c>
    </row>
    <row r="1699" spans="1:32" ht="14.5" customHeight="1" x14ac:dyDescent="0.35">
      <c r="A1699" t="s">
        <v>774</v>
      </c>
      <c r="B1699" t="s">
        <v>1193</v>
      </c>
      <c r="C1699" t="s">
        <v>47</v>
      </c>
      <c r="D1699">
        <v>3001450</v>
      </c>
      <c r="E1699">
        <v>3001450</v>
      </c>
      <c r="F1699" t="s">
        <v>1467</v>
      </c>
      <c r="G1699" t="s">
        <v>1467</v>
      </c>
      <c r="H1699" t="s">
        <v>54</v>
      </c>
      <c r="I1699">
        <v>6954279</v>
      </c>
      <c r="J1699" s="12">
        <v>46088</v>
      </c>
      <c r="K1699" s="12">
        <v>46088</v>
      </c>
      <c r="L1699" s="12">
        <v>46088</v>
      </c>
      <c r="M1699">
        <v>44</v>
      </c>
      <c r="N1699">
        <v>-2813883</v>
      </c>
      <c r="O1699">
        <v>-2813883</v>
      </c>
      <c r="P1699">
        <v>0</v>
      </c>
      <c r="Q1699">
        <v>0</v>
      </c>
      <c r="R1699">
        <v>-2813883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 t="s">
        <v>47</v>
      </c>
      <c r="AA1699" t="s">
        <v>501</v>
      </c>
      <c r="AB1699" t="s">
        <v>51</v>
      </c>
      <c r="AC1699" t="s">
        <v>51</v>
      </c>
      <c r="AD1699" t="s">
        <v>51</v>
      </c>
      <c r="AE1699" t="s">
        <v>51</v>
      </c>
      <c r="AF1699" t="s">
        <v>1470</v>
      </c>
    </row>
    <row r="1700" spans="1:32" ht="14.5" customHeight="1" x14ac:dyDescent="0.35">
      <c r="A1700" t="s">
        <v>774</v>
      </c>
      <c r="B1700" t="s">
        <v>1193</v>
      </c>
      <c r="C1700" t="s">
        <v>47</v>
      </c>
      <c r="D1700">
        <v>3001450</v>
      </c>
      <c r="E1700">
        <v>3001450</v>
      </c>
      <c r="F1700" t="s">
        <v>1467</v>
      </c>
      <c r="G1700" t="s">
        <v>1467</v>
      </c>
      <c r="H1700" t="s">
        <v>54</v>
      </c>
      <c r="I1700">
        <v>6954295</v>
      </c>
      <c r="J1700" s="12">
        <v>46088</v>
      </c>
      <c r="K1700" s="12">
        <v>46088</v>
      </c>
      <c r="L1700" s="12">
        <v>46088</v>
      </c>
      <c r="M1700">
        <v>44</v>
      </c>
      <c r="N1700">
        <v>-647532</v>
      </c>
      <c r="O1700">
        <v>-647532</v>
      </c>
      <c r="P1700">
        <v>0</v>
      </c>
      <c r="Q1700">
        <v>0</v>
      </c>
      <c r="R1700">
        <v>-647532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 t="s">
        <v>47</v>
      </c>
      <c r="AA1700" t="s">
        <v>501</v>
      </c>
      <c r="AB1700" t="s">
        <v>51</v>
      </c>
      <c r="AC1700" t="s">
        <v>51</v>
      </c>
      <c r="AD1700" t="s">
        <v>51</v>
      </c>
      <c r="AE1700" t="s">
        <v>51</v>
      </c>
      <c r="AF1700" t="s">
        <v>1471</v>
      </c>
    </row>
    <row r="1701" spans="1:32" ht="14.5" customHeight="1" x14ac:dyDescent="0.35">
      <c r="A1701" t="s">
        <v>774</v>
      </c>
      <c r="B1701" t="s">
        <v>1193</v>
      </c>
      <c r="C1701" t="s">
        <v>47</v>
      </c>
      <c r="D1701">
        <v>3001450</v>
      </c>
      <c r="E1701">
        <v>3001450</v>
      </c>
      <c r="F1701" t="s">
        <v>1467</v>
      </c>
      <c r="G1701" t="s">
        <v>1467</v>
      </c>
      <c r="H1701" t="s">
        <v>54</v>
      </c>
      <c r="I1701">
        <v>6954300</v>
      </c>
      <c r="J1701" s="12">
        <v>46088</v>
      </c>
      <c r="K1701" s="12">
        <v>46088</v>
      </c>
      <c r="L1701" s="12">
        <v>46088</v>
      </c>
      <c r="M1701">
        <v>44</v>
      </c>
      <c r="N1701">
        <v>-273014</v>
      </c>
      <c r="O1701">
        <v>-273014</v>
      </c>
      <c r="P1701">
        <v>0</v>
      </c>
      <c r="Q1701">
        <v>0</v>
      </c>
      <c r="R1701">
        <v>-273014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 t="s">
        <v>47</v>
      </c>
      <c r="AA1701" t="s">
        <v>501</v>
      </c>
      <c r="AB1701" t="s">
        <v>51</v>
      </c>
      <c r="AC1701" t="s">
        <v>51</v>
      </c>
      <c r="AD1701" t="s">
        <v>51</v>
      </c>
      <c r="AE1701" t="s">
        <v>51</v>
      </c>
      <c r="AF1701" t="s">
        <v>1472</v>
      </c>
    </row>
    <row r="1702" spans="1:32" ht="14.5" customHeight="1" x14ac:dyDescent="0.35">
      <c r="A1702" t="s">
        <v>774</v>
      </c>
      <c r="B1702" t="s">
        <v>1193</v>
      </c>
      <c r="C1702" t="s">
        <v>47</v>
      </c>
      <c r="D1702">
        <v>3001450</v>
      </c>
      <c r="E1702">
        <v>3001450</v>
      </c>
      <c r="F1702" t="s">
        <v>1467</v>
      </c>
      <c r="G1702" t="s">
        <v>1467</v>
      </c>
      <c r="H1702" t="s">
        <v>54</v>
      </c>
      <c r="I1702">
        <v>6954301</v>
      </c>
      <c r="J1702" s="12">
        <v>46088</v>
      </c>
      <c r="K1702" s="12">
        <v>46088</v>
      </c>
      <c r="L1702" s="12">
        <v>46088</v>
      </c>
      <c r="M1702">
        <v>44</v>
      </c>
      <c r="N1702">
        <v>-1381117</v>
      </c>
      <c r="O1702">
        <v>-1381117</v>
      </c>
      <c r="P1702">
        <v>0</v>
      </c>
      <c r="Q1702">
        <v>0</v>
      </c>
      <c r="R1702">
        <v>-1381117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 t="s">
        <v>47</v>
      </c>
      <c r="AA1702" t="s">
        <v>501</v>
      </c>
      <c r="AB1702" t="s">
        <v>51</v>
      </c>
      <c r="AC1702" t="s">
        <v>51</v>
      </c>
      <c r="AD1702" t="s">
        <v>51</v>
      </c>
      <c r="AE1702" t="s">
        <v>51</v>
      </c>
      <c r="AF1702" t="s">
        <v>1469</v>
      </c>
    </row>
    <row r="1703" spans="1:32" ht="14.5" customHeight="1" x14ac:dyDescent="0.35">
      <c r="A1703" t="s">
        <v>774</v>
      </c>
      <c r="B1703" t="s">
        <v>1193</v>
      </c>
      <c r="C1703" t="s">
        <v>47</v>
      </c>
      <c r="D1703">
        <v>3001450</v>
      </c>
      <c r="E1703">
        <v>3001450</v>
      </c>
      <c r="F1703" t="s">
        <v>1467</v>
      </c>
      <c r="G1703" t="s">
        <v>1467</v>
      </c>
      <c r="H1703" t="s">
        <v>54</v>
      </c>
      <c r="I1703">
        <v>6954302</v>
      </c>
      <c r="J1703" s="12">
        <v>46088</v>
      </c>
      <c r="K1703" s="12">
        <v>46088</v>
      </c>
      <c r="L1703" s="12">
        <v>46088</v>
      </c>
      <c r="M1703">
        <v>44</v>
      </c>
      <c r="N1703">
        <v>-9418343</v>
      </c>
      <c r="O1703">
        <v>-9418343</v>
      </c>
      <c r="P1703">
        <v>0</v>
      </c>
      <c r="Q1703">
        <v>0</v>
      </c>
      <c r="R1703">
        <v>-9418343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 t="s">
        <v>47</v>
      </c>
      <c r="AA1703" t="s">
        <v>501</v>
      </c>
      <c r="AB1703" t="s">
        <v>51</v>
      </c>
      <c r="AC1703" t="s">
        <v>51</v>
      </c>
      <c r="AD1703" t="s">
        <v>51</v>
      </c>
      <c r="AE1703" t="s">
        <v>51</v>
      </c>
      <c r="AF1703" t="s">
        <v>1473</v>
      </c>
    </row>
    <row r="1704" spans="1:32" ht="14.5" customHeight="1" x14ac:dyDescent="0.35">
      <c r="A1704" t="s">
        <v>774</v>
      </c>
      <c r="B1704" t="s">
        <v>1193</v>
      </c>
      <c r="C1704" t="s">
        <v>47</v>
      </c>
      <c r="D1704">
        <v>3001450</v>
      </c>
      <c r="E1704">
        <v>3001450</v>
      </c>
      <c r="F1704" t="s">
        <v>1467</v>
      </c>
      <c r="G1704" t="s">
        <v>1467</v>
      </c>
      <c r="H1704" t="s">
        <v>54</v>
      </c>
      <c r="I1704">
        <v>6954303</v>
      </c>
      <c r="J1704" s="12">
        <v>46088</v>
      </c>
      <c r="K1704" s="12">
        <v>46088</v>
      </c>
      <c r="L1704" s="12">
        <v>46088</v>
      </c>
      <c r="M1704">
        <v>44</v>
      </c>
      <c r="N1704">
        <v>-2979298</v>
      </c>
      <c r="O1704">
        <v>-2979298</v>
      </c>
      <c r="P1704">
        <v>0</v>
      </c>
      <c r="Q1704">
        <v>0</v>
      </c>
      <c r="R1704">
        <v>-2979298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 t="s">
        <v>47</v>
      </c>
      <c r="AA1704" t="s">
        <v>501</v>
      </c>
      <c r="AB1704" t="s">
        <v>51</v>
      </c>
      <c r="AC1704" t="s">
        <v>51</v>
      </c>
      <c r="AD1704" t="s">
        <v>51</v>
      </c>
      <c r="AE1704" t="s">
        <v>51</v>
      </c>
      <c r="AF1704" t="s">
        <v>1474</v>
      </c>
    </row>
    <row r="1705" spans="1:32" ht="14.5" customHeight="1" x14ac:dyDescent="0.35">
      <c r="A1705" t="s">
        <v>774</v>
      </c>
      <c r="B1705" t="s">
        <v>1193</v>
      </c>
      <c r="C1705" t="s">
        <v>47</v>
      </c>
      <c r="D1705">
        <v>3001450</v>
      </c>
      <c r="E1705">
        <v>3001450</v>
      </c>
      <c r="F1705" t="s">
        <v>1467</v>
      </c>
      <c r="G1705" t="s">
        <v>1467</v>
      </c>
      <c r="H1705" t="s">
        <v>54</v>
      </c>
      <c r="I1705">
        <v>6954304</v>
      </c>
      <c r="J1705" s="12">
        <v>46088</v>
      </c>
      <c r="K1705" s="12">
        <v>46088</v>
      </c>
      <c r="L1705" s="12">
        <v>46088</v>
      </c>
      <c r="M1705">
        <v>44</v>
      </c>
      <c r="N1705">
        <v>-490713</v>
      </c>
      <c r="O1705">
        <v>-490713</v>
      </c>
      <c r="P1705">
        <v>0</v>
      </c>
      <c r="Q1705">
        <v>0</v>
      </c>
      <c r="R1705">
        <v>-490713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 t="s">
        <v>47</v>
      </c>
      <c r="AA1705" t="s">
        <v>501</v>
      </c>
      <c r="AB1705" t="s">
        <v>51</v>
      </c>
      <c r="AC1705" t="s">
        <v>51</v>
      </c>
      <c r="AD1705" t="s">
        <v>51</v>
      </c>
      <c r="AE1705" t="s">
        <v>51</v>
      </c>
      <c r="AF1705" t="s">
        <v>1474</v>
      </c>
    </row>
    <row r="1706" spans="1:32" ht="14.5" customHeight="1" x14ac:dyDescent="0.35">
      <c r="A1706" t="s">
        <v>774</v>
      </c>
      <c r="B1706" t="s">
        <v>1193</v>
      </c>
      <c r="C1706" t="s">
        <v>47</v>
      </c>
      <c r="D1706">
        <v>3001450</v>
      </c>
      <c r="E1706">
        <v>3001450</v>
      </c>
      <c r="F1706" t="s">
        <v>1467</v>
      </c>
      <c r="G1706" t="s">
        <v>1467</v>
      </c>
      <c r="H1706" t="s">
        <v>54</v>
      </c>
      <c r="I1706">
        <v>6954305</v>
      </c>
      <c r="J1706" s="12">
        <v>46088</v>
      </c>
      <c r="K1706" s="12">
        <v>46088</v>
      </c>
      <c r="L1706" s="12">
        <v>46088</v>
      </c>
      <c r="M1706">
        <v>44</v>
      </c>
      <c r="N1706">
        <v>-505056</v>
      </c>
      <c r="O1706">
        <v>-505056</v>
      </c>
      <c r="P1706">
        <v>0</v>
      </c>
      <c r="Q1706">
        <v>0</v>
      </c>
      <c r="R1706">
        <v>-505056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 t="s">
        <v>47</v>
      </c>
      <c r="AA1706" t="s">
        <v>501</v>
      </c>
      <c r="AB1706" t="s">
        <v>51</v>
      </c>
      <c r="AC1706" t="s">
        <v>51</v>
      </c>
      <c r="AD1706" t="s">
        <v>51</v>
      </c>
      <c r="AE1706" t="s">
        <v>51</v>
      </c>
      <c r="AF1706" t="s">
        <v>1474</v>
      </c>
    </row>
    <row r="1707" spans="1:32" ht="14.5" customHeight="1" x14ac:dyDescent="0.35">
      <c r="A1707" t="s">
        <v>774</v>
      </c>
      <c r="B1707" t="s">
        <v>1193</v>
      </c>
      <c r="C1707" t="s">
        <v>47</v>
      </c>
      <c r="D1707">
        <v>3001450</v>
      </c>
      <c r="E1707">
        <v>3001450</v>
      </c>
      <c r="F1707" t="s">
        <v>1467</v>
      </c>
      <c r="G1707" t="s">
        <v>1467</v>
      </c>
      <c r="H1707" t="s">
        <v>54</v>
      </c>
      <c r="I1707">
        <v>6954306</v>
      </c>
      <c r="J1707" s="12">
        <v>46088</v>
      </c>
      <c r="K1707" s="12">
        <v>46088</v>
      </c>
      <c r="L1707" s="12">
        <v>46088</v>
      </c>
      <c r="M1707">
        <v>44</v>
      </c>
      <c r="N1707">
        <v>-2180000</v>
      </c>
      <c r="O1707">
        <v>-2180000</v>
      </c>
      <c r="P1707">
        <v>0</v>
      </c>
      <c r="Q1707">
        <v>0</v>
      </c>
      <c r="R1707">
        <v>-2180000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 t="s">
        <v>47</v>
      </c>
      <c r="AA1707" t="s">
        <v>501</v>
      </c>
      <c r="AB1707" t="s">
        <v>51</v>
      </c>
      <c r="AC1707" t="s">
        <v>51</v>
      </c>
      <c r="AD1707" t="s">
        <v>51</v>
      </c>
      <c r="AE1707" t="s">
        <v>51</v>
      </c>
      <c r="AF1707" t="s">
        <v>1475</v>
      </c>
    </row>
    <row r="1708" spans="1:32" ht="14.5" customHeight="1" x14ac:dyDescent="0.35">
      <c r="A1708" t="s">
        <v>774</v>
      </c>
      <c r="B1708" t="s">
        <v>1193</v>
      </c>
      <c r="C1708" t="s">
        <v>47</v>
      </c>
      <c r="D1708">
        <v>3001450</v>
      </c>
      <c r="E1708">
        <v>3001450</v>
      </c>
      <c r="F1708" t="s">
        <v>1467</v>
      </c>
      <c r="G1708" t="s">
        <v>1467</v>
      </c>
      <c r="H1708" t="s">
        <v>54</v>
      </c>
      <c r="I1708">
        <v>6954313</v>
      </c>
      <c r="J1708" s="12">
        <v>46088</v>
      </c>
      <c r="K1708" s="12">
        <v>46088</v>
      </c>
      <c r="L1708" s="12">
        <v>46088</v>
      </c>
      <c r="M1708">
        <v>44</v>
      </c>
      <c r="N1708">
        <v>-63189</v>
      </c>
      <c r="O1708">
        <v>-63189</v>
      </c>
      <c r="P1708">
        <v>0</v>
      </c>
      <c r="Q1708">
        <v>0</v>
      </c>
      <c r="R1708">
        <v>-63189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 t="s">
        <v>47</v>
      </c>
      <c r="AA1708" t="s">
        <v>501</v>
      </c>
      <c r="AB1708" t="s">
        <v>51</v>
      </c>
      <c r="AC1708" t="s">
        <v>51</v>
      </c>
      <c r="AD1708" t="s">
        <v>51</v>
      </c>
      <c r="AE1708" t="s">
        <v>51</v>
      </c>
      <c r="AF1708" t="s">
        <v>1472</v>
      </c>
    </row>
    <row r="1709" spans="1:32" ht="14.5" customHeight="1" x14ac:dyDescent="0.35">
      <c r="A1709" t="s">
        <v>774</v>
      </c>
      <c r="B1709" t="s">
        <v>1193</v>
      </c>
      <c r="C1709" t="s">
        <v>47</v>
      </c>
      <c r="D1709">
        <v>3001450</v>
      </c>
      <c r="E1709">
        <v>3001450</v>
      </c>
      <c r="F1709" t="s">
        <v>1467</v>
      </c>
      <c r="G1709" t="s">
        <v>1467</v>
      </c>
      <c r="H1709" t="s">
        <v>54</v>
      </c>
      <c r="I1709">
        <v>6954314</v>
      </c>
      <c r="J1709" s="12">
        <v>46088</v>
      </c>
      <c r="K1709" s="12">
        <v>46088</v>
      </c>
      <c r="L1709" s="12">
        <v>46088</v>
      </c>
      <c r="M1709">
        <v>44</v>
      </c>
      <c r="N1709">
        <v>-79966</v>
      </c>
      <c r="O1709">
        <v>-79966</v>
      </c>
      <c r="P1709">
        <v>0</v>
      </c>
      <c r="Q1709">
        <v>0</v>
      </c>
      <c r="R1709">
        <v>-79966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 t="s">
        <v>47</v>
      </c>
      <c r="AA1709" t="s">
        <v>501</v>
      </c>
      <c r="AB1709" t="s">
        <v>51</v>
      </c>
      <c r="AC1709" t="s">
        <v>51</v>
      </c>
      <c r="AD1709" t="s">
        <v>51</v>
      </c>
      <c r="AE1709" t="s">
        <v>51</v>
      </c>
      <c r="AF1709" t="s">
        <v>1472</v>
      </c>
    </row>
    <row r="1710" spans="1:32" ht="14.5" customHeight="1" x14ac:dyDescent="0.35">
      <c r="A1710" t="s">
        <v>774</v>
      </c>
      <c r="B1710" t="s">
        <v>1193</v>
      </c>
      <c r="C1710" t="s">
        <v>47</v>
      </c>
      <c r="D1710">
        <v>3001450</v>
      </c>
      <c r="E1710">
        <v>3001450</v>
      </c>
      <c r="F1710" t="s">
        <v>1467</v>
      </c>
      <c r="G1710" t="s">
        <v>1467</v>
      </c>
      <c r="H1710" t="s">
        <v>54</v>
      </c>
      <c r="I1710">
        <v>6954315</v>
      </c>
      <c r="J1710" s="12">
        <v>46088</v>
      </c>
      <c r="K1710" s="12">
        <v>46088</v>
      </c>
      <c r="L1710" s="12">
        <v>46088</v>
      </c>
      <c r="M1710">
        <v>44</v>
      </c>
      <c r="N1710">
        <v>-100653</v>
      </c>
      <c r="O1710">
        <v>-100653</v>
      </c>
      <c r="P1710">
        <v>0</v>
      </c>
      <c r="Q1710">
        <v>0</v>
      </c>
      <c r="R1710">
        <v>-100653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 t="s">
        <v>47</v>
      </c>
      <c r="AA1710" t="s">
        <v>501</v>
      </c>
      <c r="AB1710" t="s">
        <v>51</v>
      </c>
      <c r="AC1710" t="s">
        <v>51</v>
      </c>
      <c r="AD1710" t="s">
        <v>51</v>
      </c>
      <c r="AE1710" t="s">
        <v>51</v>
      </c>
      <c r="AF1710" t="s">
        <v>1472</v>
      </c>
    </row>
    <row r="1711" spans="1:32" ht="14.5" customHeight="1" x14ac:dyDescent="0.35">
      <c r="A1711" t="s">
        <v>774</v>
      </c>
      <c r="B1711" t="s">
        <v>1193</v>
      </c>
      <c r="C1711" t="s">
        <v>47</v>
      </c>
      <c r="D1711">
        <v>3001450</v>
      </c>
      <c r="E1711">
        <v>3001450</v>
      </c>
      <c r="F1711" t="s">
        <v>1467</v>
      </c>
      <c r="G1711" t="s">
        <v>1467</v>
      </c>
      <c r="H1711" t="s">
        <v>54</v>
      </c>
      <c r="I1711">
        <v>6954316</v>
      </c>
      <c r="J1711" s="12">
        <v>46088</v>
      </c>
      <c r="K1711" s="12">
        <v>46088</v>
      </c>
      <c r="L1711" s="12">
        <v>46088</v>
      </c>
      <c r="M1711">
        <v>44</v>
      </c>
      <c r="N1711">
        <v>-69732</v>
      </c>
      <c r="O1711">
        <v>-69732</v>
      </c>
      <c r="P1711">
        <v>0</v>
      </c>
      <c r="Q1711">
        <v>0</v>
      </c>
      <c r="R1711">
        <v>-69732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 t="s">
        <v>47</v>
      </c>
      <c r="AA1711" t="s">
        <v>501</v>
      </c>
      <c r="AB1711" t="s">
        <v>51</v>
      </c>
      <c r="AC1711" t="s">
        <v>51</v>
      </c>
      <c r="AD1711" t="s">
        <v>51</v>
      </c>
      <c r="AE1711" t="s">
        <v>51</v>
      </c>
      <c r="AF1711" t="s">
        <v>1472</v>
      </c>
    </row>
    <row r="1712" spans="1:32" ht="14.5" customHeight="1" x14ac:dyDescent="0.35">
      <c r="A1712" t="s">
        <v>774</v>
      </c>
      <c r="B1712" t="s">
        <v>1193</v>
      </c>
      <c r="C1712" t="s">
        <v>47</v>
      </c>
      <c r="D1712">
        <v>3001450</v>
      </c>
      <c r="E1712">
        <v>3001450</v>
      </c>
      <c r="F1712" t="s">
        <v>1467</v>
      </c>
      <c r="G1712" t="s">
        <v>1467</v>
      </c>
      <c r="H1712" t="s">
        <v>54</v>
      </c>
      <c r="I1712">
        <v>6954317</v>
      </c>
      <c r="J1712" s="12">
        <v>46088</v>
      </c>
      <c r="K1712" s="12">
        <v>46088</v>
      </c>
      <c r="L1712" s="12">
        <v>46088</v>
      </c>
      <c r="M1712">
        <v>44</v>
      </c>
      <c r="N1712">
        <v>-577582</v>
      </c>
      <c r="O1712">
        <v>-577582</v>
      </c>
      <c r="P1712">
        <v>0</v>
      </c>
      <c r="Q1712">
        <v>0</v>
      </c>
      <c r="R1712">
        <v>-577582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 t="s">
        <v>47</v>
      </c>
      <c r="AA1712" t="s">
        <v>501</v>
      </c>
      <c r="AB1712" t="s">
        <v>51</v>
      </c>
      <c r="AC1712" t="s">
        <v>51</v>
      </c>
      <c r="AD1712" t="s">
        <v>51</v>
      </c>
      <c r="AE1712" t="s">
        <v>51</v>
      </c>
      <c r="AF1712" t="s">
        <v>1476</v>
      </c>
    </row>
    <row r="1713" spans="1:32" ht="14.5" customHeight="1" x14ac:dyDescent="0.35">
      <c r="A1713" t="s">
        <v>774</v>
      </c>
      <c r="B1713" t="s">
        <v>1193</v>
      </c>
      <c r="C1713" t="s">
        <v>47</v>
      </c>
      <c r="D1713">
        <v>3001450</v>
      </c>
      <c r="E1713">
        <v>3001450</v>
      </c>
      <c r="F1713" t="s">
        <v>1467</v>
      </c>
      <c r="G1713" t="s">
        <v>1467</v>
      </c>
      <c r="H1713" t="s">
        <v>54</v>
      </c>
      <c r="I1713">
        <v>6954318</v>
      </c>
      <c r="J1713" s="12">
        <v>46088</v>
      </c>
      <c r="K1713" s="12">
        <v>46088</v>
      </c>
      <c r="L1713" s="12">
        <v>46088</v>
      </c>
      <c r="M1713">
        <v>44</v>
      </c>
      <c r="N1713">
        <v>-155101</v>
      </c>
      <c r="O1713">
        <v>-155101</v>
      </c>
      <c r="P1713">
        <v>0</v>
      </c>
      <c r="Q1713">
        <v>0</v>
      </c>
      <c r="R1713">
        <v>-155101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 t="s">
        <v>47</v>
      </c>
      <c r="AA1713" t="s">
        <v>501</v>
      </c>
      <c r="AB1713" t="s">
        <v>51</v>
      </c>
      <c r="AC1713" t="s">
        <v>51</v>
      </c>
      <c r="AD1713" t="s">
        <v>51</v>
      </c>
      <c r="AE1713" t="s">
        <v>51</v>
      </c>
      <c r="AF1713" t="s">
        <v>1477</v>
      </c>
    </row>
    <row r="1714" spans="1:32" ht="14.5" customHeight="1" x14ac:dyDescent="0.35">
      <c r="A1714" t="s">
        <v>774</v>
      </c>
      <c r="B1714" t="s">
        <v>1193</v>
      </c>
      <c r="C1714" t="s">
        <v>47</v>
      </c>
      <c r="D1714">
        <v>3001450</v>
      </c>
      <c r="E1714">
        <v>3001450</v>
      </c>
      <c r="F1714" t="s">
        <v>1467</v>
      </c>
      <c r="G1714" t="s">
        <v>1467</v>
      </c>
      <c r="H1714" t="s">
        <v>54</v>
      </c>
      <c r="I1714">
        <v>6954319</v>
      </c>
      <c r="J1714" s="12">
        <v>46088</v>
      </c>
      <c r="K1714" s="12">
        <v>46088</v>
      </c>
      <c r="L1714" s="12">
        <v>46088</v>
      </c>
      <c r="M1714">
        <v>44</v>
      </c>
      <c r="N1714">
        <v>-414219</v>
      </c>
      <c r="O1714">
        <v>-414219</v>
      </c>
      <c r="P1714">
        <v>0</v>
      </c>
      <c r="Q1714">
        <v>0</v>
      </c>
      <c r="R1714">
        <v>-414219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 t="s">
        <v>47</v>
      </c>
      <c r="AA1714" t="s">
        <v>501</v>
      </c>
      <c r="AB1714" t="s">
        <v>51</v>
      </c>
      <c r="AC1714" t="s">
        <v>51</v>
      </c>
      <c r="AD1714" t="s">
        <v>51</v>
      </c>
      <c r="AE1714" t="s">
        <v>51</v>
      </c>
      <c r="AF1714" t="s">
        <v>1477</v>
      </c>
    </row>
    <row r="1715" spans="1:32" ht="14.5" customHeight="1" x14ac:dyDescent="0.35">
      <c r="A1715" t="s">
        <v>774</v>
      </c>
      <c r="B1715" t="s">
        <v>1193</v>
      </c>
      <c r="C1715" t="s">
        <v>47</v>
      </c>
      <c r="D1715">
        <v>3001450</v>
      </c>
      <c r="E1715">
        <v>3001450</v>
      </c>
      <c r="F1715" t="s">
        <v>1467</v>
      </c>
      <c r="G1715" t="s">
        <v>1467</v>
      </c>
      <c r="H1715" t="s">
        <v>54</v>
      </c>
      <c r="I1715">
        <v>6954327</v>
      </c>
      <c r="J1715" s="12">
        <v>46088</v>
      </c>
      <c r="K1715" s="12">
        <v>46088</v>
      </c>
      <c r="L1715" s="12">
        <v>46088</v>
      </c>
      <c r="M1715">
        <v>44</v>
      </c>
      <c r="N1715">
        <v>-95738</v>
      </c>
      <c r="O1715">
        <v>-95738</v>
      </c>
      <c r="P1715">
        <v>0</v>
      </c>
      <c r="Q1715">
        <v>0</v>
      </c>
      <c r="R1715">
        <v>-95738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 t="s">
        <v>47</v>
      </c>
      <c r="AA1715" t="s">
        <v>501</v>
      </c>
      <c r="AB1715" t="s">
        <v>51</v>
      </c>
      <c r="AC1715" t="s">
        <v>51</v>
      </c>
      <c r="AD1715" t="s">
        <v>51</v>
      </c>
      <c r="AE1715" t="s">
        <v>51</v>
      </c>
      <c r="AF1715" t="s">
        <v>1472</v>
      </c>
    </row>
    <row r="1716" spans="1:32" ht="14.5" customHeight="1" x14ac:dyDescent="0.35">
      <c r="A1716" t="s">
        <v>774</v>
      </c>
      <c r="B1716" t="s">
        <v>1193</v>
      </c>
      <c r="C1716" t="s">
        <v>47</v>
      </c>
      <c r="D1716">
        <v>3001450</v>
      </c>
      <c r="E1716">
        <v>3001450</v>
      </c>
      <c r="F1716" t="s">
        <v>1467</v>
      </c>
      <c r="G1716" t="s">
        <v>1467</v>
      </c>
      <c r="H1716" t="s">
        <v>54</v>
      </c>
      <c r="I1716">
        <v>6954328</v>
      </c>
      <c r="J1716" s="12">
        <v>46088</v>
      </c>
      <c r="K1716" s="12">
        <v>46088</v>
      </c>
      <c r="L1716" s="12">
        <v>46088</v>
      </c>
      <c r="M1716">
        <v>44</v>
      </c>
      <c r="N1716">
        <v>-95624</v>
      </c>
      <c r="O1716">
        <v>-95624</v>
      </c>
      <c r="P1716">
        <v>0</v>
      </c>
      <c r="Q1716">
        <v>0</v>
      </c>
      <c r="R1716">
        <v>-95624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 t="s">
        <v>47</v>
      </c>
      <c r="AA1716" t="s">
        <v>501</v>
      </c>
      <c r="AB1716" t="s">
        <v>51</v>
      </c>
      <c r="AC1716" t="s">
        <v>51</v>
      </c>
      <c r="AD1716" t="s">
        <v>51</v>
      </c>
      <c r="AE1716" t="s">
        <v>51</v>
      </c>
      <c r="AF1716" t="s">
        <v>1472</v>
      </c>
    </row>
    <row r="1717" spans="1:32" ht="14.5" customHeight="1" x14ac:dyDescent="0.35">
      <c r="A1717" t="s">
        <v>774</v>
      </c>
      <c r="B1717" t="s">
        <v>1193</v>
      </c>
      <c r="C1717" t="s">
        <v>47</v>
      </c>
      <c r="D1717">
        <v>3001450</v>
      </c>
      <c r="E1717">
        <v>3001450</v>
      </c>
      <c r="F1717" t="s">
        <v>1467</v>
      </c>
      <c r="G1717" t="s">
        <v>1467</v>
      </c>
      <c r="H1717" t="s">
        <v>54</v>
      </c>
      <c r="I1717">
        <v>6954329</v>
      </c>
      <c r="J1717" s="12">
        <v>46088</v>
      </c>
      <c r="K1717" s="12">
        <v>46088</v>
      </c>
      <c r="L1717" s="12">
        <v>46088</v>
      </c>
      <c r="M1717">
        <v>44</v>
      </c>
      <c r="N1717">
        <v>-3846146</v>
      </c>
      <c r="O1717">
        <v>-3846146</v>
      </c>
      <c r="P1717">
        <v>0</v>
      </c>
      <c r="Q1717">
        <v>0</v>
      </c>
      <c r="R1717">
        <v>-3846146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 t="s">
        <v>47</v>
      </c>
      <c r="AA1717" t="s">
        <v>501</v>
      </c>
      <c r="AB1717" t="s">
        <v>51</v>
      </c>
      <c r="AC1717" t="s">
        <v>51</v>
      </c>
      <c r="AD1717" t="s">
        <v>51</v>
      </c>
      <c r="AE1717" t="s">
        <v>51</v>
      </c>
      <c r="AF1717" t="s">
        <v>1478</v>
      </c>
    </row>
    <row r="1718" spans="1:32" ht="14.5" customHeight="1" x14ac:dyDescent="0.35">
      <c r="A1718" t="s">
        <v>774</v>
      </c>
      <c r="B1718" t="s">
        <v>1193</v>
      </c>
      <c r="C1718" t="s">
        <v>47</v>
      </c>
      <c r="D1718">
        <v>3001450</v>
      </c>
      <c r="E1718">
        <v>3001450</v>
      </c>
      <c r="F1718" t="s">
        <v>1467</v>
      </c>
      <c r="G1718" t="s">
        <v>1467</v>
      </c>
      <c r="H1718" t="s">
        <v>54</v>
      </c>
      <c r="I1718">
        <v>6954330</v>
      </c>
      <c r="J1718" s="12">
        <v>46088</v>
      </c>
      <c r="K1718" s="12">
        <v>46088</v>
      </c>
      <c r="L1718" s="12">
        <v>46088</v>
      </c>
      <c r="M1718">
        <v>44</v>
      </c>
      <c r="N1718">
        <v>-3608065</v>
      </c>
      <c r="O1718">
        <v>-3608065</v>
      </c>
      <c r="P1718">
        <v>0</v>
      </c>
      <c r="Q1718">
        <v>0</v>
      </c>
      <c r="R1718">
        <v>-3608065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 t="s">
        <v>47</v>
      </c>
      <c r="AA1718" t="s">
        <v>501</v>
      </c>
      <c r="AB1718" t="s">
        <v>51</v>
      </c>
      <c r="AC1718" t="s">
        <v>51</v>
      </c>
      <c r="AD1718" t="s">
        <v>51</v>
      </c>
      <c r="AE1718" t="s">
        <v>51</v>
      </c>
      <c r="AF1718" t="s">
        <v>1479</v>
      </c>
    </row>
    <row r="1719" spans="1:32" ht="14.5" customHeight="1" x14ac:dyDescent="0.35">
      <c r="A1719" t="s">
        <v>774</v>
      </c>
      <c r="B1719" t="s">
        <v>1193</v>
      </c>
      <c r="C1719" t="s">
        <v>47</v>
      </c>
      <c r="D1719">
        <v>3001450</v>
      </c>
      <c r="E1719">
        <v>3001450</v>
      </c>
      <c r="F1719" t="s">
        <v>1467</v>
      </c>
      <c r="G1719" t="s">
        <v>1467</v>
      </c>
      <c r="H1719" t="s">
        <v>54</v>
      </c>
      <c r="I1719">
        <v>6954331</v>
      </c>
      <c r="J1719" s="12">
        <v>46088</v>
      </c>
      <c r="K1719" s="12">
        <v>46088</v>
      </c>
      <c r="L1719" s="12">
        <v>46088</v>
      </c>
      <c r="M1719">
        <v>44</v>
      </c>
      <c r="N1719">
        <v>-5242385</v>
      </c>
      <c r="O1719">
        <v>-5242385</v>
      </c>
      <c r="P1719">
        <v>0</v>
      </c>
      <c r="Q1719">
        <v>0</v>
      </c>
      <c r="R1719">
        <v>-5242385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 t="s">
        <v>47</v>
      </c>
      <c r="AA1719" t="s">
        <v>501</v>
      </c>
      <c r="AB1719" t="s">
        <v>51</v>
      </c>
      <c r="AC1719" t="s">
        <v>51</v>
      </c>
      <c r="AD1719" t="s">
        <v>51</v>
      </c>
      <c r="AE1719" t="s">
        <v>51</v>
      </c>
      <c r="AF1719" t="s">
        <v>1468</v>
      </c>
    </row>
    <row r="1720" spans="1:32" ht="14.5" customHeight="1" x14ac:dyDescent="0.35">
      <c r="A1720" t="s">
        <v>774</v>
      </c>
      <c r="B1720" t="s">
        <v>1193</v>
      </c>
      <c r="C1720" t="s">
        <v>47</v>
      </c>
      <c r="D1720">
        <v>3001450</v>
      </c>
      <c r="E1720">
        <v>3001450</v>
      </c>
      <c r="F1720" t="s">
        <v>1467</v>
      </c>
      <c r="G1720" t="s">
        <v>1467</v>
      </c>
      <c r="H1720" t="s">
        <v>54</v>
      </c>
      <c r="I1720">
        <v>6954332</v>
      </c>
      <c r="J1720" s="12">
        <v>46088</v>
      </c>
      <c r="K1720" s="12">
        <v>46088</v>
      </c>
      <c r="L1720" s="12">
        <v>46088</v>
      </c>
      <c r="M1720">
        <v>44</v>
      </c>
      <c r="N1720">
        <v>-7134446</v>
      </c>
      <c r="O1720">
        <v>-7134446</v>
      </c>
      <c r="P1720">
        <v>0</v>
      </c>
      <c r="Q1720">
        <v>0</v>
      </c>
      <c r="R1720">
        <v>-7134446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 t="s">
        <v>47</v>
      </c>
      <c r="AA1720" t="s">
        <v>501</v>
      </c>
      <c r="AB1720" t="s">
        <v>51</v>
      </c>
      <c r="AC1720" t="s">
        <v>51</v>
      </c>
      <c r="AD1720" t="s">
        <v>51</v>
      </c>
      <c r="AE1720" t="s">
        <v>51</v>
      </c>
      <c r="AF1720" t="s">
        <v>1480</v>
      </c>
    </row>
    <row r="1721" spans="1:32" ht="14.5" customHeight="1" x14ac:dyDescent="0.35">
      <c r="A1721" t="s">
        <v>774</v>
      </c>
      <c r="B1721" t="s">
        <v>1193</v>
      </c>
      <c r="C1721" t="s">
        <v>47</v>
      </c>
      <c r="D1721">
        <v>3001450</v>
      </c>
      <c r="E1721">
        <v>3001450</v>
      </c>
      <c r="F1721" t="s">
        <v>1467</v>
      </c>
      <c r="G1721" t="s">
        <v>1467</v>
      </c>
      <c r="H1721" t="s">
        <v>54</v>
      </c>
      <c r="I1721">
        <v>6954333</v>
      </c>
      <c r="J1721" s="12">
        <v>46088</v>
      </c>
      <c r="K1721" s="12">
        <v>46088</v>
      </c>
      <c r="L1721" s="12">
        <v>46088</v>
      </c>
      <c r="M1721">
        <v>44</v>
      </c>
      <c r="N1721">
        <v>-45206087</v>
      </c>
      <c r="O1721">
        <v>-45206087</v>
      </c>
      <c r="P1721">
        <v>0</v>
      </c>
      <c r="Q1721">
        <v>0</v>
      </c>
      <c r="R1721">
        <v>-45206087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 t="s">
        <v>47</v>
      </c>
      <c r="AA1721" t="s">
        <v>501</v>
      </c>
      <c r="AB1721" t="s">
        <v>51</v>
      </c>
      <c r="AC1721" t="s">
        <v>51</v>
      </c>
      <c r="AD1721" t="s">
        <v>51</v>
      </c>
      <c r="AE1721" t="s">
        <v>51</v>
      </c>
      <c r="AF1721" t="s">
        <v>1481</v>
      </c>
    </row>
    <row r="1722" spans="1:32" ht="14.5" customHeight="1" x14ac:dyDescent="0.35">
      <c r="A1722" t="s">
        <v>774</v>
      </c>
      <c r="B1722" t="s">
        <v>1193</v>
      </c>
      <c r="C1722" t="s">
        <v>47</v>
      </c>
      <c r="D1722">
        <v>3001450</v>
      </c>
      <c r="E1722">
        <v>3001450</v>
      </c>
      <c r="F1722" t="s">
        <v>1467</v>
      </c>
      <c r="G1722" t="s">
        <v>1467</v>
      </c>
      <c r="H1722" t="s">
        <v>54</v>
      </c>
      <c r="I1722">
        <v>6954932</v>
      </c>
      <c r="J1722" s="12">
        <v>46091</v>
      </c>
      <c r="K1722" s="12">
        <v>46091</v>
      </c>
      <c r="L1722" s="12">
        <v>46091</v>
      </c>
      <c r="M1722">
        <v>41</v>
      </c>
      <c r="N1722">
        <v>-3300204</v>
      </c>
      <c r="O1722">
        <v>-3300204</v>
      </c>
      <c r="P1722">
        <v>0</v>
      </c>
      <c r="Q1722">
        <v>0</v>
      </c>
      <c r="R1722">
        <v>-3300204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 t="s">
        <v>47</v>
      </c>
      <c r="AA1722" t="s">
        <v>501</v>
      </c>
      <c r="AB1722" t="s">
        <v>51</v>
      </c>
      <c r="AC1722" t="s">
        <v>51</v>
      </c>
      <c r="AD1722" t="s">
        <v>51</v>
      </c>
      <c r="AE1722" t="s">
        <v>51</v>
      </c>
      <c r="AF1722" t="s">
        <v>1482</v>
      </c>
    </row>
    <row r="1723" spans="1:32" ht="14.5" customHeight="1" x14ac:dyDescent="0.35">
      <c r="A1723" t="s">
        <v>774</v>
      </c>
      <c r="B1723" t="s">
        <v>1193</v>
      </c>
      <c r="C1723" t="s">
        <v>47</v>
      </c>
      <c r="D1723">
        <v>3001450</v>
      </c>
      <c r="E1723">
        <v>3001450</v>
      </c>
      <c r="F1723" t="s">
        <v>1467</v>
      </c>
      <c r="G1723" t="s">
        <v>1467</v>
      </c>
      <c r="H1723" t="s">
        <v>111</v>
      </c>
      <c r="I1723">
        <v>6954944</v>
      </c>
      <c r="J1723" s="12">
        <v>46091</v>
      </c>
      <c r="K1723" s="12">
        <v>46091</v>
      </c>
      <c r="L1723" s="12">
        <v>46091</v>
      </c>
      <c r="M1723">
        <v>41</v>
      </c>
      <c r="N1723">
        <v>-246606</v>
      </c>
      <c r="O1723">
        <v>-246606</v>
      </c>
      <c r="P1723">
        <v>0</v>
      </c>
      <c r="Q1723">
        <v>0</v>
      </c>
      <c r="R1723">
        <v>-246606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 t="s">
        <v>47</v>
      </c>
      <c r="AA1723" t="s">
        <v>501</v>
      </c>
      <c r="AB1723" t="s">
        <v>51</v>
      </c>
      <c r="AC1723" t="s">
        <v>51</v>
      </c>
      <c r="AD1723" t="s">
        <v>51</v>
      </c>
      <c r="AE1723" t="s">
        <v>51</v>
      </c>
      <c r="AF1723" t="s">
        <v>144</v>
      </c>
    </row>
    <row r="1724" spans="1:32" ht="14.5" customHeight="1" x14ac:dyDescent="0.35">
      <c r="A1724" t="s">
        <v>774</v>
      </c>
      <c r="B1724" t="s">
        <v>1193</v>
      </c>
      <c r="C1724" t="s">
        <v>47</v>
      </c>
      <c r="D1724">
        <v>3001450</v>
      </c>
      <c r="E1724">
        <v>3001450</v>
      </c>
      <c r="F1724" t="s">
        <v>1467</v>
      </c>
      <c r="G1724" t="s">
        <v>1467</v>
      </c>
      <c r="H1724" t="s">
        <v>54</v>
      </c>
      <c r="I1724">
        <v>6954963</v>
      </c>
      <c r="J1724" s="12">
        <v>46091</v>
      </c>
      <c r="K1724" s="12">
        <v>46091</v>
      </c>
      <c r="L1724" s="12">
        <v>46091</v>
      </c>
      <c r="M1724">
        <v>41</v>
      </c>
      <c r="N1724">
        <v>-51863104</v>
      </c>
      <c r="O1724">
        <v>-51863104</v>
      </c>
      <c r="P1724">
        <v>0</v>
      </c>
      <c r="Q1724">
        <v>0</v>
      </c>
      <c r="R1724">
        <v>-51863104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 t="s">
        <v>47</v>
      </c>
      <c r="AA1724" t="s">
        <v>501</v>
      </c>
      <c r="AB1724" t="s">
        <v>51</v>
      </c>
      <c r="AC1724" t="s">
        <v>51</v>
      </c>
      <c r="AD1724" t="s">
        <v>51</v>
      </c>
      <c r="AE1724" t="s">
        <v>51</v>
      </c>
      <c r="AF1724" t="s">
        <v>1483</v>
      </c>
    </row>
    <row r="1725" spans="1:32" ht="14.5" customHeight="1" x14ac:dyDescent="0.35">
      <c r="A1725" t="s">
        <v>774</v>
      </c>
      <c r="B1725" t="s">
        <v>1193</v>
      </c>
      <c r="C1725" t="s">
        <v>47</v>
      </c>
      <c r="D1725">
        <v>3001450</v>
      </c>
      <c r="E1725">
        <v>3001563</v>
      </c>
      <c r="F1725" t="s">
        <v>1467</v>
      </c>
      <c r="G1725" t="s">
        <v>1467</v>
      </c>
      <c r="H1725" t="s">
        <v>54</v>
      </c>
      <c r="I1725">
        <v>6955004</v>
      </c>
      <c r="J1725" s="12">
        <v>46091</v>
      </c>
      <c r="K1725" s="12">
        <v>46091</v>
      </c>
      <c r="L1725" s="12">
        <v>46091</v>
      </c>
      <c r="M1725">
        <v>41</v>
      </c>
      <c r="N1725">
        <v>-15306426</v>
      </c>
      <c r="O1725">
        <v>-15306426</v>
      </c>
      <c r="P1725">
        <v>0</v>
      </c>
      <c r="Q1725">
        <v>0</v>
      </c>
      <c r="R1725">
        <v>-15306426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 t="s">
        <v>47</v>
      </c>
      <c r="AA1725" t="s">
        <v>501</v>
      </c>
      <c r="AB1725" t="s">
        <v>51</v>
      </c>
      <c r="AC1725" t="s">
        <v>51</v>
      </c>
      <c r="AD1725" t="s">
        <v>51</v>
      </c>
      <c r="AE1725" t="s">
        <v>51</v>
      </c>
      <c r="AF1725" t="s">
        <v>1483</v>
      </c>
    </row>
    <row r="1726" spans="1:32" ht="14.5" customHeight="1" x14ac:dyDescent="0.35">
      <c r="A1726" t="s">
        <v>774</v>
      </c>
      <c r="B1726" t="s">
        <v>1193</v>
      </c>
      <c r="C1726" t="s">
        <v>47</v>
      </c>
      <c r="D1726">
        <v>3001450</v>
      </c>
      <c r="E1726">
        <v>3001450</v>
      </c>
      <c r="F1726" t="s">
        <v>1467</v>
      </c>
      <c r="G1726" t="s">
        <v>1467</v>
      </c>
      <c r="H1726" t="s">
        <v>54</v>
      </c>
      <c r="I1726">
        <v>6955011</v>
      </c>
      <c r="J1726" s="12">
        <v>46092</v>
      </c>
      <c r="K1726" s="12">
        <v>46092</v>
      </c>
      <c r="L1726" s="12">
        <v>46092</v>
      </c>
      <c r="M1726">
        <v>40</v>
      </c>
      <c r="N1726">
        <v>-981000</v>
      </c>
      <c r="O1726">
        <v>-981000</v>
      </c>
      <c r="P1726">
        <v>0</v>
      </c>
      <c r="Q1726">
        <v>0</v>
      </c>
      <c r="R1726">
        <v>-981000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 t="s">
        <v>47</v>
      </c>
      <c r="AA1726" t="s">
        <v>501</v>
      </c>
      <c r="AB1726" t="s">
        <v>51</v>
      </c>
      <c r="AC1726" t="s">
        <v>51</v>
      </c>
      <c r="AD1726" t="s">
        <v>51</v>
      </c>
      <c r="AE1726" t="s">
        <v>51</v>
      </c>
      <c r="AF1726" t="s">
        <v>1484</v>
      </c>
    </row>
    <row r="1727" spans="1:32" ht="14.5" customHeight="1" x14ac:dyDescent="0.35">
      <c r="A1727" t="s">
        <v>774</v>
      </c>
      <c r="B1727" t="s">
        <v>1193</v>
      </c>
      <c r="C1727" t="s">
        <v>47</v>
      </c>
      <c r="D1727">
        <v>3001450</v>
      </c>
      <c r="E1727">
        <v>3001450</v>
      </c>
      <c r="F1727" t="s">
        <v>1467</v>
      </c>
      <c r="G1727" t="s">
        <v>1467</v>
      </c>
      <c r="H1727" t="s">
        <v>54</v>
      </c>
      <c r="I1727">
        <v>6955039</v>
      </c>
      <c r="J1727" s="12">
        <v>46092</v>
      </c>
      <c r="K1727" s="12">
        <v>46092</v>
      </c>
      <c r="L1727" s="12">
        <v>46092</v>
      </c>
      <c r="M1727">
        <v>40</v>
      </c>
      <c r="N1727">
        <v>-34815988</v>
      </c>
      <c r="O1727">
        <v>-34815988</v>
      </c>
      <c r="P1727">
        <v>0</v>
      </c>
      <c r="Q1727">
        <v>0</v>
      </c>
      <c r="R1727">
        <v>-34815988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 t="s">
        <v>47</v>
      </c>
      <c r="AA1727" t="s">
        <v>501</v>
      </c>
      <c r="AB1727" t="s">
        <v>51</v>
      </c>
      <c r="AC1727" t="s">
        <v>51</v>
      </c>
      <c r="AD1727" t="s">
        <v>51</v>
      </c>
      <c r="AE1727" t="s">
        <v>51</v>
      </c>
      <c r="AF1727" t="s">
        <v>493</v>
      </c>
    </row>
    <row r="1728" spans="1:32" ht="14.5" customHeight="1" x14ac:dyDescent="0.35">
      <c r="A1728" t="s">
        <v>774</v>
      </c>
      <c r="B1728" t="s">
        <v>1193</v>
      </c>
      <c r="C1728" t="s">
        <v>47</v>
      </c>
      <c r="D1728">
        <v>3001450</v>
      </c>
      <c r="E1728">
        <v>3001450</v>
      </c>
      <c r="F1728" t="s">
        <v>1467</v>
      </c>
      <c r="G1728" t="s">
        <v>1467</v>
      </c>
      <c r="H1728" t="s">
        <v>54</v>
      </c>
      <c r="I1728">
        <v>6955040</v>
      </c>
      <c r="J1728" s="12">
        <v>46092</v>
      </c>
      <c r="K1728" s="12">
        <v>46092</v>
      </c>
      <c r="L1728" s="12">
        <v>46092</v>
      </c>
      <c r="M1728">
        <v>40</v>
      </c>
      <c r="N1728">
        <v>-4559066</v>
      </c>
      <c r="O1728">
        <v>-4559066</v>
      </c>
      <c r="P1728">
        <v>0</v>
      </c>
      <c r="Q1728">
        <v>0</v>
      </c>
      <c r="R1728">
        <v>-4559066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 t="s">
        <v>47</v>
      </c>
      <c r="AA1728" t="s">
        <v>501</v>
      </c>
      <c r="AB1728" t="s">
        <v>51</v>
      </c>
      <c r="AC1728" t="s">
        <v>51</v>
      </c>
      <c r="AD1728" t="s">
        <v>51</v>
      </c>
      <c r="AE1728" t="s">
        <v>51</v>
      </c>
      <c r="AF1728" t="s">
        <v>1485</v>
      </c>
    </row>
    <row r="1729" spans="1:32" ht="14.5" customHeight="1" x14ac:dyDescent="0.35">
      <c r="A1729" t="s">
        <v>774</v>
      </c>
      <c r="B1729" t="s">
        <v>1193</v>
      </c>
      <c r="C1729" t="s">
        <v>47</v>
      </c>
      <c r="D1729">
        <v>3001450</v>
      </c>
      <c r="E1729">
        <v>3001450</v>
      </c>
      <c r="F1729" t="s">
        <v>1467</v>
      </c>
      <c r="G1729" t="s">
        <v>1467</v>
      </c>
      <c r="H1729" t="s">
        <v>54</v>
      </c>
      <c r="I1729">
        <v>6955041</v>
      </c>
      <c r="J1729" s="12">
        <v>46092</v>
      </c>
      <c r="K1729" s="12">
        <v>46092</v>
      </c>
      <c r="L1729" s="12">
        <v>46092</v>
      </c>
      <c r="M1729">
        <v>40</v>
      </c>
      <c r="N1729">
        <v>-1114995</v>
      </c>
      <c r="O1729">
        <v>-1114995</v>
      </c>
      <c r="P1729">
        <v>0</v>
      </c>
      <c r="Q1729">
        <v>0</v>
      </c>
      <c r="R1729">
        <v>-1114995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 t="s">
        <v>47</v>
      </c>
      <c r="AA1729" t="s">
        <v>501</v>
      </c>
      <c r="AB1729" t="s">
        <v>51</v>
      </c>
      <c r="AC1729" t="s">
        <v>51</v>
      </c>
      <c r="AD1729" t="s">
        <v>51</v>
      </c>
      <c r="AE1729" t="s">
        <v>51</v>
      </c>
      <c r="AF1729" t="s">
        <v>108</v>
      </c>
    </row>
    <row r="1730" spans="1:32" ht="14.5" customHeight="1" x14ac:dyDescent="0.35">
      <c r="A1730" t="s">
        <v>774</v>
      </c>
      <c r="B1730" t="s">
        <v>1193</v>
      </c>
      <c r="C1730" t="s">
        <v>47</v>
      </c>
      <c r="D1730">
        <v>3001450</v>
      </c>
      <c r="E1730">
        <v>3001563</v>
      </c>
      <c r="F1730" t="s">
        <v>1467</v>
      </c>
      <c r="G1730" t="s">
        <v>1467</v>
      </c>
      <c r="H1730" t="s">
        <v>54</v>
      </c>
      <c r="I1730">
        <v>6955114</v>
      </c>
      <c r="J1730" s="12">
        <v>46092</v>
      </c>
      <c r="K1730" s="12">
        <v>46092</v>
      </c>
      <c r="L1730" s="12">
        <v>46092</v>
      </c>
      <c r="M1730">
        <v>40</v>
      </c>
      <c r="N1730">
        <v>-31146087</v>
      </c>
      <c r="O1730">
        <v>-31146087</v>
      </c>
      <c r="P1730">
        <v>0</v>
      </c>
      <c r="Q1730">
        <v>0</v>
      </c>
      <c r="R1730">
        <v>-31146087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 t="s">
        <v>47</v>
      </c>
      <c r="AA1730" t="s">
        <v>501</v>
      </c>
      <c r="AB1730" t="s">
        <v>51</v>
      </c>
      <c r="AC1730" t="s">
        <v>51</v>
      </c>
      <c r="AD1730" t="s">
        <v>51</v>
      </c>
      <c r="AE1730" t="s">
        <v>51</v>
      </c>
      <c r="AF1730">
        <v>14867</v>
      </c>
    </row>
    <row r="1731" spans="1:32" ht="14.5" customHeight="1" x14ac:dyDescent="0.35">
      <c r="A1731" t="s">
        <v>774</v>
      </c>
      <c r="B1731" t="s">
        <v>1193</v>
      </c>
      <c r="C1731" t="s">
        <v>47</v>
      </c>
      <c r="D1731">
        <v>3001450</v>
      </c>
      <c r="E1731">
        <v>3001450</v>
      </c>
      <c r="F1731" t="s">
        <v>1467</v>
      </c>
      <c r="G1731" t="s">
        <v>1467</v>
      </c>
      <c r="H1731" t="s">
        <v>54</v>
      </c>
      <c r="I1731">
        <v>6955120</v>
      </c>
      <c r="J1731" s="12">
        <v>46092</v>
      </c>
      <c r="K1731" s="12">
        <v>46092</v>
      </c>
      <c r="L1731" s="12">
        <v>46092</v>
      </c>
      <c r="M1731">
        <v>40</v>
      </c>
      <c r="N1731">
        <v>-6829287</v>
      </c>
      <c r="O1731">
        <v>-6829287</v>
      </c>
      <c r="P1731">
        <v>0</v>
      </c>
      <c r="Q1731">
        <v>0</v>
      </c>
      <c r="R1731">
        <v>-6829287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 t="s">
        <v>47</v>
      </c>
      <c r="AA1731" t="s">
        <v>501</v>
      </c>
      <c r="AB1731" t="s">
        <v>51</v>
      </c>
      <c r="AC1731" t="s">
        <v>51</v>
      </c>
      <c r="AD1731" t="s">
        <v>51</v>
      </c>
      <c r="AE1731" t="s">
        <v>51</v>
      </c>
      <c r="AF1731" t="s">
        <v>1486</v>
      </c>
    </row>
    <row r="1732" spans="1:32" ht="14.5" customHeight="1" x14ac:dyDescent="0.35">
      <c r="A1732" t="s">
        <v>774</v>
      </c>
      <c r="B1732" t="s">
        <v>1193</v>
      </c>
      <c r="C1732" t="s">
        <v>47</v>
      </c>
      <c r="D1732">
        <v>3001450</v>
      </c>
      <c r="E1732">
        <v>3001450</v>
      </c>
      <c r="F1732" t="s">
        <v>1467</v>
      </c>
      <c r="G1732" t="s">
        <v>1467</v>
      </c>
      <c r="H1732" t="s">
        <v>54</v>
      </c>
      <c r="I1732">
        <v>6955121</v>
      </c>
      <c r="J1732" s="12">
        <v>46092</v>
      </c>
      <c r="K1732" s="12">
        <v>46092</v>
      </c>
      <c r="L1732" s="12">
        <v>46092</v>
      </c>
      <c r="M1732">
        <v>40</v>
      </c>
      <c r="N1732">
        <v>-439095</v>
      </c>
      <c r="O1732">
        <v>-439095</v>
      </c>
      <c r="P1732">
        <v>0</v>
      </c>
      <c r="Q1732">
        <v>0</v>
      </c>
      <c r="R1732">
        <v>-439095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 t="s">
        <v>47</v>
      </c>
      <c r="AA1732" t="s">
        <v>501</v>
      </c>
      <c r="AB1732" t="s">
        <v>51</v>
      </c>
      <c r="AC1732" t="s">
        <v>51</v>
      </c>
      <c r="AD1732" t="s">
        <v>51</v>
      </c>
      <c r="AE1732" t="s">
        <v>51</v>
      </c>
      <c r="AF1732" t="s">
        <v>1487</v>
      </c>
    </row>
    <row r="1733" spans="1:32" ht="14.5" customHeight="1" x14ac:dyDescent="0.35">
      <c r="A1733" t="s">
        <v>774</v>
      </c>
      <c r="B1733" t="s">
        <v>1193</v>
      </c>
      <c r="C1733" t="s">
        <v>47</v>
      </c>
      <c r="D1733">
        <v>3001450</v>
      </c>
      <c r="E1733">
        <v>3001450</v>
      </c>
      <c r="F1733" t="s">
        <v>1467</v>
      </c>
      <c r="G1733" t="s">
        <v>1467</v>
      </c>
      <c r="H1733" t="s">
        <v>54</v>
      </c>
      <c r="I1733">
        <v>6955122</v>
      </c>
      <c r="J1733" s="12">
        <v>46092</v>
      </c>
      <c r="K1733" s="12">
        <v>46092</v>
      </c>
      <c r="L1733" s="12">
        <v>46092</v>
      </c>
      <c r="M1733">
        <v>40</v>
      </c>
      <c r="N1733">
        <v>-1635000</v>
      </c>
      <c r="O1733">
        <v>-1635000</v>
      </c>
      <c r="P1733">
        <v>0</v>
      </c>
      <c r="Q1733">
        <v>0</v>
      </c>
      <c r="R1733">
        <v>-1635000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 t="s">
        <v>47</v>
      </c>
      <c r="AA1733" t="s">
        <v>501</v>
      </c>
      <c r="AB1733" t="s">
        <v>51</v>
      </c>
      <c r="AC1733" t="s">
        <v>51</v>
      </c>
      <c r="AD1733" t="s">
        <v>51</v>
      </c>
      <c r="AE1733" t="s">
        <v>51</v>
      </c>
      <c r="AF1733" t="s">
        <v>1486</v>
      </c>
    </row>
    <row r="1734" spans="1:32" ht="14.5" customHeight="1" x14ac:dyDescent="0.35">
      <c r="A1734" t="s">
        <v>774</v>
      </c>
      <c r="B1734" t="s">
        <v>1193</v>
      </c>
      <c r="C1734" t="s">
        <v>47</v>
      </c>
      <c r="D1734">
        <v>3001450</v>
      </c>
      <c r="E1734">
        <v>3001450</v>
      </c>
      <c r="F1734" t="s">
        <v>1467</v>
      </c>
      <c r="G1734" t="s">
        <v>1467</v>
      </c>
      <c r="H1734" t="s">
        <v>54</v>
      </c>
      <c r="I1734">
        <v>6955123</v>
      </c>
      <c r="J1734" s="12">
        <v>46092</v>
      </c>
      <c r="K1734" s="12">
        <v>46092</v>
      </c>
      <c r="L1734" s="12">
        <v>46092</v>
      </c>
      <c r="M1734">
        <v>40</v>
      </c>
      <c r="N1734">
        <v>-441000</v>
      </c>
      <c r="O1734">
        <v>-441000</v>
      </c>
      <c r="P1734">
        <v>0</v>
      </c>
      <c r="Q1734">
        <v>0</v>
      </c>
      <c r="R1734">
        <v>-441000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 t="s">
        <v>47</v>
      </c>
      <c r="AA1734" t="s">
        <v>501</v>
      </c>
      <c r="AB1734" t="s">
        <v>51</v>
      </c>
      <c r="AC1734" t="s">
        <v>51</v>
      </c>
      <c r="AD1734" t="s">
        <v>51</v>
      </c>
      <c r="AE1734" t="s">
        <v>51</v>
      </c>
      <c r="AF1734" t="s">
        <v>1488</v>
      </c>
    </row>
    <row r="1735" spans="1:32" ht="14.5" customHeight="1" x14ac:dyDescent="0.35">
      <c r="A1735" t="s">
        <v>774</v>
      </c>
      <c r="B1735" t="s">
        <v>1193</v>
      </c>
      <c r="C1735" t="s">
        <v>47</v>
      </c>
      <c r="D1735">
        <v>3001450</v>
      </c>
      <c r="E1735">
        <v>3001450</v>
      </c>
      <c r="F1735" t="s">
        <v>1467</v>
      </c>
      <c r="G1735" t="s">
        <v>1467</v>
      </c>
      <c r="H1735" t="s">
        <v>54</v>
      </c>
      <c r="I1735">
        <v>6955124</v>
      </c>
      <c r="J1735" s="12">
        <v>46092</v>
      </c>
      <c r="K1735" s="12">
        <v>46092</v>
      </c>
      <c r="L1735" s="12">
        <v>46092</v>
      </c>
      <c r="M1735">
        <v>40</v>
      </c>
      <c r="N1735">
        <v>-882000</v>
      </c>
      <c r="O1735">
        <v>-882000</v>
      </c>
      <c r="P1735">
        <v>0</v>
      </c>
      <c r="Q1735">
        <v>0</v>
      </c>
      <c r="R1735">
        <v>-882000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 t="s">
        <v>47</v>
      </c>
      <c r="AA1735" t="s">
        <v>501</v>
      </c>
      <c r="AB1735" t="s">
        <v>51</v>
      </c>
      <c r="AC1735" t="s">
        <v>51</v>
      </c>
      <c r="AD1735" t="s">
        <v>51</v>
      </c>
      <c r="AE1735" t="s">
        <v>51</v>
      </c>
      <c r="AF1735" t="s">
        <v>1489</v>
      </c>
    </row>
    <row r="1736" spans="1:32" ht="14.5" customHeight="1" x14ac:dyDescent="0.35">
      <c r="A1736" t="s">
        <v>774</v>
      </c>
      <c r="B1736" t="s">
        <v>1193</v>
      </c>
      <c r="C1736" t="s">
        <v>47</v>
      </c>
      <c r="D1736">
        <v>3001450</v>
      </c>
      <c r="E1736">
        <v>3001450</v>
      </c>
      <c r="F1736" t="s">
        <v>1467</v>
      </c>
      <c r="G1736" t="s">
        <v>1467</v>
      </c>
      <c r="H1736" t="s">
        <v>54</v>
      </c>
      <c r="I1736">
        <v>6955125</v>
      </c>
      <c r="J1736" s="12">
        <v>46092</v>
      </c>
      <c r="K1736" s="12">
        <v>46092</v>
      </c>
      <c r="L1736" s="12">
        <v>46092</v>
      </c>
      <c r="M1736">
        <v>40</v>
      </c>
      <c r="N1736">
        <v>-882000</v>
      </c>
      <c r="O1736">
        <v>-882000</v>
      </c>
      <c r="P1736">
        <v>0</v>
      </c>
      <c r="Q1736">
        <v>0</v>
      </c>
      <c r="R1736">
        <v>-882000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 t="s">
        <v>47</v>
      </c>
      <c r="AA1736" t="s">
        <v>501</v>
      </c>
      <c r="AB1736" t="s">
        <v>51</v>
      </c>
      <c r="AC1736" t="s">
        <v>51</v>
      </c>
      <c r="AD1736" t="s">
        <v>51</v>
      </c>
      <c r="AE1736" t="s">
        <v>51</v>
      </c>
      <c r="AF1736" t="s">
        <v>1490</v>
      </c>
    </row>
    <row r="1737" spans="1:32" ht="14.5" customHeight="1" x14ac:dyDescent="0.35">
      <c r="A1737" t="s">
        <v>774</v>
      </c>
      <c r="B1737" t="s">
        <v>1193</v>
      </c>
      <c r="C1737" t="s">
        <v>47</v>
      </c>
      <c r="D1737">
        <v>3001450</v>
      </c>
      <c r="E1737">
        <v>3001450</v>
      </c>
      <c r="F1737" t="s">
        <v>1467</v>
      </c>
      <c r="G1737" t="s">
        <v>1467</v>
      </c>
      <c r="H1737" t="s">
        <v>54</v>
      </c>
      <c r="I1737">
        <v>6955126</v>
      </c>
      <c r="J1737" s="12">
        <v>46092</v>
      </c>
      <c r="K1737" s="12">
        <v>46092</v>
      </c>
      <c r="L1737" s="12">
        <v>46092</v>
      </c>
      <c r="M1737">
        <v>40</v>
      </c>
      <c r="N1737">
        <v>-15532500</v>
      </c>
      <c r="O1737">
        <v>-15532500</v>
      </c>
      <c r="P1737">
        <v>0</v>
      </c>
      <c r="Q1737">
        <v>0</v>
      </c>
      <c r="R1737">
        <v>-15532500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 t="s">
        <v>47</v>
      </c>
      <c r="AA1737" t="s">
        <v>501</v>
      </c>
      <c r="AB1737" t="s">
        <v>51</v>
      </c>
      <c r="AC1737" t="s">
        <v>51</v>
      </c>
      <c r="AD1737" t="s">
        <v>51</v>
      </c>
      <c r="AE1737" t="s">
        <v>51</v>
      </c>
      <c r="AF1737" t="s">
        <v>1491</v>
      </c>
    </row>
    <row r="1738" spans="1:32" ht="14.5" customHeight="1" x14ac:dyDescent="0.35">
      <c r="A1738" t="s">
        <v>774</v>
      </c>
      <c r="B1738" t="s">
        <v>1193</v>
      </c>
      <c r="C1738" t="s">
        <v>47</v>
      </c>
      <c r="D1738">
        <v>3001450</v>
      </c>
      <c r="E1738">
        <v>3001450</v>
      </c>
      <c r="F1738" t="s">
        <v>1467</v>
      </c>
      <c r="G1738" t="s">
        <v>1467</v>
      </c>
      <c r="H1738" t="s">
        <v>54</v>
      </c>
      <c r="I1738">
        <v>6955127</v>
      </c>
      <c r="J1738" s="12">
        <v>46092</v>
      </c>
      <c r="K1738" s="12">
        <v>46092</v>
      </c>
      <c r="L1738" s="12">
        <v>46092</v>
      </c>
      <c r="M1738">
        <v>40</v>
      </c>
      <c r="N1738">
        <v>-436000</v>
      </c>
      <c r="O1738">
        <v>-436000</v>
      </c>
      <c r="P1738">
        <v>0</v>
      </c>
      <c r="Q1738">
        <v>0</v>
      </c>
      <c r="R1738">
        <v>-436000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 t="s">
        <v>47</v>
      </c>
      <c r="AA1738" t="s">
        <v>501</v>
      </c>
      <c r="AB1738" t="s">
        <v>51</v>
      </c>
      <c r="AC1738" t="s">
        <v>51</v>
      </c>
      <c r="AD1738" t="s">
        <v>51</v>
      </c>
      <c r="AE1738" t="s">
        <v>51</v>
      </c>
      <c r="AF1738" t="s">
        <v>1484</v>
      </c>
    </row>
    <row r="1739" spans="1:32" ht="14.5" customHeight="1" x14ac:dyDescent="0.35">
      <c r="A1739" t="s">
        <v>774</v>
      </c>
      <c r="B1739" t="s">
        <v>1193</v>
      </c>
      <c r="C1739" t="s">
        <v>47</v>
      </c>
      <c r="D1739">
        <v>3001450</v>
      </c>
      <c r="E1739">
        <v>3001450</v>
      </c>
      <c r="F1739" t="s">
        <v>1467</v>
      </c>
      <c r="G1739" t="s">
        <v>1467</v>
      </c>
      <c r="H1739" t="s">
        <v>54</v>
      </c>
      <c r="I1739">
        <v>6955128</v>
      </c>
      <c r="J1739" s="12">
        <v>46092</v>
      </c>
      <c r="K1739" s="12">
        <v>46092</v>
      </c>
      <c r="L1739" s="12">
        <v>46092</v>
      </c>
      <c r="M1739">
        <v>40</v>
      </c>
      <c r="N1739">
        <v>-17328474</v>
      </c>
      <c r="O1739">
        <v>-17328474</v>
      </c>
      <c r="P1739">
        <v>0</v>
      </c>
      <c r="Q1739">
        <v>0</v>
      </c>
      <c r="R1739">
        <v>-17328474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 t="s">
        <v>47</v>
      </c>
      <c r="AA1739" t="s">
        <v>501</v>
      </c>
      <c r="AB1739" t="s">
        <v>51</v>
      </c>
      <c r="AC1739" t="s">
        <v>51</v>
      </c>
      <c r="AD1739" t="s">
        <v>51</v>
      </c>
      <c r="AE1739" t="s">
        <v>51</v>
      </c>
      <c r="AF1739" t="s">
        <v>1492</v>
      </c>
    </row>
    <row r="1740" spans="1:32" ht="14.5" customHeight="1" x14ac:dyDescent="0.35">
      <c r="A1740" t="s">
        <v>774</v>
      </c>
      <c r="B1740" t="s">
        <v>1193</v>
      </c>
      <c r="C1740" t="s">
        <v>47</v>
      </c>
      <c r="D1740">
        <v>3001450</v>
      </c>
      <c r="E1740">
        <v>3001450</v>
      </c>
      <c r="F1740" t="s">
        <v>1467</v>
      </c>
      <c r="G1740" t="s">
        <v>1467</v>
      </c>
      <c r="H1740" t="s">
        <v>54</v>
      </c>
      <c r="I1740">
        <v>6955632</v>
      </c>
      <c r="J1740" s="12">
        <v>46095</v>
      </c>
      <c r="K1740" s="12">
        <v>46095</v>
      </c>
      <c r="L1740" s="12">
        <v>46095</v>
      </c>
      <c r="M1740">
        <v>37</v>
      </c>
      <c r="N1740">
        <v>-328307</v>
      </c>
      <c r="O1740">
        <v>-328307</v>
      </c>
      <c r="P1740">
        <v>0</v>
      </c>
      <c r="Q1740">
        <v>0</v>
      </c>
      <c r="R1740">
        <v>-328307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 t="s">
        <v>47</v>
      </c>
      <c r="AA1740" t="s">
        <v>501</v>
      </c>
      <c r="AB1740" t="s">
        <v>51</v>
      </c>
      <c r="AC1740" t="s">
        <v>51</v>
      </c>
      <c r="AD1740" t="s">
        <v>51</v>
      </c>
      <c r="AE1740" t="s">
        <v>51</v>
      </c>
      <c r="AF1740" t="s">
        <v>1493</v>
      </c>
    </row>
    <row r="1741" spans="1:32" ht="14.5" customHeight="1" x14ac:dyDescent="0.35">
      <c r="A1741" t="s">
        <v>774</v>
      </c>
      <c r="B1741" t="s">
        <v>1193</v>
      </c>
      <c r="C1741" t="s">
        <v>47</v>
      </c>
      <c r="D1741">
        <v>3001450</v>
      </c>
      <c r="E1741">
        <v>3001563</v>
      </c>
      <c r="F1741" t="s">
        <v>1467</v>
      </c>
      <c r="G1741" t="s">
        <v>1467</v>
      </c>
      <c r="H1741" t="s">
        <v>54</v>
      </c>
      <c r="I1741">
        <v>6955815</v>
      </c>
      <c r="J1741" s="12">
        <v>46095</v>
      </c>
      <c r="K1741" s="12">
        <v>46095</v>
      </c>
      <c r="L1741" s="12">
        <v>46095</v>
      </c>
      <c r="M1741">
        <v>37</v>
      </c>
      <c r="N1741">
        <v>-30080908</v>
      </c>
      <c r="O1741">
        <v>-30080908</v>
      </c>
      <c r="P1741">
        <v>0</v>
      </c>
      <c r="Q1741">
        <v>0</v>
      </c>
      <c r="R1741">
        <v>-30080908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 t="s">
        <v>47</v>
      </c>
      <c r="AA1741" t="s">
        <v>501</v>
      </c>
      <c r="AB1741" t="s">
        <v>51</v>
      </c>
      <c r="AC1741" t="s">
        <v>51</v>
      </c>
      <c r="AD1741" t="s">
        <v>51</v>
      </c>
      <c r="AE1741" t="s">
        <v>51</v>
      </c>
      <c r="AF1741" t="s">
        <v>1494</v>
      </c>
    </row>
    <row r="1742" spans="1:32" ht="14.5" customHeight="1" x14ac:dyDescent="0.35">
      <c r="A1742" t="s">
        <v>774</v>
      </c>
      <c r="B1742" t="s">
        <v>1193</v>
      </c>
      <c r="C1742" t="s">
        <v>47</v>
      </c>
      <c r="D1742">
        <v>3001450</v>
      </c>
      <c r="E1742">
        <v>3001450</v>
      </c>
      <c r="F1742" t="s">
        <v>1467</v>
      </c>
      <c r="G1742" t="s">
        <v>1467</v>
      </c>
      <c r="H1742" t="s">
        <v>54</v>
      </c>
      <c r="I1742">
        <v>6955842</v>
      </c>
      <c r="J1742" s="12">
        <v>46095</v>
      </c>
      <c r="K1742" s="12">
        <v>46095</v>
      </c>
      <c r="L1742" s="12">
        <v>46095</v>
      </c>
      <c r="M1742">
        <v>37</v>
      </c>
      <c r="N1742">
        <v>-794200</v>
      </c>
      <c r="O1742">
        <v>-794200</v>
      </c>
      <c r="P1742">
        <v>0</v>
      </c>
      <c r="Q1742">
        <v>0</v>
      </c>
      <c r="R1742">
        <v>-794200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 t="s">
        <v>47</v>
      </c>
      <c r="AA1742" t="s">
        <v>501</v>
      </c>
      <c r="AB1742" t="s">
        <v>51</v>
      </c>
      <c r="AC1742" t="s">
        <v>51</v>
      </c>
      <c r="AD1742" t="s">
        <v>51</v>
      </c>
      <c r="AE1742" t="s">
        <v>51</v>
      </c>
      <c r="AF1742" t="s">
        <v>1495</v>
      </c>
    </row>
    <row r="1743" spans="1:32" ht="14.5" customHeight="1" x14ac:dyDescent="0.35">
      <c r="A1743" t="s">
        <v>774</v>
      </c>
      <c r="B1743" t="s">
        <v>1193</v>
      </c>
      <c r="C1743" t="s">
        <v>47</v>
      </c>
      <c r="D1743">
        <v>3001450</v>
      </c>
      <c r="E1743">
        <v>3001450</v>
      </c>
      <c r="F1743" t="s">
        <v>1467</v>
      </c>
      <c r="G1743" t="s">
        <v>1467</v>
      </c>
      <c r="H1743" t="s">
        <v>54</v>
      </c>
      <c r="I1743">
        <v>6955843</v>
      </c>
      <c r="J1743" s="12">
        <v>46095</v>
      </c>
      <c r="K1743" s="12">
        <v>46095</v>
      </c>
      <c r="L1743" s="12">
        <v>46095</v>
      </c>
      <c r="M1743">
        <v>37</v>
      </c>
      <c r="N1743">
        <v>-89921</v>
      </c>
      <c r="O1743">
        <v>-89921</v>
      </c>
      <c r="P1743">
        <v>0</v>
      </c>
      <c r="Q1743">
        <v>0</v>
      </c>
      <c r="R1743">
        <v>-89921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 t="s">
        <v>47</v>
      </c>
      <c r="AA1743" t="s">
        <v>501</v>
      </c>
      <c r="AB1743" t="s">
        <v>51</v>
      </c>
      <c r="AC1743" t="s">
        <v>51</v>
      </c>
      <c r="AD1743" t="s">
        <v>51</v>
      </c>
      <c r="AE1743" t="s">
        <v>51</v>
      </c>
      <c r="AF1743" t="s">
        <v>1496</v>
      </c>
    </row>
    <row r="1744" spans="1:32" ht="14.5" customHeight="1" x14ac:dyDescent="0.35">
      <c r="A1744" t="s">
        <v>774</v>
      </c>
      <c r="B1744" t="s">
        <v>1193</v>
      </c>
      <c r="C1744" t="s">
        <v>47</v>
      </c>
      <c r="D1744">
        <v>3001450</v>
      </c>
      <c r="E1744">
        <v>3001450</v>
      </c>
      <c r="F1744" t="s">
        <v>1467</v>
      </c>
      <c r="G1744" t="s">
        <v>1467</v>
      </c>
      <c r="H1744" t="s">
        <v>54</v>
      </c>
      <c r="I1744">
        <v>6955844</v>
      </c>
      <c r="J1744" s="12">
        <v>46095</v>
      </c>
      <c r="K1744" s="12">
        <v>46095</v>
      </c>
      <c r="L1744" s="12">
        <v>46095</v>
      </c>
      <c r="M1744">
        <v>37</v>
      </c>
      <c r="N1744">
        <v>-11381899</v>
      </c>
      <c r="O1744">
        <v>-11381899</v>
      </c>
      <c r="P1744">
        <v>0</v>
      </c>
      <c r="Q1744">
        <v>0</v>
      </c>
      <c r="R1744">
        <v>-11381899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 t="s">
        <v>47</v>
      </c>
      <c r="AA1744" t="s">
        <v>501</v>
      </c>
      <c r="AB1744" t="s">
        <v>51</v>
      </c>
      <c r="AC1744" t="s">
        <v>51</v>
      </c>
      <c r="AD1744" t="s">
        <v>51</v>
      </c>
      <c r="AE1744" t="s">
        <v>51</v>
      </c>
      <c r="AF1744" t="s">
        <v>1478</v>
      </c>
    </row>
    <row r="1745" spans="1:32" ht="14.5" customHeight="1" x14ac:dyDescent="0.35">
      <c r="A1745" t="s">
        <v>774</v>
      </c>
      <c r="B1745" t="s">
        <v>1193</v>
      </c>
      <c r="C1745" t="s">
        <v>47</v>
      </c>
      <c r="D1745">
        <v>3001450</v>
      </c>
      <c r="E1745">
        <v>3001450</v>
      </c>
      <c r="F1745" t="s">
        <v>1467</v>
      </c>
      <c r="G1745" t="s">
        <v>1467</v>
      </c>
      <c r="H1745" t="s">
        <v>54</v>
      </c>
      <c r="I1745">
        <v>6955845</v>
      </c>
      <c r="J1745" s="12">
        <v>46095</v>
      </c>
      <c r="K1745" s="12">
        <v>46095</v>
      </c>
      <c r="L1745" s="12">
        <v>46095</v>
      </c>
      <c r="M1745">
        <v>37</v>
      </c>
      <c r="N1745">
        <v>-786789</v>
      </c>
      <c r="O1745">
        <v>-786789</v>
      </c>
      <c r="P1745">
        <v>0</v>
      </c>
      <c r="Q1745">
        <v>0</v>
      </c>
      <c r="R1745">
        <v>-786789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 t="s">
        <v>47</v>
      </c>
      <c r="AA1745" t="s">
        <v>501</v>
      </c>
      <c r="AB1745" t="s">
        <v>51</v>
      </c>
      <c r="AC1745" t="s">
        <v>51</v>
      </c>
      <c r="AD1745" t="s">
        <v>51</v>
      </c>
      <c r="AE1745" t="s">
        <v>51</v>
      </c>
      <c r="AF1745" t="s">
        <v>1477</v>
      </c>
    </row>
    <row r="1746" spans="1:32" ht="14.5" customHeight="1" x14ac:dyDescent="0.35">
      <c r="A1746" t="s">
        <v>774</v>
      </c>
      <c r="B1746" t="s">
        <v>1193</v>
      </c>
      <c r="C1746" t="s">
        <v>47</v>
      </c>
      <c r="D1746">
        <v>3001450</v>
      </c>
      <c r="E1746">
        <v>3001450</v>
      </c>
      <c r="F1746" t="s">
        <v>1467</v>
      </c>
      <c r="G1746" t="s">
        <v>1467</v>
      </c>
      <c r="H1746" t="s">
        <v>54</v>
      </c>
      <c r="I1746">
        <v>6955846</v>
      </c>
      <c r="J1746" s="12">
        <v>46095</v>
      </c>
      <c r="K1746" s="12">
        <v>46095</v>
      </c>
      <c r="L1746" s="12">
        <v>46095</v>
      </c>
      <c r="M1746">
        <v>37</v>
      </c>
      <c r="N1746">
        <v>-6218513</v>
      </c>
      <c r="O1746">
        <v>-6218513</v>
      </c>
      <c r="P1746">
        <v>0</v>
      </c>
      <c r="Q1746">
        <v>0</v>
      </c>
      <c r="R1746">
        <v>-6218513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 t="s">
        <v>47</v>
      </c>
      <c r="AA1746" t="s">
        <v>501</v>
      </c>
      <c r="AB1746" t="s">
        <v>51</v>
      </c>
      <c r="AC1746" t="s">
        <v>51</v>
      </c>
      <c r="AD1746" t="s">
        <v>51</v>
      </c>
      <c r="AE1746" t="s">
        <v>51</v>
      </c>
      <c r="AF1746" t="s">
        <v>1497</v>
      </c>
    </row>
    <row r="1747" spans="1:32" ht="14.5" customHeight="1" x14ac:dyDescent="0.35">
      <c r="A1747" t="s">
        <v>774</v>
      </c>
      <c r="B1747" t="s">
        <v>1193</v>
      </c>
      <c r="C1747" t="s">
        <v>47</v>
      </c>
      <c r="D1747">
        <v>3001450</v>
      </c>
      <c r="E1747">
        <v>3001450</v>
      </c>
      <c r="F1747" t="s">
        <v>1467</v>
      </c>
      <c r="G1747" t="s">
        <v>1467</v>
      </c>
      <c r="H1747" t="s">
        <v>54</v>
      </c>
      <c r="I1747">
        <v>6955847</v>
      </c>
      <c r="J1747" s="12">
        <v>46095</v>
      </c>
      <c r="K1747" s="12">
        <v>46095</v>
      </c>
      <c r="L1747" s="12">
        <v>46095</v>
      </c>
      <c r="M1747">
        <v>37</v>
      </c>
      <c r="N1747">
        <v>-1656693</v>
      </c>
      <c r="O1747">
        <v>-1656693</v>
      </c>
      <c r="P1747">
        <v>0</v>
      </c>
      <c r="Q1747">
        <v>0</v>
      </c>
      <c r="R1747">
        <v>-1656693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 t="s">
        <v>47</v>
      </c>
      <c r="AA1747" t="s">
        <v>501</v>
      </c>
      <c r="AB1747" t="s">
        <v>51</v>
      </c>
      <c r="AC1747" t="s">
        <v>51</v>
      </c>
      <c r="AD1747" t="s">
        <v>51</v>
      </c>
      <c r="AE1747" t="s">
        <v>51</v>
      </c>
      <c r="AF1747" t="s">
        <v>1498</v>
      </c>
    </row>
    <row r="1748" spans="1:32" ht="14.5" customHeight="1" x14ac:dyDescent="0.35">
      <c r="A1748" t="s">
        <v>774</v>
      </c>
      <c r="B1748" t="s">
        <v>1193</v>
      </c>
      <c r="C1748" t="s">
        <v>47</v>
      </c>
      <c r="D1748">
        <v>3001450</v>
      </c>
      <c r="E1748">
        <v>3001450</v>
      </c>
      <c r="F1748" t="s">
        <v>1467</v>
      </c>
      <c r="G1748" t="s">
        <v>1467</v>
      </c>
      <c r="H1748" t="s">
        <v>54</v>
      </c>
      <c r="I1748">
        <v>6955848</v>
      </c>
      <c r="J1748" s="12">
        <v>46095</v>
      </c>
      <c r="K1748" s="12">
        <v>46095</v>
      </c>
      <c r="L1748" s="12">
        <v>46095</v>
      </c>
      <c r="M1748">
        <v>37</v>
      </c>
      <c r="N1748">
        <v>-439881</v>
      </c>
      <c r="O1748">
        <v>-439881</v>
      </c>
      <c r="P1748">
        <v>0</v>
      </c>
      <c r="Q1748">
        <v>0</v>
      </c>
      <c r="R1748">
        <v>-439881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 t="s">
        <v>47</v>
      </c>
      <c r="AA1748" t="s">
        <v>501</v>
      </c>
      <c r="AB1748" t="s">
        <v>51</v>
      </c>
      <c r="AC1748" t="s">
        <v>51</v>
      </c>
      <c r="AD1748" t="s">
        <v>51</v>
      </c>
      <c r="AE1748" t="s">
        <v>51</v>
      </c>
      <c r="AF1748" t="s">
        <v>1469</v>
      </c>
    </row>
    <row r="1749" spans="1:32" ht="14.5" customHeight="1" x14ac:dyDescent="0.35">
      <c r="A1749" t="s">
        <v>774</v>
      </c>
      <c r="B1749" t="s">
        <v>1193</v>
      </c>
      <c r="C1749" t="s">
        <v>47</v>
      </c>
      <c r="D1749">
        <v>3001450</v>
      </c>
      <c r="E1749">
        <v>3001450</v>
      </c>
      <c r="F1749" t="s">
        <v>1467</v>
      </c>
      <c r="G1749" t="s">
        <v>1467</v>
      </c>
      <c r="H1749" t="s">
        <v>54</v>
      </c>
      <c r="I1749">
        <v>6955849</v>
      </c>
      <c r="J1749" s="12">
        <v>46095</v>
      </c>
      <c r="K1749" s="12">
        <v>46095</v>
      </c>
      <c r="L1749" s="12">
        <v>46095</v>
      </c>
      <c r="M1749">
        <v>37</v>
      </c>
      <c r="N1749">
        <v>-851358</v>
      </c>
      <c r="O1749">
        <v>-851358</v>
      </c>
      <c r="P1749">
        <v>0</v>
      </c>
      <c r="Q1749">
        <v>0</v>
      </c>
      <c r="R1749">
        <v>-851358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 t="s">
        <v>47</v>
      </c>
      <c r="AA1749" t="s">
        <v>501</v>
      </c>
      <c r="AB1749" t="s">
        <v>51</v>
      </c>
      <c r="AC1749" t="s">
        <v>51</v>
      </c>
      <c r="AD1749" t="s">
        <v>51</v>
      </c>
      <c r="AE1749" t="s">
        <v>51</v>
      </c>
      <c r="AF1749" t="s">
        <v>1499</v>
      </c>
    </row>
    <row r="1750" spans="1:32" ht="14.5" customHeight="1" x14ac:dyDescent="0.35">
      <c r="A1750" t="s">
        <v>774</v>
      </c>
      <c r="B1750" t="s">
        <v>1193</v>
      </c>
      <c r="C1750" t="s">
        <v>47</v>
      </c>
      <c r="D1750">
        <v>3001450</v>
      </c>
      <c r="E1750">
        <v>3001450</v>
      </c>
      <c r="F1750" t="s">
        <v>1467</v>
      </c>
      <c r="G1750" t="s">
        <v>1467</v>
      </c>
      <c r="H1750" t="s">
        <v>54</v>
      </c>
      <c r="I1750">
        <v>6955850</v>
      </c>
      <c r="J1750" s="12">
        <v>46095</v>
      </c>
      <c r="K1750" s="12">
        <v>46095</v>
      </c>
      <c r="L1750" s="12">
        <v>46095</v>
      </c>
      <c r="M1750">
        <v>37</v>
      </c>
      <c r="N1750">
        <v>-425785</v>
      </c>
      <c r="O1750">
        <v>-425785</v>
      </c>
      <c r="P1750">
        <v>0</v>
      </c>
      <c r="Q1750">
        <v>0</v>
      </c>
      <c r="R1750">
        <v>-425785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 t="s">
        <v>47</v>
      </c>
      <c r="AA1750" t="s">
        <v>501</v>
      </c>
      <c r="AB1750" t="s">
        <v>51</v>
      </c>
      <c r="AC1750" t="s">
        <v>51</v>
      </c>
      <c r="AD1750" t="s">
        <v>51</v>
      </c>
      <c r="AE1750" t="s">
        <v>51</v>
      </c>
      <c r="AF1750" t="s">
        <v>1500</v>
      </c>
    </row>
    <row r="1751" spans="1:32" ht="14.5" customHeight="1" x14ac:dyDescent="0.35">
      <c r="A1751" t="s">
        <v>774</v>
      </c>
      <c r="B1751" t="s">
        <v>1193</v>
      </c>
      <c r="C1751" t="s">
        <v>47</v>
      </c>
      <c r="D1751">
        <v>3001450</v>
      </c>
      <c r="E1751">
        <v>3001450</v>
      </c>
      <c r="F1751" t="s">
        <v>1467</v>
      </c>
      <c r="G1751" t="s">
        <v>1467</v>
      </c>
      <c r="H1751" t="s">
        <v>54</v>
      </c>
      <c r="I1751">
        <v>6955851</v>
      </c>
      <c r="J1751" s="12">
        <v>46095</v>
      </c>
      <c r="K1751" s="12">
        <v>46095</v>
      </c>
      <c r="L1751" s="12">
        <v>46095</v>
      </c>
      <c r="M1751">
        <v>37</v>
      </c>
      <c r="N1751">
        <v>-493879</v>
      </c>
      <c r="O1751">
        <v>-493879</v>
      </c>
      <c r="P1751">
        <v>0</v>
      </c>
      <c r="Q1751">
        <v>0</v>
      </c>
      <c r="R1751">
        <v>-493879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 t="s">
        <v>47</v>
      </c>
      <c r="AA1751" t="s">
        <v>501</v>
      </c>
      <c r="AB1751" t="s">
        <v>51</v>
      </c>
      <c r="AC1751" t="s">
        <v>51</v>
      </c>
      <c r="AD1751" t="s">
        <v>51</v>
      </c>
      <c r="AE1751" t="s">
        <v>51</v>
      </c>
      <c r="AF1751" t="s">
        <v>1474</v>
      </c>
    </row>
    <row r="1752" spans="1:32" ht="14.5" customHeight="1" x14ac:dyDescent="0.35">
      <c r="A1752" t="s">
        <v>774</v>
      </c>
      <c r="B1752" t="s">
        <v>1193</v>
      </c>
      <c r="C1752" t="s">
        <v>47</v>
      </c>
      <c r="D1752">
        <v>3001450</v>
      </c>
      <c r="E1752">
        <v>3001450</v>
      </c>
      <c r="F1752" t="s">
        <v>1467</v>
      </c>
      <c r="G1752" t="s">
        <v>1467</v>
      </c>
      <c r="H1752" t="s">
        <v>54</v>
      </c>
      <c r="I1752">
        <v>6955852</v>
      </c>
      <c r="J1752" s="12">
        <v>46095</v>
      </c>
      <c r="K1752" s="12">
        <v>46095</v>
      </c>
      <c r="L1752" s="12">
        <v>46095</v>
      </c>
      <c r="M1752">
        <v>37</v>
      </c>
      <c r="N1752">
        <v>-368789</v>
      </c>
      <c r="O1752">
        <v>-368789</v>
      </c>
      <c r="P1752">
        <v>0</v>
      </c>
      <c r="Q1752">
        <v>0</v>
      </c>
      <c r="R1752">
        <v>-368789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 t="s">
        <v>47</v>
      </c>
      <c r="AA1752" t="s">
        <v>501</v>
      </c>
      <c r="AB1752" t="s">
        <v>51</v>
      </c>
      <c r="AC1752" t="s">
        <v>51</v>
      </c>
      <c r="AD1752" t="s">
        <v>51</v>
      </c>
      <c r="AE1752" t="s">
        <v>51</v>
      </c>
      <c r="AF1752" t="s">
        <v>1501</v>
      </c>
    </row>
    <row r="1753" spans="1:32" ht="14.5" customHeight="1" x14ac:dyDescent="0.35">
      <c r="A1753" t="s">
        <v>774</v>
      </c>
      <c r="B1753" t="s">
        <v>1193</v>
      </c>
      <c r="C1753" t="s">
        <v>47</v>
      </c>
      <c r="D1753">
        <v>3001450</v>
      </c>
      <c r="E1753">
        <v>3001450</v>
      </c>
      <c r="F1753" t="s">
        <v>1467</v>
      </c>
      <c r="G1753" t="s">
        <v>1467</v>
      </c>
      <c r="H1753" t="s">
        <v>54</v>
      </c>
      <c r="I1753">
        <v>6955853</v>
      </c>
      <c r="J1753" s="12">
        <v>46095</v>
      </c>
      <c r="K1753" s="12">
        <v>46095</v>
      </c>
      <c r="L1753" s="12">
        <v>46095</v>
      </c>
      <c r="M1753">
        <v>37</v>
      </c>
      <c r="N1753">
        <v>-562938</v>
      </c>
      <c r="O1753">
        <v>-562938</v>
      </c>
      <c r="P1753">
        <v>0</v>
      </c>
      <c r="Q1753">
        <v>0</v>
      </c>
      <c r="R1753">
        <v>-562938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 t="s">
        <v>47</v>
      </c>
      <c r="AA1753" t="s">
        <v>501</v>
      </c>
      <c r="AB1753" t="s">
        <v>51</v>
      </c>
      <c r="AC1753" t="s">
        <v>51</v>
      </c>
      <c r="AD1753" t="s">
        <v>51</v>
      </c>
      <c r="AE1753" t="s">
        <v>51</v>
      </c>
      <c r="AF1753" t="s">
        <v>1502</v>
      </c>
    </row>
    <row r="1754" spans="1:32" ht="14.5" customHeight="1" x14ac:dyDescent="0.35">
      <c r="A1754" t="s">
        <v>774</v>
      </c>
      <c r="B1754" t="s">
        <v>1193</v>
      </c>
      <c r="C1754" t="s">
        <v>47</v>
      </c>
      <c r="D1754">
        <v>3001450</v>
      </c>
      <c r="E1754">
        <v>3001450</v>
      </c>
      <c r="F1754" t="s">
        <v>1467</v>
      </c>
      <c r="G1754" t="s">
        <v>1467</v>
      </c>
      <c r="H1754" t="s">
        <v>54</v>
      </c>
      <c r="I1754">
        <v>6955854</v>
      </c>
      <c r="J1754" s="12">
        <v>46095</v>
      </c>
      <c r="K1754" s="12">
        <v>46095</v>
      </c>
      <c r="L1754" s="12">
        <v>46095</v>
      </c>
      <c r="M1754">
        <v>37</v>
      </c>
      <c r="N1754">
        <v>-127596</v>
      </c>
      <c r="O1754">
        <v>-127596</v>
      </c>
      <c r="P1754">
        <v>0</v>
      </c>
      <c r="Q1754">
        <v>0</v>
      </c>
      <c r="R1754">
        <v>-127596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 t="s">
        <v>47</v>
      </c>
      <c r="AA1754" t="s">
        <v>501</v>
      </c>
      <c r="AB1754" t="s">
        <v>51</v>
      </c>
      <c r="AC1754" t="s">
        <v>51</v>
      </c>
      <c r="AD1754" t="s">
        <v>51</v>
      </c>
      <c r="AE1754" t="s">
        <v>51</v>
      </c>
      <c r="AF1754" t="s">
        <v>1493</v>
      </c>
    </row>
    <row r="1755" spans="1:32" ht="14.5" customHeight="1" x14ac:dyDescent="0.35">
      <c r="A1755" t="s">
        <v>774</v>
      </c>
      <c r="B1755" t="s">
        <v>1193</v>
      </c>
      <c r="C1755" t="s">
        <v>47</v>
      </c>
      <c r="D1755">
        <v>3001450</v>
      </c>
      <c r="E1755">
        <v>3001450</v>
      </c>
      <c r="F1755" t="s">
        <v>1467</v>
      </c>
      <c r="G1755" t="s">
        <v>1467</v>
      </c>
      <c r="H1755" t="s">
        <v>54</v>
      </c>
      <c r="I1755">
        <v>6955855</v>
      </c>
      <c r="J1755" s="12">
        <v>46095</v>
      </c>
      <c r="K1755" s="12">
        <v>46095</v>
      </c>
      <c r="L1755" s="12">
        <v>46095</v>
      </c>
      <c r="M1755">
        <v>37</v>
      </c>
      <c r="N1755">
        <v>-1121356</v>
      </c>
      <c r="O1755">
        <v>-1121356</v>
      </c>
      <c r="P1755">
        <v>0</v>
      </c>
      <c r="Q1755">
        <v>0</v>
      </c>
      <c r="R1755">
        <v>-1121356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 t="s">
        <v>47</v>
      </c>
      <c r="AA1755" t="s">
        <v>501</v>
      </c>
      <c r="AB1755" t="s">
        <v>51</v>
      </c>
      <c r="AC1755" t="s">
        <v>51</v>
      </c>
      <c r="AD1755" t="s">
        <v>51</v>
      </c>
      <c r="AE1755" t="s">
        <v>51</v>
      </c>
      <c r="AF1755" t="s">
        <v>1503</v>
      </c>
    </row>
    <row r="1756" spans="1:32" ht="14.5" customHeight="1" x14ac:dyDescent="0.35">
      <c r="A1756" t="s">
        <v>774</v>
      </c>
      <c r="B1756" t="s">
        <v>1193</v>
      </c>
      <c r="C1756" t="s">
        <v>47</v>
      </c>
      <c r="D1756">
        <v>3001450</v>
      </c>
      <c r="E1756">
        <v>3001450</v>
      </c>
      <c r="F1756" t="s">
        <v>1467</v>
      </c>
      <c r="G1756" t="s">
        <v>1467</v>
      </c>
      <c r="H1756" t="s">
        <v>54</v>
      </c>
      <c r="I1756">
        <v>6955856</v>
      </c>
      <c r="J1756" s="12">
        <v>46095</v>
      </c>
      <c r="K1756" s="12">
        <v>46095</v>
      </c>
      <c r="L1756" s="12">
        <v>46095</v>
      </c>
      <c r="M1756">
        <v>37</v>
      </c>
      <c r="N1756">
        <v>-533616</v>
      </c>
      <c r="O1756">
        <v>-533616</v>
      </c>
      <c r="P1756">
        <v>0</v>
      </c>
      <c r="Q1756">
        <v>0</v>
      </c>
      <c r="R1756">
        <v>-533616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 t="s">
        <v>47</v>
      </c>
      <c r="AA1756" t="s">
        <v>501</v>
      </c>
      <c r="AB1756" t="s">
        <v>51</v>
      </c>
      <c r="AC1756" t="s">
        <v>51</v>
      </c>
      <c r="AD1756" t="s">
        <v>51</v>
      </c>
      <c r="AE1756" t="s">
        <v>51</v>
      </c>
      <c r="AF1756" t="s">
        <v>1504</v>
      </c>
    </row>
    <row r="1757" spans="1:32" ht="14.5" customHeight="1" x14ac:dyDescent="0.35">
      <c r="A1757" t="s">
        <v>774</v>
      </c>
      <c r="B1757" t="s">
        <v>1193</v>
      </c>
      <c r="C1757" t="s">
        <v>47</v>
      </c>
      <c r="D1757">
        <v>3001450</v>
      </c>
      <c r="E1757">
        <v>3001450</v>
      </c>
      <c r="F1757" t="s">
        <v>1467</v>
      </c>
      <c r="G1757" t="s">
        <v>1467</v>
      </c>
      <c r="H1757" t="s">
        <v>54</v>
      </c>
      <c r="I1757">
        <v>6955857</v>
      </c>
      <c r="J1757" s="12">
        <v>46095</v>
      </c>
      <c r="K1757" s="12">
        <v>46095</v>
      </c>
      <c r="L1757" s="12">
        <v>46095</v>
      </c>
      <c r="M1757">
        <v>37</v>
      </c>
      <c r="N1757">
        <v>-400608</v>
      </c>
      <c r="O1757">
        <v>-400608</v>
      </c>
      <c r="P1757">
        <v>0</v>
      </c>
      <c r="Q1757">
        <v>0</v>
      </c>
      <c r="R1757">
        <v>-400608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 t="s">
        <v>47</v>
      </c>
      <c r="AA1757" t="s">
        <v>501</v>
      </c>
      <c r="AB1757" t="s">
        <v>51</v>
      </c>
      <c r="AC1757" t="s">
        <v>51</v>
      </c>
      <c r="AD1757" t="s">
        <v>51</v>
      </c>
      <c r="AE1757" t="s">
        <v>51</v>
      </c>
      <c r="AF1757" t="s">
        <v>1505</v>
      </c>
    </row>
    <row r="1758" spans="1:32" ht="14.5" customHeight="1" x14ac:dyDescent="0.35">
      <c r="A1758" t="s">
        <v>774</v>
      </c>
      <c r="B1758" t="s">
        <v>1193</v>
      </c>
      <c r="C1758" t="s">
        <v>47</v>
      </c>
      <c r="D1758">
        <v>3001450</v>
      </c>
      <c r="E1758">
        <v>3001450</v>
      </c>
      <c r="F1758" t="s">
        <v>1467</v>
      </c>
      <c r="G1758" t="s">
        <v>1467</v>
      </c>
      <c r="H1758" t="s">
        <v>54</v>
      </c>
      <c r="I1758">
        <v>6955858</v>
      </c>
      <c r="J1758" s="12">
        <v>46095</v>
      </c>
      <c r="K1758" s="12">
        <v>46095</v>
      </c>
      <c r="L1758" s="12">
        <v>46095</v>
      </c>
      <c r="M1758">
        <v>37</v>
      </c>
      <c r="N1758">
        <v>-806738</v>
      </c>
      <c r="O1758">
        <v>-806738</v>
      </c>
      <c r="P1758">
        <v>0</v>
      </c>
      <c r="Q1758">
        <v>0</v>
      </c>
      <c r="R1758">
        <v>-806738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 t="s">
        <v>47</v>
      </c>
      <c r="AA1758" t="s">
        <v>501</v>
      </c>
      <c r="AB1758" t="s">
        <v>51</v>
      </c>
      <c r="AC1758" t="s">
        <v>51</v>
      </c>
      <c r="AD1758" t="s">
        <v>51</v>
      </c>
      <c r="AE1758" t="s">
        <v>51</v>
      </c>
      <c r="AF1758" t="s">
        <v>1498</v>
      </c>
    </row>
    <row r="1759" spans="1:32" ht="14.5" customHeight="1" x14ac:dyDescent="0.35">
      <c r="A1759" t="s">
        <v>774</v>
      </c>
      <c r="B1759" t="s">
        <v>1193</v>
      </c>
      <c r="C1759" t="s">
        <v>47</v>
      </c>
      <c r="D1759">
        <v>3001450</v>
      </c>
      <c r="E1759">
        <v>3001450</v>
      </c>
      <c r="F1759" t="s">
        <v>1467</v>
      </c>
      <c r="G1759" t="s">
        <v>1467</v>
      </c>
      <c r="H1759" t="s">
        <v>54</v>
      </c>
      <c r="I1759">
        <v>6955859</v>
      </c>
      <c r="J1759" s="12">
        <v>46095</v>
      </c>
      <c r="K1759" s="12">
        <v>46095</v>
      </c>
      <c r="L1759" s="12">
        <v>46095</v>
      </c>
      <c r="M1759">
        <v>37</v>
      </c>
      <c r="N1759">
        <v>-1352026</v>
      </c>
      <c r="O1759">
        <v>-1352026</v>
      </c>
      <c r="P1759">
        <v>0</v>
      </c>
      <c r="Q1759">
        <v>0</v>
      </c>
      <c r="R1759">
        <v>-1352026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 t="s">
        <v>47</v>
      </c>
      <c r="AA1759" t="s">
        <v>501</v>
      </c>
      <c r="AB1759" t="s">
        <v>51</v>
      </c>
      <c r="AC1759" t="s">
        <v>51</v>
      </c>
      <c r="AD1759" t="s">
        <v>51</v>
      </c>
      <c r="AE1759" t="s">
        <v>51</v>
      </c>
      <c r="AF1759" t="s">
        <v>1498</v>
      </c>
    </row>
    <row r="1760" spans="1:32" ht="14.5" customHeight="1" x14ac:dyDescent="0.35">
      <c r="A1760" t="s">
        <v>774</v>
      </c>
      <c r="B1760" t="s">
        <v>1193</v>
      </c>
      <c r="C1760" t="s">
        <v>47</v>
      </c>
      <c r="D1760">
        <v>3001450</v>
      </c>
      <c r="E1760">
        <v>3001450</v>
      </c>
      <c r="F1760" t="s">
        <v>1467</v>
      </c>
      <c r="G1760" t="s">
        <v>1467</v>
      </c>
      <c r="H1760" t="s">
        <v>54</v>
      </c>
      <c r="I1760">
        <v>6955860</v>
      </c>
      <c r="J1760" s="12">
        <v>46095</v>
      </c>
      <c r="K1760" s="12">
        <v>46095</v>
      </c>
      <c r="L1760" s="12">
        <v>46095</v>
      </c>
      <c r="M1760">
        <v>37</v>
      </c>
      <c r="N1760">
        <v>-1356234</v>
      </c>
      <c r="O1760">
        <v>-1356234</v>
      </c>
      <c r="P1760">
        <v>0</v>
      </c>
      <c r="Q1760">
        <v>0</v>
      </c>
      <c r="R1760">
        <v>-1356234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 t="s">
        <v>47</v>
      </c>
      <c r="AA1760" t="s">
        <v>501</v>
      </c>
      <c r="AB1760" t="s">
        <v>51</v>
      </c>
      <c r="AC1760" t="s">
        <v>51</v>
      </c>
      <c r="AD1760" t="s">
        <v>51</v>
      </c>
      <c r="AE1760" t="s">
        <v>51</v>
      </c>
      <c r="AF1760" t="s">
        <v>1498</v>
      </c>
    </row>
    <row r="1761" spans="1:32" ht="14.5" customHeight="1" x14ac:dyDescent="0.35">
      <c r="A1761" t="s">
        <v>774</v>
      </c>
      <c r="B1761" t="s">
        <v>1193</v>
      </c>
      <c r="C1761" t="s">
        <v>47</v>
      </c>
      <c r="D1761">
        <v>3001450</v>
      </c>
      <c r="E1761">
        <v>3001450</v>
      </c>
      <c r="F1761" t="s">
        <v>1467</v>
      </c>
      <c r="G1761" t="s">
        <v>1467</v>
      </c>
      <c r="H1761" t="s">
        <v>54</v>
      </c>
      <c r="I1761">
        <v>6955861</v>
      </c>
      <c r="J1761" s="12">
        <v>46095</v>
      </c>
      <c r="K1761" s="12">
        <v>46095</v>
      </c>
      <c r="L1761" s="12">
        <v>46095</v>
      </c>
      <c r="M1761">
        <v>37</v>
      </c>
      <c r="N1761">
        <v>-900000</v>
      </c>
      <c r="O1761">
        <v>-900000</v>
      </c>
      <c r="P1761">
        <v>0</v>
      </c>
      <c r="Q1761">
        <v>0</v>
      </c>
      <c r="R1761">
        <v>-900000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 t="s">
        <v>47</v>
      </c>
      <c r="AA1761" t="s">
        <v>501</v>
      </c>
      <c r="AB1761" t="s">
        <v>51</v>
      </c>
      <c r="AC1761" t="s">
        <v>51</v>
      </c>
      <c r="AD1761" t="s">
        <v>51</v>
      </c>
      <c r="AE1761" t="s">
        <v>51</v>
      </c>
      <c r="AF1761" t="s">
        <v>1506</v>
      </c>
    </row>
    <row r="1762" spans="1:32" ht="14.5" customHeight="1" x14ac:dyDescent="0.35">
      <c r="A1762" t="s">
        <v>774</v>
      </c>
      <c r="B1762" t="s">
        <v>1193</v>
      </c>
      <c r="C1762" t="s">
        <v>47</v>
      </c>
      <c r="D1762">
        <v>3001450</v>
      </c>
      <c r="E1762">
        <v>3001450</v>
      </c>
      <c r="F1762" t="s">
        <v>1467</v>
      </c>
      <c r="G1762" t="s">
        <v>1467</v>
      </c>
      <c r="H1762" t="s">
        <v>54</v>
      </c>
      <c r="I1762">
        <v>6955862</v>
      </c>
      <c r="J1762" s="12">
        <v>46095</v>
      </c>
      <c r="K1762" s="12">
        <v>46095</v>
      </c>
      <c r="L1762" s="12">
        <v>46095</v>
      </c>
      <c r="M1762">
        <v>37</v>
      </c>
      <c r="N1762">
        <v>-1090000</v>
      </c>
      <c r="O1762">
        <v>-1090000</v>
      </c>
      <c r="P1762">
        <v>0</v>
      </c>
      <c r="Q1762">
        <v>0</v>
      </c>
      <c r="R1762">
        <v>-1090000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 t="s">
        <v>47</v>
      </c>
      <c r="AA1762" t="s">
        <v>501</v>
      </c>
      <c r="AB1762" t="s">
        <v>51</v>
      </c>
      <c r="AC1762" t="s">
        <v>51</v>
      </c>
      <c r="AD1762" t="s">
        <v>51</v>
      </c>
      <c r="AE1762" t="s">
        <v>51</v>
      </c>
      <c r="AF1762" t="s">
        <v>1475</v>
      </c>
    </row>
    <row r="1763" spans="1:32" ht="14.5" customHeight="1" x14ac:dyDescent="0.35">
      <c r="A1763" t="s">
        <v>774</v>
      </c>
      <c r="B1763" t="s">
        <v>1193</v>
      </c>
      <c r="C1763" t="s">
        <v>47</v>
      </c>
      <c r="D1763">
        <v>3001450</v>
      </c>
      <c r="E1763">
        <v>3001450</v>
      </c>
      <c r="F1763" t="s">
        <v>1467</v>
      </c>
      <c r="G1763" t="s">
        <v>1467</v>
      </c>
      <c r="H1763" t="s">
        <v>54</v>
      </c>
      <c r="I1763">
        <v>6955863</v>
      </c>
      <c r="J1763" s="12">
        <v>46095</v>
      </c>
      <c r="K1763" s="12">
        <v>46095</v>
      </c>
      <c r="L1763" s="12">
        <v>46095</v>
      </c>
      <c r="M1763">
        <v>37</v>
      </c>
      <c r="N1763">
        <v>-2180000</v>
      </c>
      <c r="O1763">
        <v>-2180000</v>
      </c>
      <c r="P1763">
        <v>0</v>
      </c>
      <c r="Q1763">
        <v>0</v>
      </c>
      <c r="R1763">
        <v>-2180000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 t="s">
        <v>47</v>
      </c>
      <c r="AA1763" t="s">
        <v>501</v>
      </c>
      <c r="AB1763" t="s">
        <v>51</v>
      </c>
      <c r="AC1763" t="s">
        <v>51</v>
      </c>
      <c r="AD1763" t="s">
        <v>51</v>
      </c>
      <c r="AE1763" t="s">
        <v>51</v>
      </c>
      <c r="AF1763" t="s">
        <v>1475</v>
      </c>
    </row>
    <row r="1764" spans="1:32" ht="14.5" customHeight="1" x14ac:dyDescent="0.35">
      <c r="A1764" t="s">
        <v>774</v>
      </c>
      <c r="B1764" t="s">
        <v>1193</v>
      </c>
      <c r="C1764" t="s">
        <v>47</v>
      </c>
      <c r="D1764">
        <v>3001450</v>
      </c>
      <c r="E1764">
        <v>3001450</v>
      </c>
      <c r="F1764" t="s">
        <v>1467</v>
      </c>
      <c r="G1764" t="s">
        <v>1467</v>
      </c>
      <c r="H1764" t="s">
        <v>54</v>
      </c>
      <c r="I1764">
        <v>6955864</v>
      </c>
      <c r="J1764" s="12">
        <v>46095</v>
      </c>
      <c r="K1764" s="12">
        <v>46095</v>
      </c>
      <c r="L1764" s="12">
        <v>46095</v>
      </c>
      <c r="M1764">
        <v>37</v>
      </c>
      <c r="N1764">
        <v>-127596</v>
      </c>
      <c r="O1764">
        <v>-127596</v>
      </c>
      <c r="P1764">
        <v>0</v>
      </c>
      <c r="Q1764">
        <v>0</v>
      </c>
      <c r="R1764">
        <v>-127596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 t="s">
        <v>47</v>
      </c>
      <c r="AA1764" t="s">
        <v>501</v>
      </c>
      <c r="AB1764" t="s">
        <v>51</v>
      </c>
      <c r="AC1764" t="s">
        <v>51</v>
      </c>
      <c r="AD1764" t="s">
        <v>51</v>
      </c>
      <c r="AE1764" t="s">
        <v>51</v>
      </c>
      <c r="AF1764" t="s">
        <v>1493</v>
      </c>
    </row>
    <row r="1765" spans="1:32" ht="14.5" customHeight="1" x14ac:dyDescent="0.35">
      <c r="A1765" t="s">
        <v>774</v>
      </c>
      <c r="B1765" t="s">
        <v>1193</v>
      </c>
      <c r="C1765" t="s">
        <v>47</v>
      </c>
      <c r="D1765">
        <v>3001450</v>
      </c>
      <c r="E1765">
        <v>3001450</v>
      </c>
      <c r="F1765" t="s">
        <v>1467</v>
      </c>
      <c r="G1765" t="s">
        <v>1467</v>
      </c>
      <c r="H1765" t="s">
        <v>54</v>
      </c>
      <c r="I1765">
        <v>6955865</v>
      </c>
      <c r="J1765" s="12">
        <v>46095</v>
      </c>
      <c r="K1765" s="12">
        <v>46095</v>
      </c>
      <c r="L1765" s="12">
        <v>46095</v>
      </c>
      <c r="M1765">
        <v>37</v>
      </c>
      <c r="N1765">
        <v>-127596</v>
      </c>
      <c r="O1765">
        <v>-127596</v>
      </c>
      <c r="P1765">
        <v>0</v>
      </c>
      <c r="Q1765">
        <v>0</v>
      </c>
      <c r="R1765">
        <v>-127596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 t="s">
        <v>47</v>
      </c>
      <c r="AA1765" t="s">
        <v>501</v>
      </c>
      <c r="AB1765" t="s">
        <v>51</v>
      </c>
      <c r="AC1765" t="s">
        <v>51</v>
      </c>
      <c r="AD1765" t="s">
        <v>51</v>
      </c>
      <c r="AE1765" t="s">
        <v>51</v>
      </c>
      <c r="AF1765" t="s">
        <v>1493</v>
      </c>
    </row>
    <row r="1766" spans="1:32" ht="14.5" customHeight="1" x14ac:dyDescent="0.35">
      <c r="A1766" t="s">
        <v>774</v>
      </c>
      <c r="B1766" t="s">
        <v>1193</v>
      </c>
      <c r="C1766" t="s">
        <v>47</v>
      </c>
      <c r="D1766">
        <v>3001450</v>
      </c>
      <c r="E1766">
        <v>3001563</v>
      </c>
      <c r="F1766" t="s">
        <v>1467</v>
      </c>
      <c r="G1766" t="s">
        <v>1467</v>
      </c>
      <c r="H1766" t="s">
        <v>54</v>
      </c>
      <c r="I1766">
        <v>6955866</v>
      </c>
      <c r="J1766" s="12">
        <v>46095</v>
      </c>
      <c r="K1766" s="12">
        <v>46095</v>
      </c>
      <c r="L1766" s="12">
        <v>46095</v>
      </c>
      <c r="M1766">
        <v>37</v>
      </c>
      <c r="N1766">
        <v>-20616208</v>
      </c>
      <c r="O1766">
        <v>-20616208</v>
      </c>
      <c r="P1766">
        <v>0</v>
      </c>
      <c r="Q1766">
        <v>0</v>
      </c>
      <c r="R1766">
        <v>-20616208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 t="s">
        <v>47</v>
      </c>
      <c r="AA1766" t="s">
        <v>501</v>
      </c>
      <c r="AB1766" t="s">
        <v>51</v>
      </c>
      <c r="AC1766" t="s">
        <v>51</v>
      </c>
      <c r="AD1766" t="s">
        <v>51</v>
      </c>
      <c r="AE1766" t="s">
        <v>51</v>
      </c>
      <c r="AF1766" t="s">
        <v>1507</v>
      </c>
    </row>
    <row r="1767" spans="1:32" ht="14.5" customHeight="1" x14ac:dyDescent="0.35">
      <c r="A1767" t="s">
        <v>774</v>
      </c>
      <c r="B1767" t="s">
        <v>1193</v>
      </c>
      <c r="C1767" t="s">
        <v>47</v>
      </c>
      <c r="D1767">
        <v>3001450</v>
      </c>
      <c r="E1767">
        <v>3001450</v>
      </c>
      <c r="F1767" t="s">
        <v>1467</v>
      </c>
      <c r="G1767" t="s">
        <v>1467</v>
      </c>
      <c r="H1767" t="s">
        <v>54</v>
      </c>
      <c r="I1767">
        <v>6955900</v>
      </c>
      <c r="J1767" s="12">
        <v>46095</v>
      </c>
      <c r="K1767" s="12">
        <v>46095</v>
      </c>
      <c r="L1767" s="12">
        <v>46095</v>
      </c>
      <c r="M1767">
        <v>37</v>
      </c>
      <c r="N1767">
        <v>-507527</v>
      </c>
      <c r="O1767">
        <v>-507527</v>
      </c>
      <c r="P1767">
        <v>0</v>
      </c>
      <c r="Q1767">
        <v>0</v>
      </c>
      <c r="R1767">
        <v>-507527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 t="s">
        <v>47</v>
      </c>
      <c r="AA1767" t="s">
        <v>501</v>
      </c>
      <c r="AB1767" t="s">
        <v>51</v>
      </c>
      <c r="AC1767" t="s">
        <v>51</v>
      </c>
      <c r="AD1767" t="s">
        <v>51</v>
      </c>
      <c r="AE1767" t="s">
        <v>51</v>
      </c>
      <c r="AF1767" t="s">
        <v>1508</v>
      </c>
    </row>
    <row r="1768" spans="1:32" ht="14.5" customHeight="1" x14ac:dyDescent="0.35">
      <c r="A1768" t="s">
        <v>774</v>
      </c>
      <c r="B1768" t="s">
        <v>1193</v>
      </c>
      <c r="C1768" t="s">
        <v>47</v>
      </c>
      <c r="D1768">
        <v>3001450</v>
      </c>
      <c r="E1768">
        <v>3001450</v>
      </c>
      <c r="F1768" t="s">
        <v>1467</v>
      </c>
      <c r="G1768" t="s">
        <v>1467</v>
      </c>
      <c r="H1768" t="s">
        <v>54</v>
      </c>
      <c r="I1768">
        <v>6955901</v>
      </c>
      <c r="J1768" s="12">
        <v>46095</v>
      </c>
      <c r="K1768" s="12">
        <v>46095</v>
      </c>
      <c r="L1768" s="12">
        <v>46095</v>
      </c>
      <c r="M1768">
        <v>37</v>
      </c>
      <c r="N1768">
        <v>-278060</v>
      </c>
      <c r="O1768">
        <v>-278060</v>
      </c>
      <c r="P1768">
        <v>0</v>
      </c>
      <c r="Q1768">
        <v>0</v>
      </c>
      <c r="R1768">
        <v>-278060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 t="s">
        <v>47</v>
      </c>
      <c r="AA1768" t="s">
        <v>501</v>
      </c>
      <c r="AB1768" t="s">
        <v>51</v>
      </c>
      <c r="AC1768" t="s">
        <v>51</v>
      </c>
      <c r="AD1768" t="s">
        <v>51</v>
      </c>
      <c r="AE1768" t="s">
        <v>51</v>
      </c>
      <c r="AF1768" t="s">
        <v>1509</v>
      </c>
    </row>
    <row r="1769" spans="1:32" ht="14.5" customHeight="1" x14ac:dyDescent="0.35">
      <c r="A1769" t="s">
        <v>774</v>
      </c>
      <c r="B1769" t="s">
        <v>1193</v>
      </c>
      <c r="C1769" t="s">
        <v>47</v>
      </c>
      <c r="D1769">
        <v>3001450</v>
      </c>
      <c r="E1769">
        <v>3001450</v>
      </c>
      <c r="F1769" t="s">
        <v>1467</v>
      </c>
      <c r="G1769" t="s">
        <v>1467</v>
      </c>
      <c r="H1769" t="s">
        <v>54</v>
      </c>
      <c r="I1769">
        <v>6955902</v>
      </c>
      <c r="J1769" s="12">
        <v>46095</v>
      </c>
      <c r="K1769" s="12">
        <v>46095</v>
      </c>
      <c r="L1769" s="12">
        <v>46095</v>
      </c>
      <c r="M1769">
        <v>37</v>
      </c>
      <c r="N1769">
        <v>-2180000</v>
      </c>
      <c r="O1769">
        <v>-2180000</v>
      </c>
      <c r="P1769">
        <v>0</v>
      </c>
      <c r="Q1769">
        <v>0</v>
      </c>
      <c r="R1769">
        <v>-2180000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 t="s">
        <v>47</v>
      </c>
      <c r="AA1769" t="s">
        <v>501</v>
      </c>
      <c r="AB1769" t="s">
        <v>51</v>
      </c>
      <c r="AC1769" t="s">
        <v>51</v>
      </c>
      <c r="AD1769" t="s">
        <v>51</v>
      </c>
      <c r="AE1769" t="s">
        <v>51</v>
      </c>
      <c r="AF1769" t="s">
        <v>1510</v>
      </c>
    </row>
    <row r="1770" spans="1:32" ht="14.5" customHeight="1" x14ac:dyDescent="0.35">
      <c r="A1770" t="s">
        <v>774</v>
      </c>
      <c r="B1770" t="s">
        <v>1193</v>
      </c>
      <c r="C1770" t="s">
        <v>47</v>
      </c>
      <c r="D1770">
        <v>3001450</v>
      </c>
      <c r="E1770">
        <v>3001450</v>
      </c>
      <c r="F1770" t="s">
        <v>1467</v>
      </c>
      <c r="G1770" t="s">
        <v>1467</v>
      </c>
      <c r="H1770" t="s">
        <v>54</v>
      </c>
      <c r="I1770">
        <v>6955903</v>
      </c>
      <c r="J1770" s="12">
        <v>46095</v>
      </c>
      <c r="K1770" s="12">
        <v>46095</v>
      </c>
      <c r="L1770" s="12">
        <v>46095</v>
      </c>
      <c r="M1770">
        <v>37</v>
      </c>
      <c r="N1770">
        <v>-327000</v>
      </c>
      <c r="O1770">
        <v>-327000</v>
      </c>
      <c r="P1770">
        <v>0</v>
      </c>
      <c r="Q1770">
        <v>0</v>
      </c>
      <c r="R1770">
        <v>-327000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 t="s">
        <v>47</v>
      </c>
      <c r="AA1770" t="s">
        <v>501</v>
      </c>
      <c r="AB1770" t="s">
        <v>51</v>
      </c>
      <c r="AC1770" t="s">
        <v>51</v>
      </c>
      <c r="AD1770" t="s">
        <v>51</v>
      </c>
      <c r="AE1770" t="s">
        <v>51</v>
      </c>
      <c r="AF1770" t="s">
        <v>1511</v>
      </c>
    </row>
    <row r="1771" spans="1:32" ht="14.5" customHeight="1" x14ac:dyDescent="0.35">
      <c r="A1771" t="s">
        <v>774</v>
      </c>
      <c r="B1771" t="s">
        <v>1193</v>
      </c>
      <c r="C1771" t="s">
        <v>47</v>
      </c>
      <c r="D1771">
        <v>3001450</v>
      </c>
      <c r="E1771">
        <v>3001450</v>
      </c>
      <c r="F1771" t="s">
        <v>1467</v>
      </c>
      <c r="G1771" t="s">
        <v>1467</v>
      </c>
      <c r="H1771" t="s">
        <v>54</v>
      </c>
      <c r="I1771">
        <v>6955904</v>
      </c>
      <c r="J1771" s="12">
        <v>46095</v>
      </c>
      <c r="K1771" s="12">
        <v>46095</v>
      </c>
      <c r="L1771" s="12">
        <v>46095</v>
      </c>
      <c r="M1771">
        <v>37</v>
      </c>
      <c r="N1771">
        <v>-327000</v>
      </c>
      <c r="O1771">
        <v>-327000</v>
      </c>
      <c r="P1771">
        <v>0</v>
      </c>
      <c r="Q1771">
        <v>0</v>
      </c>
      <c r="R1771">
        <v>-327000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 t="s">
        <v>47</v>
      </c>
      <c r="AA1771" t="s">
        <v>501</v>
      </c>
      <c r="AB1771" t="s">
        <v>51</v>
      </c>
      <c r="AC1771" t="s">
        <v>51</v>
      </c>
      <c r="AD1771" t="s">
        <v>51</v>
      </c>
      <c r="AE1771" t="s">
        <v>51</v>
      </c>
      <c r="AF1771" t="s">
        <v>1511</v>
      </c>
    </row>
    <row r="1772" spans="1:32" ht="14.5" customHeight="1" x14ac:dyDescent="0.35">
      <c r="A1772" t="s">
        <v>774</v>
      </c>
      <c r="B1772" t="s">
        <v>1193</v>
      </c>
      <c r="C1772" t="s">
        <v>47</v>
      </c>
      <c r="D1772">
        <v>3001450</v>
      </c>
      <c r="E1772">
        <v>3001450</v>
      </c>
      <c r="F1772" t="s">
        <v>1467</v>
      </c>
      <c r="G1772" t="s">
        <v>1467</v>
      </c>
      <c r="H1772" t="s">
        <v>54</v>
      </c>
      <c r="I1772">
        <v>6955905</v>
      </c>
      <c r="J1772" s="12">
        <v>46095</v>
      </c>
      <c r="K1772" s="12">
        <v>46095</v>
      </c>
      <c r="L1772" s="12">
        <v>46095</v>
      </c>
      <c r="M1772">
        <v>37</v>
      </c>
      <c r="N1772">
        <v>-327000</v>
      </c>
      <c r="O1772">
        <v>-327000</v>
      </c>
      <c r="P1772">
        <v>0</v>
      </c>
      <c r="Q1772">
        <v>0</v>
      </c>
      <c r="R1772">
        <v>-327000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 t="s">
        <v>47</v>
      </c>
      <c r="AA1772" t="s">
        <v>501</v>
      </c>
      <c r="AB1772" t="s">
        <v>51</v>
      </c>
      <c r="AC1772" t="s">
        <v>51</v>
      </c>
      <c r="AD1772" t="s">
        <v>51</v>
      </c>
      <c r="AE1772" t="s">
        <v>51</v>
      </c>
      <c r="AF1772" t="s">
        <v>1511</v>
      </c>
    </row>
    <row r="1773" spans="1:32" ht="14.5" customHeight="1" x14ac:dyDescent="0.35">
      <c r="A1773" t="s">
        <v>774</v>
      </c>
      <c r="B1773" t="s">
        <v>1193</v>
      </c>
      <c r="C1773" t="s">
        <v>47</v>
      </c>
      <c r="D1773">
        <v>3001450</v>
      </c>
      <c r="E1773">
        <v>3001450</v>
      </c>
      <c r="F1773" t="s">
        <v>1467</v>
      </c>
      <c r="G1773" t="s">
        <v>1467</v>
      </c>
      <c r="H1773" t="s">
        <v>54</v>
      </c>
      <c r="I1773">
        <v>6955906</v>
      </c>
      <c r="J1773" s="12">
        <v>46095</v>
      </c>
      <c r="K1773" s="12">
        <v>46095</v>
      </c>
      <c r="L1773" s="12">
        <v>46095</v>
      </c>
      <c r="M1773">
        <v>37</v>
      </c>
      <c r="N1773">
        <v>-327000</v>
      </c>
      <c r="O1773">
        <v>-327000</v>
      </c>
      <c r="P1773">
        <v>0</v>
      </c>
      <c r="Q1773">
        <v>0</v>
      </c>
      <c r="R1773">
        <v>-327000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 t="s">
        <v>47</v>
      </c>
      <c r="AA1773" t="s">
        <v>501</v>
      </c>
      <c r="AB1773" t="s">
        <v>51</v>
      </c>
      <c r="AC1773" t="s">
        <v>51</v>
      </c>
      <c r="AD1773" t="s">
        <v>51</v>
      </c>
      <c r="AE1773" t="s">
        <v>51</v>
      </c>
      <c r="AF1773" t="s">
        <v>1511</v>
      </c>
    </row>
    <row r="1774" spans="1:32" ht="14.5" customHeight="1" x14ac:dyDescent="0.35">
      <c r="A1774" t="s">
        <v>774</v>
      </c>
      <c r="B1774" t="s">
        <v>1193</v>
      </c>
      <c r="C1774" t="s">
        <v>47</v>
      </c>
      <c r="D1774">
        <v>3001450</v>
      </c>
      <c r="E1774">
        <v>3001450</v>
      </c>
      <c r="F1774" t="s">
        <v>1467</v>
      </c>
      <c r="G1774" t="s">
        <v>1467</v>
      </c>
      <c r="H1774" t="s">
        <v>54</v>
      </c>
      <c r="I1774">
        <v>6955907</v>
      </c>
      <c r="J1774" s="12">
        <v>46095</v>
      </c>
      <c r="K1774" s="12">
        <v>46095</v>
      </c>
      <c r="L1774" s="12">
        <v>46095</v>
      </c>
      <c r="M1774">
        <v>37</v>
      </c>
      <c r="N1774">
        <v>-13080000</v>
      </c>
      <c r="O1774">
        <v>-13080000</v>
      </c>
      <c r="P1774">
        <v>0</v>
      </c>
      <c r="Q1774">
        <v>0</v>
      </c>
      <c r="R1774">
        <v>-13080000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 t="s">
        <v>47</v>
      </c>
      <c r="AA1774" t="s">
        <v>501</v>
      </c>
      <c r="AB1774" t="s">
        <v>51</v>
      </c>
      <c r="AC1774" t="s">
        <v>51</v>
      </c>
      <c r="AD1774" t="s">
        <v>51</v>
      </c>
      <c r="AE1774" t="s">
        <v>51</v>
      </c>
      <c r="AF1774" t="s">
        <v>1512</v>
      </c>
    </row>
    <row r="1775" spans="1:32" ht="14.5" customHeight="1" x14ac:dyDescent="0.35">
      <c r="A1775" t="s">
        <v>774</v>
      </c>
      <c r="B1775" t="s">
        <v>1193</v>
      </c>
      <c r="C1775" t="s">
        <v>47</v>
      </c>
      <c r="D1775">
        <v>3001450</v>
      </c>
      <c r="E1775">
        <v>3001563</v>
      </c>
      <c r="F1775" t="s">
        <v>1467</v>
      </c>
      <c r="G1775" t="s">
        <v>1467</v>
      </c>
      <c r="H1775" t="s">
        <v>54</v>
      </c>
      <c r="I1775">
        <v>6955949</v>
      </c>
      <c r="J1775" s="12">
        <v>46096</v>
      </c>
      <c r="K1775" s="12">
        <v>46096</v>
      </c>
      <c r="L1775" s="12">
        <v>46096</v>
      </c>
      <c r="M1775">
        <v>36</v>
      </c>
      <c r="N1775">
        <v>-392407</v>
      </c>
      <c r="O1775">
        <v>-392407</v>
      </c>
      <c r="P1775">
        <v>0</v>
      </c>
      <c r="Q1775">
        <v>0</v>
      </c>
      <c r="R1775">
        <v>-392407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 t="s">
        <v>47</v>
      </c>
      <c r="AA1775" t="s">
        <v>501</v>
      </c>
      <c r="AB1775" t="s">
        <v>51</v>
      </c>
      <c r="AC1775" t="s">
        <v>51</v>
      </c>
      <c r="AD1775" t="s">
        <v>51</v>
      </c>
      <c r="AE1775" t="s">
        <v>51</v>
      </c>
      <c r="AF1775" t="s">
        <v>1513</v>
      </c>
    </row>
    <row r="1776" spans="1:32" ht="14.5" customHeight="1" x14ac:dyDescent="0.35">
      <c r="A1776" t="s">
        <v>774</v>
      </c>
      <c r="B1776" t="s">
        <v>1193</v>
      </c>
      <c r="C1776" t="s">
        <v>47</v>
      </c>
      <c r="D1776">
        <v>3001450</v>
      </c>
      <c r="E1776">
        <v>3001563</v>
      </c>
      <c r="F1776" t="s">
        <v>1467</v>
      </c>
      <c r="G1776" t="s">
        <v>1467</v>
      </c>
      <c r="H1776" t="s">
        <v>54</v>
      </c>
      <c r="I1776">
        <v>6955950</v>
      </c>
      <c r="J1776" s="12">
        <v>46096</v>
      </c>
      <c r="K1776" s="12">
        <v>46096</v>
      </c>
      <c r="L1776" s="12">
        <v>46096</v>
      </c>
      <c r="M1776">
        <v>36</v>
      </c>
      <c r="N1776">
        <v>-1600702</v>
      </c>
      <c r="O1776">
        <v>-1600702</v>
      </c>
      <c r="P1776">
        <v>0</v>
      </c>
      <c r="Q1776">
        <v>0</v>
      </c>
      <c r="R1776">
        <v>-1600702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 t="s">
        <v>47</v>
      </c>
      <c r="AA1776" t="s">
        <v>501</v>
      </c>
      <c r="AB1776" t="s">
        <v>51</v>
      </c>
      <c r="AC1776" t="s">
        <v>51</v>
      </c>
      <c r="AD1776" t="s">
        <v>51</v>
      </c>
      <c r="AE1776" t="s">
        <v>51</v>
      </c>
      <c r="AF1776" t="s">
        <v>1134</v>
      </c>
    </row>
    <row r="1777" spans="1:32" ht="14.5" customHeight="1" x14ac:dyDescent="0.35">
      <c r="A1777" t="s">
        <v>774</v>
      </c>
      <c r="B1777" t="s">
        <v>1193</v>
      </c>
      <c r="C1777" t="s">
        <v>47</v>
      </c>
      <c r="D1777">
        <v>3001450</v>
      </c>
      <c r="E1777">
        <v>3001563</v>
      </c>
      <c r="F1777" t="s">
        <v>1467</v>
      </c>
      <c r="G1777" t="s">
        <v>1467</v>
      </c>
      <c r="H1777" t="s">
        <v>54</v>
      </c>
      <c r="I1777">
        <v>6955951</v>
      </c>
      <c r="J1777" s="12">
        <v>46096</v>
      </c>
      <c r="K1777" s="12">
        <v>46096</v>
      </c>
      <c r="L1777" s="12">
        <v>46096</v>
      </c>
      <c r="M1777">
        <v>36</v>
      </c>
      <c r="N1777">
        <v>-568806</v>
      </c>
      <c r="O1777">
        <v>-568806</v>
      </c>
      <c r="P1777">
        <v>0</v>
      </c>
      <c r="Q1777">
        <v>0</v>
      </c>
      <c r="R1777">
        <v>-568806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 t="s">
        <v>47</v>
      </c>
      <c r="AA1777" t="s">
        <v>501</v>
      </c>
      <c r="AB1777" t="s">
        <v>51</v>
      </c>
      <c r="AC1777" t="s">
        <v>51</v>
      </c>
      <c r="AD1777" t="s">
        <v>51</v>
      </c>
      <c r="AE1777" t="s">
        <v>51</v>
      </c>
      <c r="AF1777" t="s">
        <v>1513</v>
      </c>
    </row>
    <row r="1778" spans="1:32" ht="14.5" customHeight="1" x14ac:dyDescent="0.35">
      <c r="A1778" t="s">
        <v>774</v>
      </c>
      <c r="B1778" t="s">
        <v>1193</v>
      </c>
      <c r="C1778" t="s">
        <v>47</v>
      </c>
      <c r="D1778">
        <v>3001450</v>
      </c>
      <c r="E1778">
        <v>3001563</v>
      </c>
      <c r="F1778" t="s">
        <v>1467</v>
      </c>
      <c r="G1778" t="s">
        <v>1467</v>
      </c>
      <c r="H1778" t="s">
        <v>54</v>
      </c>
      <c r="I1778">
        <v>6955952</v>
      </c>
      <c r="J1778" s="12">
        <v>46096</v>
      </c>
      <c r="K1778" s="12">
        <v>46096</v>
      </c>
      <c r="L1778" s="12">
        <v>46096</v>
      </c>
      <c r="M1778">
        <v>36</v>
      </c>
      <c r="N1778">
        <v>-3926643</v>
      </c>
      <c r="O1778">
        <v>-3926643</v>
      </c>
      <c r="P1778">
        <v>0</v>
      </c>
      <c r="Q1778">
        <v>0</v>
      </c>
      <c r="R1778">
        <v>-3926643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 t="s">
        <v>47</v>
      </c>
      <c r="AA1778" t="s">
        <v>501</v>
      </c>
      <c r="AB1778" t="s">
        <v>51</v>
      </c>
      <c r="AC1778" t="s">
        <v>51</v>
      </c>
      <c r="AD1778" t="s">
        <v>51</v>
      </c>
      <c r="AE1778" t="s">
        <v>51</v>
      </c>
      <c r="AF1778" t="s">
        <v>1485</v>
      </c>
    </row>
    <row r="1779" spans="1:32" ht="14.5" customHeight="1" x14ac:dyDescent="0.35">
      <c r="A1779" t="s">
        <v>774</v>
      </c>
      <c r="B1779" t="s">
        <v>1193</v>
      </c>
      <c r="C1779" t="s">
        <v>47</v>
      </c>
      <c r="D1779">
        <v>3001450</v>
      </c>
      <c r="E1779">
        <v>3001563</v>
      </c>
      <c r="F1779" t="s">
        <v>1467</v>
      </c>
      <c r="G1779" t="s">
        <v>1467</v>
      </c>
      <c r="H1779" t="s">
        <v>54</v>
      </c>
      <c r="I1779">
        <v>6955953</v>
      </c>
      <c r="J1779" s="12">
        <v>46096</v>
      </c>
      <c r="K1779" s="12">
        <v>46096</v>
      </c>
      <c r="L1779" s="12">
        <v>46096</v>
      </c>
      <c r="M1779">
        <v>36</v>
      </c>
      <c r="N1779">
        <v>-746741</v>
      </c>
      <c r="O1779">
        <v>-746741</v>
      </c>
      <c r="P1779">
        <v>0</v>
      </c>
      <c r="Q1779">
        <v>0</v>
      </c>
      <c r="R1779">
        <v>-746741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 t="s">
        <v>47</v>
      </c>
      <c r="AA1779" t="s">
        <v>501</v>
      </c>
      <c r="AB1779" t="s">
        <v>51</v>
      </c>
      <c r="AC1779" t="s">
        <v>51</v>
      </c>
      <c r="AD1779" t="s">
        <v>51</v>
      </c>
      <c r="AE1779" t="s">
        <v>51</v>
      </c>
      <c r="AF1779" t="s">
        <v>1513</v>
      </c>
    </row>
    <row r="1780" spans="1:32" ht="14.5" customHeight="1" x14ac:dyDescent="0.35">
      <c r="A1780" t="s">
        <v>774</v>
      </c>
      <c r="B1780" t="s">
        <v>1193</v>
      </c>
      <c r="C1780" t="s">
        <v>47</v>
      </c>
      <c r="D1780">
        <v>3001450</v>
      </c>
      <c r="E1780">
        <v>3001563</v>
      </c>
      <c r="F1780" t="s">
        <v>1467</v>
      </c>
      <c r="G1780" t="s">
        <v>1467</v>
      </c>
      <c r="H1780" t="s">
        <v>54</v>
      </c>
      <c r="I1780">
        <v>6955954</v>
      </c>
      <c r="J1780" s="12">
        <v>46096</v>
      </c>
      <c r="K1780" s="12">
        <v>46096</v>
      </c>
      <c r="L1780" s="12">
        <v>46096</v>
      </c>
      <c r="M1780">
        <v>36</v>
      </c>
      <c r="N1780">
        <v>-4517368</v>
      </c>
      <c r="O1780">
        <v>-4517368</v>
      </c>
      <c r="P1780">
        <v>0</v>
      </c>
      <c r="Q1780">
        <v>0</v>
      </c>
      <c r="R1780">
        <v>-4517368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 t="s">
        <v>47</v>
      </c>
      <c r="AA1780" t="s">
        <v>501</v>
      </c>
      <c r="AB1780" t="s">
        <v>51</v>
      </c>
      <c r="AC1780" t="s">
        <v>51</v>
      </c>
      <c r="AD1780" t="s">
        <v>51</v>
      </c>
      <c r="AE1780" t="s">
        <v>51</v>
      </c>
      <c r="AF1780" t="s">
        <v>174</v>
      </c>
    </row>
    <row r="1781" spans="1:32" ht="14.5" customHeight="1" x14ac:dyDescent="0.35">
      <c r="A1781" t="s">
        <v>774</v>
      </c>
      <c r="B1781" t="s">
        <v>1193</v>
      </c>
      <c r="C1781" t="s">
        <v>47</v>
      </c>
      <c r="D1781">
        <v>3001450</v>
      </c>
      <c r="E1781">
        <v>3001563</v>
      </c>
      <c r="F1781" t="s">
        <v>1467</v>
      </c>
      <c r="G1781" t="s">
        <v>1467</v>
      </c>
      <c r="H1781" t="s">
        <v>54</v>
      </c>
      <c r="I1781">
        <v>6955955</v>
      </c>
      <c r="J1781" s="12">
        <v>46096</v>
      </c>
      <c r="K1781" s="12">
        <v>46096</v>
      </c>
      <c r="L1781" s="12">
        <v>46096</v>
      </c>
      <c r="M1781">
        <v>36</v>
      </c>
      <c r="N1781">
        <v>-590445</v>
      </c>
      <c r="O1781">
        <v>-590445</v>
      </c>
      <c r="P1781">
        <v>0</v>
      </c>
      <c r="Q1781">
        <v>0</v>
      </c>
      <c r="R1781">
        <v>-590445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 t="s">
        <v>47</v>
      </c>
      <c r="AA1781" t="s">
        <v>501</v>
      </c>
      <c r="AB1781" t="s">
        <v>51</v>
      </c>
      <c r="AC1781" t="s">
        <v>51</v>
      </c>
      <c r="AD1781" t="s">
        <v>51</v>
      </c>
      <c r="AE1781" t="s">
        <v>51</v>
      </c>
      <c r="AF1781" t="s">
        <v>108</v>
      </c>
    </row>
    <row r="1782" spans="1:32" ht="14.5" customHeight="1" x14ac:dyDescent="0.35">
      <c r="A1782" t="s">
        <v>774</v>
      </c>
      <c r="B1782" t="s">
        <v>1193</v>
      </c>
      <c r="C1782" t="s">
        <v>47</v>
      </c>
      <c r="D1782">
        <v>3001450</v>
      </c>
      <c r="E1782">
        <v>3001563</v>
      </c>
      <c r="F1782" t="s">
        <v>1467</v>
      </c>
      <c r="G1782" t="s">
        <v>1467</v>
      </c>
      <c r="H1782" t="s">
        <v>54</v>
      </c>
      <c r="I1782">
        <v>6955956</v>
      </c>
      <c r="J1782" s="12">
        <v>46096</v>
      </c>
      <c r="K1782" s="12">
        <v>46096</v>
      </c>
      <c r="L1782" s="12">
        <v>46096</v>
      </c>
      <c r="M1782">
        <v>36</v>
      </c>
      <c r="N1782">
        <v>-4426063</v>
      </c>
      <c r="O1782">
        <v>-4426063</v>
      </c>
      <c r="P1782">
        <v>0</v>
      </c>
      <c r="Q1782">
        <v>0</v>
      </c>
      <c r="R1782">
        <v>-4426063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 t="s">
        <v>47</v>
      </c>
      <c r="AA1782" t="s">
        <v>501</v>
      </c>
      <c r="AB1782" t="s">
        <v>51</v>
      </c>
      <c r="AC1782" t="s">
        <v>51</v>
      </c>
      <c r="AD1782" t="s">
        <v>51</v>
      </c>
      <c r="AE1782" t="s">
        <v>51</v>
      </c>
      <c r="AF1782" t="s">
        <v>174</v>
      </c>
    </row>
    <row r="1783" spans="1:32" ht="14.5" customHeight="1" x14ac:dyDescent="0.35">
      <c r="A1783" t="s">
        <v>774</v>
      </c>
      <c r="B1783" t="s">
        <v>1193</v>
      </c>
      <c r="C1783" t="s">
        <v>47</v>
      </c>
      <c r="D1783">
        <v>3001450</v>
      </c>
      <c r="E1783">
        <v>3001563</v>
      </c>
      <c r="F1783" t="s">
        <v>1467</v>
      </c>
      <c r="G1783" t="s">
        <v>1467</v>
      </c>
      <c r="H1783" t="s">
        <v>54</v>
      </c>
      <c r="I1783">
        <v>6955966</v>
      </c>
      <c r="J1783" s="12">
        <v>46096</v>
      </c>
      <c r="K1783" s="12">
        <v>46096</v>
      </c>
      <c r="L1783" s="12">
        <v>46096</v>
      </c>
      <c r="M1783">
        <v>36</v>
      </c>
      <c r="N1783">
        <v>-50446936</v>
      </c>
      <c r="O1783">
        <v>-50446936</v>
      </c>
      <c r="P1783">
        <v>0</v>
      </c>
      <c r="Q1783">
        <v>0</v>
      </c>
      <c r="R1783">
        <v>-50446936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 t="s">
        <v>47</v>
      </c>
      <c r="AA1783" t="s">
        <v>501</v>
      </c>
      <c r="AB1783" t="s">
        <v>51</v>
      </c>
      <c r="AC1783" t="s">
        <v>51</v>
      </c>
      <c r="AD1783" t="s">
        <v>51</v>
      </c>
      <c r="AE1783" t="s">
        <v>51</v>
      </c>
      <c r="AF1783" t="s">
        <v>787</v>
      </c>
    </row>
    <row r="1784" spans="1:32" ht="14.5" customHeight="1" x14ac:dyDescent="0.35">
      <c r="A1784" t="s">
        <v>774</v>
      </c>
      <c r="B1784" t="s">
        <v>1193</v>
      </c>
      <c r="C1784" t="s">
        <v>47</v>
      </c>
      <c r="D1784">
        <v>3001450</v>
      </c>
      <c r="E1784">
        <v>3001563</v>
      </c>
      <c r="F1784" t="s">
        <v>1467</v>
      </c>
      <c r="G1784" t="s">
        <v>1467</v>
      </c>
      <c r="H1784" t="s">
        <v>54</v>
      </c>
      <c r="I1784">
        <v>6955967</v>
      </c>
      <c r="J1784" s="12">
        <v>46096</v>
      </c>
      <c r="K1784" s="12">
        <v>46096</v>
      </c>
      <c r="L1784" s="12">
        <v>46096</v>
      </c>
      <c r="M1784">
        <v>36</v>
      </c>
      <c r="N1784">
        <v>-52477598</v>
      </c>
      <c r="O1784">
        <v>-52477598</v>
      </c>
      <c r="P1784">
        <v>0</v>
      </c>
      <c r="Q1784">
        <v>0</v>
      </c>
      <c r="R1784">
        <v>-52477598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 t="s">
        <v>47</v>
      </c>
      <c r="AA1784" t="s">
        <v>501</v>
      </c>
      <c r="AB1784" t="s">
        <v>51</v>
      </c>
      <c r="AC1784" t="s">
        <v>51</v>
      </c>
      <c r="AD1784" t="s">
        <v>51</v>
      </c>
      <c r="AE1784" t="s">
        <v>51</v>
      </c>
      <c r="AF1784" t="s">
        <v>660</v>
      </c>
    </row>
    <row r="1785" spans="1:32" ht="14.5" customHeight="1" x14ac:dyDescent="0.35">
      <c r="A1785" t="s">
        <v>774</v>
      </c>
      <c r="B1785" t="s">
        <v>1193</v>
      </c>
      <c r="C1785" t="s">
        <v>47</v>
      </c>
      <c r="D1785">
        <v>3001450</v>
      </c>
      <c r="E1785">
        <v>3001450</v>
      </c>
      <c r="F1785" t="s">
        <v>1467</v>
      </c>
      <c r="G1785" t="s">
        <v>1467</v>
      </c>
      <c r="H1785" t="s">
        <v>54</v>
      </c>
      <c r="I1785">
        <v>6956027</v>
      </c>
      <c r="J1785" s="12">
        <v>46097</v>
      </c>
      <c r="K1785" s="12">
        <v>46097</v>
      </c>
      <c r="L1785" s="12">
        <v>46097</v>
      </c>
      <c r="M1785">
        <v>35</v>
      </c>
      <c r="N1785">
        <v>-12905000</v>
      </c>
      <c r="O1785">
        <v>-12905000</v>
      </c>
      <c r="P1785">
        <v>0</v>
      </c>
      <c r="Q1785">
        <v>0</v>
      </c>
      <c r="R1785">
        <v>-12905000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 t="s">
        <v>47</v>
      </c>
      <c r="AA1785" t="s">
        <v>501</v>
      </c>
      <c r="AB1785" t="s">
        <v>51</v>
      </c>
      <c r="AC1785" t="s">
        <v>51</v>
      </c>
      <c r="AD1785" t="s">
        <v>51</v>
      </c>
      <c r="AE1785" t="s">
        <v>51</v>
      </c>
      <c r="AF1785" t="s">
        <v>1514</v>
      </c>
    </row>
    <row r="1786" spans="1:32" ht="14.5" customHeight="1" x14ac:dyDescent="0.35">
      <c r="A1786" t="s">
        <v>774</v>
      </c>
      <c r="B1786" t="s">
        <v>1193</v>
      </c>
      <c r="C1786" t="s">
        <v>47</v>
      </c>
      <c r="D1786">
        <v>3001450</v>
      </c>
      <c r="E1786">
        <v>3001450</v>
      </c>
      <c r="F1786" t="s">
        <v>1467</v>
      </c>
      <c r="G1786" t="s">
        <v>1467</v>
      </c>
      <c r="H1786" t="s">
        <v>54</v>
      </c>
      <c r="I1786">
        <v>6956037</v>
      </c>
      <c r="J1786" s="12">
        <v>46097</v>
      </c>
      <c r="K1786" s="12">
        <v>46097</v>
      </c>
      <c r="L1786" s="12">
        <v>46097</v>
      </c>
      <c r="M1786">
        <v>35</v>
      </c>
      <c r="N1786">
        <v>-1635000</v>
      </c>
      <c r="O1786">
        <v>-1635000</v>
      </c>
      <c r="P1786">
        <v>0</v>
      </c>
      <c r="Q1786">
        <v>0</v>
      </c>
      <c r="R1786">
        <v>-1635000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 t="s">
        <v>47</v>
      </c>
      <c r="AA1786" t="s">
        <v>501</v>
      </c>
      <c r="AB1786" t="s">
        <v>51</v>
      </c>
      <c r="AC1786" t="s">
        <v>51</v>
      </c>
      <c r="AD1786" t="s">
        <v>51</v>
      </c>
      <c r="AE1786" t="s">
        <v>51</v>
      </c>
      <c r="AF1786" t="s">
        <v>1515</v>
      </c>
    </row>
    <row r="1787" spans="1:32" ht="14.5" customHeight="1" x14ac:dyDescent="0.35">
      <c r="A1787" t="s">
        <v>774</v>
      </c>
      <c r="B1787" t="s">
        <v>1193</v>
      </c>
      <c r="C1787" t="s">
        <v>47</v>
      </c>
      <c r="D1787">
        <v>3001450</v>
      </c>
      <c r="E1787">
        <v>3001450</v>
      </c>
      <c r="F1787" t="s">
        <v>1467</v>
      </c>
      <c r="G1787" t="s">
        <v>1467</v>
      </c>
      <c r="H1787" t="s">
        <v>54</v>
      </c>
      <c r="I1787">
        <v>6956038</v>
      </c>
      <c r="J1787" s="12">
        <v>46097</v>
      </c>
      <c r="K1787" s="12">
        <v>46097</v>
      </c>
      <c r="L1787" s="12">
        <v>46097</v>
      </c>
      <c r="M1787">
        <v>35</v>
      </c>
      <c r="N1787">
        <v>-11261771</v>
      </c>
      <c r="O1787">
        <v>-11261771</v>
      </c>
      <c r="P1787">
        <v>0</v>
      </c>
      <c r="Q1787">
        <v>0</v>
      </c>
      <c r="R1787">
        <v>-11261771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 t="s">
        <v>47</v>
      </c>
      <c r="AA1787" t="s">
        <v>501</v>
      </c>
      <c r="AB1787" t="s">
        <v>51</v>
      </c>
      <c r="AC1787" t="s">
        <v>51</v>
      </c>
      <c r="AD1787" t="s">
        <v>51</v>
      </c>
      <c r="AE1787" t="s">
        <v>51</v>
      </c>
      <c r="AF1787" t="s">
        <v>1516</v>
      </c>
    </row>
    <row r="1788" spans="1:32" ht="14.5" customHeight="1" x14ac:dyDescent="0.35">
      <c r="A1788" t="s">
        <v>774</v>
      </c>
      <c r="B1788" t="s">
        <v>1193</v>
      </c>
      <c r="C1788" t="s">
        <v>47</v>
      </c>
      <c r="D1788">
        <v>3001450</v>
      </c>
      <c r="E1788">
        <v>3001450</v>
      </c>
      <c r="F1788" t="s">
        <v>1467</v>
      </c>
      <c r="G1788" t="s">
        <v>1467</v>
      </c>
      <c r="H1788" t="s">
        <v>54</v>
      </c>
      <c r="I1788">
        <v>6956039</v>
      </c>
      <c r="J1788" s="12">
        <v>46097</v>
      </c>
      <c r="K1788" s="12">
        <v>46097</v>
      </c>
      <c r="L1788" s="12">
        <v>46097</v>
      </c>
      <c r="M1788">
        <v>35</v>
      </c>
      <c r="N1788">
        <v>-17328474</v>
      </c>
      <c r="O1788">
        <v>-17328474</v>
      </c>
      <c r="P1788">
        <v>0</v>
      </c>
      <c r="Q1788">
        <v>0</v>
      </c>
      <c r="R1788">
        <v>-17328474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 t="s">
        <v>47</v>
      </c>
      <c r="AA1788" t="s">
        <v>501</v>
      </c>
      <c r="AB1788" t="s">
        <v>51</v>
      </c>
      <c r="AC1788" t="s">
        <v>51</v>
      </c>
      <c r="AD1788" t="s">
        <v>51</v>
      </c>
      <c r="AE1788" t="s">
        <v>51</v>
      </c>
      <c r="AF1788" t="s">
        <v>1516</v>
      </c>
    </row>
    <row r="1789" spans="1:32" ht="14.5" customHeight="1" x14ac:dyDescent="0.35">
      <c r="A1789" t="s">
        <v>774</v>
      </c>
      <c r="B1789" t="s">
        <v>1193</v>
      </c>
      <c r="C1789" t="s">
        <v>47</v>
      </c>
      <c r="D1789">
        <v>3001450</v>
      </c>
      <c r="E1789">
        <v>3001450</v>
      </c>
      <c r="F1789" t="s">
        <v>1467</v>
      </c>
      <c r="G1789" t="s">
        <v>1467</v>
      </c>
      <c r="H1789" t="s">
        <v>54</v>
      </c>
      <c r="I1789">
        <v>6956271</v>
      </c>
      <c r="J1789" s="12">
        <v>46098</v>
      </c>
      <c r="K1789" s="12">
        <v>46098</v>
      </c>
      <c r="L1789" s="12">
        <v>46098</v>
      </c>
      <c r="M1789">
        <v>34</v>
      </c>
      <c r="N1789">
        <v>-23873407</v>
      </c>
      <c r="O1789">
        <v>-23873407</v>
      </c>
      <c r="P1789">
        <v>0</v>
      </c>
      <c r="Q1789">
        <v>0</v>
      </c>
      <c r="R1789">
        <v>-23873407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 t="s">
        <v>47</v>
      </c>
      <c r="AA1789" t="s">
        <v>501</v>
      </c>
      <c r="AB1789" t="s">
        <v>51</v>
      </c>
      <c r="AC1789" t="s">
        <v>51</v>
      </c>
      <c r="AD1789" t="s">
        <v>51</v>
      </c>
      <c r="AE1789" t="s">
        <v>51</v>
      </c>
      <c r="AF1789" t="s">
        <v>1517</v>
      </c>
    </row>
    <row r="1790" spans="1:32" ht="14.5" customHeight="1" x14ac:dyDescent="0.35">
      <c r="A1790" t="s">
        <v>774</v>
      </c>
      <c r="B1790" t="s">
        <v>1193</v>
      </c>
      <c r="C1790" t="s">
        <v>47</v>
      </c>
      <c r="D1790">
        <v>3001450</v>
      </c>
      <c r="E1790">
        <v>3001563</v>
      </c>
      <c r="F1790" t="s">
        <v>1467</v>
      </c>
      <c r="G1790" t="s">
        <v>1467</v>
      </c>
      <c r="H1790" t="s">
        <v>54</v>
      </c>
      <c r="I1790">
        <v>6956273</v>
      </c>
      <c r="J1790" s="12">
        <v>46098</v>
      </c>
      <c r="K1790" s="12">
        <v>46098</v>
      </c>
      <c r="L1790" s="12">
        <v>46098</v>
      </c>
      <c r="M1790">
        <v>34</v>
      </c>
      <c r="N1790">
        <v>-4321877</v>
      </c>
      <c r="O1790">
        <v>-4321877</v>
      </c>
      <c r="P1790">
        <v>0</v>
      </c>
      <c r="Q1790">
        <v>0</v>
      </c>
      <c r="R1790">
        <v>-4321877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 t="s">
        <v>47</v>
      </c>
      <c r="AA1790" t="s">
        <v>501</v>
      </c>
      <c r="AB1790" t="s">
        <v>51</v>
      </c>
      <c r="AC1790" t="s">
        <v>51</v>
      </c>
      <c r="AD1790" t="s">
        <v>51</v>
      </c>
      <c r="AE1790" t="s">
        <v>51</v>
      </c>
      <c r="AF1790" t="s">
        <v>1517</v>
      </c>
    </row>
    <row r="1791" spans="1:32" ht="14.5" customHeight="1" x14ac:dyDescent="0.35">
      <c r="A1791" t="s">
        <v>774</v>
      </c>
      <c r="B1791" t="s">
        <v>1193</v>
      </c>
      <c r="C1791" t="s">
        <v>47</v>
      </c>
      <c r="D1791">
        <v>3001450</v>
      </c>
      <c r="E1791">
        <v>3001450</v>
      </c>
      <c r="F1791" t="s">
        <v>1467</v>
      </c>
      <c r="G1791" t="s">
        <v>1467</v>
      </c>
      <c r="H1791" t="s">
        <v>54</v>
      </c>
      <c r="I1791">
        <v>6956283</v>
      </c>
      <c r="J1791" s="12">
        <v>46098</v>
      </c>
      <c r="K1791" s="12">
        <v>46098</v>
      </c>
      <c r="L1791" s="12">
        <v>46098</v>
      </c>
      <c r="M1791">
        <v>34</v>
      </c>
      <c r="N1791">
        <v>-244465</v>
      </c>
      <c r="O1791">
        <v>-244465</v>
      </c>
      <c r="P1791">
        <v>0</v>
      </c>
      <c r="Q1791">
        <v>0</v>
      </c>
      <c r="R1791">
        <v>-244465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 t="s">
        <v>47</v>
      </c>
      <c r="AA1791" t="s">
        <v>501</v>
      </c>
      <c r="AB1791" t="s">
        <v>51</v>
      </c>
      <c r="AC1791" t="s">
        <v>51</v>
      </c>
      <c r="AD1791" t="s">
        <v>51</v>
      </c>
      <c r="AE1791" t="s">
        <v>51</v>
      </c>
      <c r="AF1791" t="s">
        <v>1486</v>
      </c>
    </row>
    <row r="1792" spans="1:32" ht="14.5" customHeight="1" x14ac:dyDescent="0.35">
      <c r="A1792" t="s">
        <v>774</v>
      </c>
      <c r="B1792" t="s">
        <v>1193</v>
      </c>
      <c r="C1792" t="s">
        <v>47</v>
      </c>
      <c r="D1792">
        <v>3001450</v>
      </c>
      <c r="E1792">
        <v>3001450</v>
      </c>
      <c r="F1792" t="s">
        <v>1467</v>
      </c>
      <c r="G1792" t="s">
        <v>1467</v>
      </c>
      <c r="H1792" t="s">
        <v>54</v>
      </c>
      <c r="I1792">
        <v>6956284</v>
      </c>
      <c r="J1792" s="12">
        <v>46098</v>
      </c>
      <c r="K1792" s="12">
        <v>46098</v>
      </c>
      <c r="L1792" s="12">
        <v>46098</v>
      </c>
      <c r="M1792">
        <v>34</v>
      </c>
      <c r="N1792">
        <v>-758041</v>
      </c>
      <c r="O1792">
        <v>-758041</v>
      </c>
      <c r="P1792">
        <v>0</v>
      </c>
      <c r="Q1792">
        <v>0</v>
      </c>
      <c r="R1792">
        <v>-758041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 t="s">
        <v>47</v>
      </c>
      <c r="AA1792" t="s">
        <v>501</v>
      </c>
      <c r="AB1792" t="s">
        <v>51</v>
      </c>
      <c r="AC1792" t="s">
        <v>51</v>
      </c>
      <c r="AD1792" t="s">
        <v>51</v>
      </c>
      <c r="AE1792" t="s">
        <v>51</v>
      </c>
      <c r="AF1792" t="s">
        <v>1486</v>
      </c>
    </row>
    <row r="1793" spans="1:32" ht="14.5" customHeight="1" x14ac:dyDescent="0.35">
      <c r="A1793" t="s">
        <v>774</v>
      </c>
      <c r="B1793" t="s">
        <v>1193</v>
      </c>
      <c r="C1793" t="s">
        <v>47</v>
      </c>
      <c r="D1793">
        <v>3001450</v>
      </c>
      <c r="E1793">
        <v>3001450</v>
      </c>
      <c r="F1793" t="s">
        <v>1467</v>
      </c>
      <c r="G1793" t="s">
        <v>1467</v>
      </c>
      <c r="H1793" t="s">
        <v>54</v>
      </c>
      <c r="I1793">
        <v>6956285</v>
      </c>
      <c r="J1793" s="12">
        <v>46098</v>
      </c>
      <c r="K1793" s="12">
        <v>46098</v>
      </c>
      <c r="L1793" s="12">
        <v>46098</v>
      </c>
      <c r="M1793">
        <v>34</v>
      </c>
      <c r="N1793">
        <v>-8175000</v>
      </c>
      <c r="O1793">
        <v>-8175000</v>
      </c>
      <c r="P1793">
        <v>0</v>
      </c>
      <c r="Q1793">
        <v>0</v>
      </c>
      <c r="R1793">
        <v>-8175000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 t="s">
        <v>47</v>
      </c>
      <c r="AA1793" t="s">
        <v>501</v>
      </c>
      <c r="AB1793" t="s">
        <v>51</v>
      </c>
      <c r="AC1793" t="s">
        <v>51</v>
      </c>
      <c r="AD1793" t="s">
        <v>51</v>
      </c>
      <c r="AE1793" t="s">
        <v>51</v>
      </c>
      <c r="AF1793" t="s">
        <v>1518</v>
      </c>
    </row>
    <row r="1794" spans="1:32" ht="14.5" customHeight="1" x14ac:dyDescent="0.35">
      <c r="A1794" t="s">
        <v>774</v>
      </c>
      <c r="B1794" t="s">
        <v>1193</v>
      </c>
      <c r="C1794" t="s">
        <v>47</v>
      </c>
      <c r="D1794">
        <v>3001450</v>
      </c>
      <c r="E1794">
        <v>3001450</v>
      </c>
      <c r="F1794" t="s">
        <v>1467</v>
      </c>
      <c r="G1794" t="s">
        <v>1467</v>
      </c>
      <c r="H1794" t="s">
        <v>54</v>
      </c>
      <c r="I1794">
        <v>6956286</v>
      </c>
      <c r="J1794" s="12">
        <v>46098</v>
      </c>
      <c r="K1794" s="12">
        <v>46098</v>
      </c>
      <c r="L1794" s="12">
        <v>46098</v>
      </c>
      <c r="M1794">
        <v>34</v>
      </c>
      <c r="N1794">
        <v>-10791000</v>
      </c>
      <c r="O1794">
        <v>-10791000</v>
      </c>
      <c r="P1794">
        <v>0</v>
      </c>
      <c r="Q1794">
        <v>0</v>
      </c>
      <c r="R1794">
        <v>-10791000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 t="s">
        <v>47</v>
      </c>
      <c r="AA1794" t="s">
        <v>501</v>
      </c>
      <c r="AB1794" t="s">
        <v>51</v>
      </c>
      <c r="AC1794" t="s">
        <v>51</v>
      </c>
      <c r="AD1794" t="s">
        <v>51</v>
      </c>
      <c r="AE1794" t="s">
        <v>51</v>
      </c>
      <c r="AF1794" t="s">
        <v>1519</v>
      </c>
    </row>
    <row r="1795" spans="1:32" ht="14.5" customHeight="1" x14ac:dyDescent="0.35">
      <c r="A1795" t="s">
        <v>774</v>
      </c>
      <c r="B1795" t="s">
        <v>1193</v>
      </c>
      <c r="C1795" t="s">
        <v>47</v>
      </c>
      <c r="D1795">
        <v>3001450</v>
      </c>
      <c r="E1795">
        <v>3001450</v>
      </c>
      <c r="F1795" t="s">
        <v>1467</v>
      </c>
      <c r="G1795" t="s">
        <v>1467</v>
      </c>
      <c r="H1795" t="s">
        <v>54</v>
      </c>
      <c r="I1795">
        <v>6956287</v>
      </c>
      <c r="J1795" s="12">
        <v>46098</v>
      </c>
      <c r="K1795" s="12">
        <v>46098</v>
      </c>
      <c r="L1795" s="12">
        <v>46098</v>
      </c>
      <c r="M1795">
        <v>34</v>
      </c>
      <c r="N1795">
        <v>-10627500</v>
      </c>
      <c r="O1795">
        <v>-10627500</v>
      </c>
      <c r="P1795">
        <v>0</v>
      </c>
      <c r="Q1795">
        <v>0</v>
      </c>
      <c r="R1795">
        <v>-10627500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 t="s">
        <v>47</v>
      </c>
      <c r="AA1795" t="s">
        <v>501</v>
      </c>
      <c r="AB1795" t="s">
        <v>51</v>
      </c>
      <c r="AC1795" t="s">
        <v>51</v>
      </c>
      <c r="AD1795" t="s">
        <v>51</v>
      </c>
      <c r="AE1795" t="s">
        <v>51</v>
      </c>
      <c r="AF1795" t="s">
        <v>1520</v>
      </c>
    </row>
    <row r="1796" spans="1:32" ht="14.5" customHeight="1" x14ac:dyDescent="0.35">
      <c r="A1796" t="s">
        <v>774</v>
      </c>
      <c r="B1796" t="s">
        <v>1193</v>
      </c>
      <c r="C1796" t="s">
        <v>47</v>
      </c>
      <c r="D1796">
        <v>3001450</v>
      </c>
      <c r="E1796">
        <v>3001450</v>
      </c>
      <c r="F1796" t="s">
        <v>1467</v>
      </c>
      <c r="G1796" t="s">
        <v>1467</v>
      </c>
      <c r="H1796" t="s">
        <v>54</v>
      </c>
      <c r="I1796">
        <v>6956315</v>
      </c>
      <c r="J1796" s="12">
        <v>46098</v>
      </c>
      <c r="K1796" s="12">
        <v>46098</v>
      </c>
      <c r="L1796" s="12">
        <v>46098</v>
      </c>
      <c r="M1796">
        <v>34</v>
      </c>
      <c r="N1796">
        <v>-900000</v>
      </c>
      <c r="O1796">
        <v>-900000</v>
      </c>
      <c r="P1796">
        <v>0</v>
      </c>
      <c r="Q1796">
        <v>0</v>
      </c>
      <c r="R1796">
        <v>-900000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 t="s">
        <v>47</v>
      </c>
      <c r="AA1796" t="s">
        <v>501</v>
      </c>
      <c r="AB1796" t="s">
        <v>51</v>
      </c>
      <c r="AC1796" t="s">
        <v>51</v>
      </c>
      <c r="AD1796" t="s">
        <v>51</v>
      </c>
      <c r="AE1796" t="s">
        <v>51</v>
      </c>
      <c r="AF1796" t="s">
        <v>1521</v>
      </c>
    </row>
    <row r="1797" spans="1:32" ht="14.5" customHeight="1" x14ac:dyDescent="0.35">
      <c r="A1797" t="s">
        <v>774</v>
      </c>
      <c r="B1797" t="s">
        <v>1193</v>
      </c>
      <c r="C1797" t="s">
        <v>47</v>
      </c>
      <c r="D1797">
        <v>3001450</v>
      </c>
      <c r="E1797">
        <v>3001450</v>
      </c>
      <c r="F1797" t="s">
        <v>1467</v>
      </c>
      <c r="G1797" t="s">
        <v>1467</v>
      </c>
      <c r="H1797" t="s">
        <v>54</v>
      </c>
      <c r="I1797">
        <v>6956414</v>
      </c>
      <c r="J1797" s="12">
        <v>46099</v>
      </c>
      <c r="K1797" s="12">
        <v>46099</v>
      </c>
      <c r="L1797" s="12">
        <v>46099</v>
      </c>
      <c r="M1797">
        <v>33</v>
      </c>
      <c r="N1797">
        <v>-594427</v>
      </c>
      <c r="O1797">
        <v>-594427</v>
      </c>
      <c r="P1797">
        <v>0</v>
      </c>
      <c r="Q1797">
        <v>0</v>
      </c>
      <c r="R1797">
        <v>-594427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 t="s">
        <v>47</v>
      </c>
      <c r="AA1797" t="s">
        <v>501</v>
      </c>
      <c r="AB1797" t="s">
        <v>51</v>
      </c>
      <c r="AC1797" t="s">
        <v>51</v>
      </c>
      <c r="AD1797" t="s">
        <v>51</v>
      </c>
      <c r="AE1797" t="s">
        <v>51</v>
      </c>
      <c r="AF1797" t="s">
        <v>1522</v>
      </c>
    </row>
    <row r="1798" spans="1:32" ht="14.5" customHeight="1" x14ac:dyDescent="0.35">
      <c r="A1798" t="s">
        <v>774</v>
      </c>
      <c r="B1798" t="s">
        <v>1193</v>
      </c>
      <c r="C1798" t="s">
        <v>47</v>
      </c>
      <c r="D1798">
        <v>3001450</v>
      </c>
      <c r="E1798">
        <v>3001450</v>
      </c>
      <c r="F1798" t="s">
        <v>1467</v>
      </c>
      <c r="G1798" t="s">
        <v>1467</v>
      </c>
      <c r="H1798" t="s">
        <v>54</v>
      </c>
      <c r="I1798">
        <v>6956827</v>
      </c>
      <c r="J1798" s="12">
        <v>46106</v>
      </c>
      <c r="K1798" s="12">
        <v>46106</v>
      </c>
      <c r="L1798" s="12">
        <v>46106</v>
      </c>
      <c r="M1798">
        <v>26</v>
      </c>
      <c r="N1798">
        <v>-12120000</v>
      </c>
      <c r="O1798">
        <v>-12120000</v>
      </c>
      <c r="P1798">
        <v>0</v>
      </c>
      <c r="Q1798">
        <v>-12120000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 t="s">
        <v>47</v>
      </c>
      <c r="AA1798" t="s">
        <v>501</v>
      </c>
      <c r="AB1798" t="s">
        <v>51</v>
      </c>
      <c r="AC1798" t="s">
        <v>51</v>
      </c>
      <c r="AD1798" t="s">
        <v>51</v>
      </c>
      <c r="AE1798" t="s">
        <v>51</v>
      </c>
      <c r="AF1798" t="s">
        <v>1523</v>
      </c>
    </row>
    <row r="1799" spans="1:32" ht="14.5" customHeight="1" x14ac:dyDescent="0.35">
      <c r="A1799" t="s">
        <v>774</v>
      </c>
      <c r="B1799" t="s">
        <v>1193</v>
      </c>
      <c r="C1799" t="s">
        <v>47</v>
      </c>
      <c r="D1799">
        <v>3001450</v>
      </c>
      <c r="E1799">
        <v>3001450</v>
      </c>
      <c r="F1799" t="s">
        <v>1467</v>
      </c>
      <c r="G1799" t="s">
        <v>1467</v>
      </c>
      <c r="H1799" t="s">
        <v>54</v>
      </c>
      <c r="I1799">
        <v>6956828</v>
      </c>
      <c r="J1799" s="12">
        <v>46106</v>
      </c>
      <c r="K1799" s="12">
        <v>46106</v>
      </c>
      <c r="L1799" s="12">
        <v>46106</v>
      </c>
      <c r="M1799">
        <v>26</v>
      </c>
      <c r="N1799">
        <v>-882000</v>
      </c>
      <c r="O1799">
        <v>-882000</v>
      </c>
      <c r="P1799">
        <v>0</v>
      </c>
      <c r="Q1799">
        <v>-882000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 t="s">
        <v>47</v>
      </c>
      <c r="AA1799" t="s">
        <v>501</v>
      </c>
      <c r="AB1799" t="s">
        <v>51</v>
      </c>
      <c r="AC1799" t="s">
        <v>51</v>
      </c>
      <c r="AD1799" t="s">
        <v>51</v>
      </c>
      <c r="AE1799" t="s">
        <v>51</v>
      </c>
      <c r="AF1799" t="s">
        <v>1524</v>
      </c>
    </row>
    <row r="1800" spans="1:32" ht="14.5" customHeight="1" x14ac:dyDescent="0.35">
      <c r="A1800" t="s">
        <v>774</v>
      </c>
      <c r="B1800" t="s">
        <v>1193</v>
      </c>
      <c r="C1800" t="s">
        <v>47</v>
      </c>
      <c r="D1800">
        <v>3001450</v>
      </c>
      <c r="E1800">
        <v>3001450</v>
      </c>
      <c r="F1800" t="s">
        <v>1467</v>
      </c>
      <c r="G1800" t="s">
        <v>1467</v>
      </c>
      <c r="H1800" t="s">
        <v>54</v>
      </c>
      <c r="I1800">
        <v>6956891</v>
      </c>
      <c r="J1800" s="12">
        <v>46106</v>
      </c>
      <c r="K1800" s="12">
        <v>46106</v>
      </c>
      <c r="L1800" s="12">
        <v>46106</v>
      </c>
      <c r="M1800">
        <v>26</v>
      </c>
      <c r="N1800">
        <v>-2180000</v>
      </c>
      <c r="O1800">
        <v>-2180000</v>
      </c>
      <c r="P1800">
        <v>0</v>
      </c>
      <c r="Q1800">
        <v>-2180000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 t="s">
        <v>47</v>
      </c>
      <c r="AA1800" t="s">
        <v>501</v>
      </c>
      <c r="AB1800" t="s">
        <v>51</v>
      </c>
      <c r="AC1800" t="s">
        <v>51</v>
      </c>
      <c r="AD1800" t="s">
        <v>51</v>
      </c>
      <c r="AE1800" t="s">
        <v>51</v>
      </c>
      <c r="AF1800" t="s">
        <v>1525</v>
      </c>
    </row>
    <row r="1801" spans="1:32" ht="14.5" customHeight="1" x14ac:dyDescent="0.35">
      <c r="A1801" t="s">
        <v>774</v>
      </c>
      <c r="B1801" t="s">
        <v>1193</v>
      </c>
      <c r="C1801" t="s">
        <v>47</v>
      </c>
      <c r="D1801">
        <v>3001450</v>
      </c>
      <c r="E1801">
        <v>3001450</v>
      </c>
      <c r="F1801" t="s">
        <v>1467</v>
      </c>
      <c r="G1801" t="s">
        <v>1467</v>
      </c>
      <c r="H1801" t="s">
        <v>54</v>
      </c>
      <c r="I1801">
        <v>6956892</v>
      </c>
      <c r="J1801" s="12">
        <v>46106</v>
      </c>
      <c r="K1801" s="12">
        <v>46106</v>
      </c>
      <c r="L1801" s="12">
        <v>46106</v>
      </c>
      <c r="M1801">
        <v>26</v>
      </c>
      <c r="N1801">
        <v>-1960000</v>
      </c>
      <c r="O1801">
        <v>-1960000</v>
      </c>
      <c r="P1801">
        <v>0</v>
      </c>
      <c r="Q1801">
        <v>-1960000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 t="s">
        <v>47</v>
      </c>
      <c r="AA1801" t="s">
        <v>501</v>
      </c>
      <c r="AB1801" t="s">
        <v>51</v>
      </c>
      <c r="AC1801" t="s">
        <v>51</v>
      </c>
      <c r="AD1801" t="s">
        <v>51</v>
      </c>
      <c r="AE1801" t="s">
        <v>51</v>
      </c>
      <c r="AF1801" t="s">
        <v>1526</v>
      </c>
    </row>
    <row r="1802" spans="1:32" ht="14.5" customHeight="1" x14ac:dyDescent="0.35">
      <c r="A1802" t="s">
        <v>774</v>
      </c>
      <c r="B1802" t="s">
        <v>1193</v>
      </c>
      <c r="C1802" t="s">
        <v>47</v>
      </c>
      <c r="D1802">
        <v>3001450</v>
      </c>
      <c r="E1802">
        <v>3001450</v>
      </c>
      <c r="F1802" t="s">
        <v>1467</v>
      </c>
      <c r="G1802" t="s">
        <v>1467</v>
      </c>
      <c r="H1802" t="s">
        <v>54</v>
      </c>
      <c r="I1802">
        <v>6956893</v>
      </c>
      <c r="J1802" s="12">
        <v>46106</v>
      </c>
      <c r="K1802" s="12">
        <v>46106</v>
      </c>
      <c r="L1802" s="12">
        <v>46106</v>
      </c>
      <c r="M1802">
        <v>26</v>
      </c>
      <c r="N1802">
        <v>-545000</v>
      </c>
      <c r="O1802">
        <v>-545000</v>
      </c>
      <c r="P1802">
        <v>0</v>
      </c>
      <c r="Q1802">
        <v>-545000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 t="s">
        <v>47</v>
      </c>
      <c r="AA1802" t="s">
        <v>501</v>
      </c>
      <c r="AB1802" t="s">
        <v>51</v>
      </c>
      <c r="AC1802" t="s">
        <v>51</v>
      </c>
      <c r="AD1802" t="s">
        <v>51</v>
      </c>
      <c r="AE1802" t="s">
        <v>51</v>
      </c>
      <c r="AF1802" t="s">
        <v>1525</v>
      </c>
    </row>
    <row r="1803" spans="1:32" ht="14.5" customHeight="1" x14ac:dyDescent="0.35">
      <c r="A1803" t="s">
        <v>774</v>
      </c>
      <c r="B1803" t="s">
        <v>1193</v>
      </c>
      <c r="C1803" t="s">
        <v>47</v>
      </c>
      <c r="D1803">
        <v>3001450</v>
      </c>
      <c r="E1803">
        <v>3001450</v>
      </c>
      <c r="F1803" t="s">
        <v>1467</v>
      </c>
      <c r="G1803" t="s">
        <v>1467</v>
      </c>
      <c r="H1803" t="s">
        <v>54</v>
      </c>
      <c r="I1803">
        <v>6957020</v>
      </c>
      <c r="J1803" s="12">
        <v>46106</v>
      </c>
      <c r="K1803" s="12">
        <v>46106</v>
      </c>
      <c r="L1803" s="12">
        <v>46106</v>
      </c>
      <c r="M1803">
        <v>26</v>
      </c>
      <c r="N1803">
        <v>-156326304</v>
      </c>
      <c r="O1803">
        <v>-156326304</v>
      </c>
      <c r="P1803">
        <v>0</v>
      </c>
      <c r="Q1803">
        <v>-156326304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 t="s">
        <v>47</v>
      </c>
      <c r="AA1803" t="s">
        <v>501</v>
      </c>
      <c r="AB1803" t="s">
        <v>51</v>
      </c>
      <c r="AC1803" t="s">
        <v>51</v>
      </c>
      <c r="AD1803" t="s">
        <v>51</v>
      </c>
      <c r="AE1803" t="s">
        <v>51</v>
      </c>
      <c r="AF1803" t="s">
        <v>1527</v>
      </c>
    </row>
    <row r="1804" spans="1:32" ht="14.5" customHeight="1" x14ac:dyDescent="0.35">
      <c r="A1804" t="s">
        <v>774</v>
      </c>
      <c r="B1804" t="s">
        <v>1193</v>
      </c>
      <c r="C1804" t="s">
        <v>47</v>
      </c>
      <c r="D1804">
        <v>3001450</v>
      </c>
      <c r="E1804">
        <v>3001450</v>
      </c>
      <c r="F1804" t="s">
        <v>1467</v>
      </c>
      <c r="G1804" t="s">
        <v>1467</v>
      </c>
      <c r="H1804" t="s">
        <v>54</v>
      </c>
      <c r="I1804">
        <v>6957021</v>
      </c>
      <c r="J1804" s="12">
        <v>46106</v>
      </c>
      <c r="K1804" s="12">
        <v>46106</v>
      </c>
      <c r="L1804" s="12">
        <v>46106</v>
      </c>
      <c r="M1804">
        <v>26</v>
      </c>
      <c r="N1804">
        <v>-11242696</v>
      </c>
      <c r="O1804">
        <v>-11242696</v>
      </c>
      <c r="P1804">
        <v>0</v>
      </c>
      <c r="Q1804">
        <v>-11242696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 t="s">
        <v>47</v>
      </c>
      <c r="AA1804" t="s">
        <v>501</v>
      </c>
      <c r="AB1804" t="s">
        <v>51</v>
      </c>
      <c r="AC1804" t="s">
        <v>51</v>
      </c>
      <c r="AD1804" t="s">
        <v>51</v>
      </c>
      <c r="AE1804" t="s">
        <v>51</v>
      </c>
      <c r="AF1804" t="s">
        <v>1492</v>
      </c>
    </row>
    <row r="1805" spans="1:32" ht="14.5" customHeight="1" x14ac:dyDescent="0.35">
      <c r="A1805" t="s">
        <v>774</v>
      </c>
      <c r="B1805" t="s">
        <v>1193</v>
      </c>
      <c r="C1805" t="s">
        <v>47</v>
      </c>
      <c r="D1805">
        <v>3001450</v>
      </c>
      <c r="E1805">
        <v>3001450</v>
      </c>
      <c r="F1805" t="s">
        <v>1467</v>
      </c>
      <c r="G1805" t="s">
        <v>1467</v>
      </c>
      <c r="H1805" t="s">
        <v>54</v>
      </c>
      <c r="I1805">
        <v>6957022</v>
      </c>
      <c r="J1805" s="12">
        <v>46106</v>
      </c>
      <c r="K1805" s="12">
        <v>46106</v>
      </c>
      <c r="L1805" s="12">
        <v>46106</v>
      </c>
      <c r="M1805">
        <v>26</v>
      </c>
      <c r="N1805">
        <v>-17308309</v>
      </c>
      <c r="O1805">
        <v>-17308309</v>
      </c>
      <c r="P1805">
        <v>0</v>
      </c>
      <c r="Q1805">
        <v>-17308309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 t="s">
        <v>47</v>
      </c>
      <c r="AA1805" t="s">
        <v>501</v>
      </c>
      <c r="AB1805" t="s">
        <v>51</v>
      </c>
      <c r="AC1805" t="s">
        <v>51</v>
      </c>
      <c r="AD1805" t="s">
        <v>51</v>
      </c>
      <c r="AE1805" t="s">
        <v>51</v>
      </c>
      <c r="AF1805" t="s">
        <v>1492</v>
      </c>
    </row>
    <row r="1806" spans="1:32" ht="14.5" customHeight="1" x14ac:dyDescent="0.35">
      <c r="A1806" t="s">
        <v>774</v>
      </c>
      <c r="B1806" t="s">
        <v>1193</v>
      </c>
      <c r="C1806" t="s">
        <v>47</v>
      </c>
      <c r="D1806">
        <v>3001450</v>
      </c>
      <c r="E1806">
        <v>3001450</v>
      </c>
      <c r="F1806" t="s">
        <v>1467</v>
      </c>
      <c r="G1806" t="s">
        <v>1467</v>
      </c>
      <c r="H1806" t="s">
        <v>54</v>
      </c>
      <c r="I1806">
        <v>6957295</v>
      </c>
      <c r="J1806" s="12">
        <v>46106</v>
      </c>
      <c r="K1806" s="12">
        <v>46106</v>
      </c>
      <c r="L1806" s="12">
        <v>46106</v>
      </c>
      <c r="M1806">
        <v>26</v>
      </c>
      <c r="N1806">
        <v>-4603</v>
      </c>
      <c r="O1806">
        <v>-4603</v>
      </c>
      <c r="P1806">
        <v>0</v>
      </c>
      <c r="Q1806">
        <v>-4603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 t="s">
        <v>47</v>
      </c>
      <c r="AA1806" t="s">
        <v>501</v>
      </c>
      <c r="AB1806" t="s">
        <v>51</v>
      </c>
      <c r="AC1806" t="s">
        <v>51</v>
      </c>
      <c r="AD1806" t="s">
        <v>51</v>
      </c>
      <c r="AE1806" t="s">
        <v>51</v>
      </c>
      <c r="AF1806" t="s">
        <v>1528</v>
      </c>
    </row>
    <row r="1807" spans="1:32" ht="14.5" customHeight="1" x14ac:dyDescent="0.35">
      <c r="A1807" t="s">
        <v>774</v>
      </c>
      <c r="B1807" t="s">
        <v>1193</v>
      </c>
      <c r="C1807" t="s">
        <v>47</v>
      </c>
      <c r="D1807">
        <v>3001450</v>
      </c>
      <c r="E1807">
        <v>3001450</v>
      </c>
      <c r="F1807" t="s">
        <v>1467</v>
      </c>
      <c r="G1807" t="s">
        <v>1467</v>
      </c>
      <c r="H1807" t="s">
        <v>111</v>
      </c>
      <c r="I1807">
        <v>6957657</v>
      </c>
      <c r="J1807" s="12">
        <v>46111</v>
      </c>
      <c r="K1807" s="12">
        <v>46111</v>
      </c>
      <c r="L1807" s="12">
        <v>46111</v>
      </c>
      <c r="M1807">
        <v>21</v>
      </c>
      <c r="N1807">
        <v>-352461</v>
      </c>
      <c r="O1807">
        <v>-352461</v>
      </c>
      <c r="P1807">
        <v>0</v>
      </c>
      <c r="Q1807">
        <v>-352461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 t="s">
        <v>47</v>
      </c>
      <c r="AA1807" t="s">
        <v>501</v>
      </c>
      <c r="AB1807" t="s">
        <v>51</v>
      </c>
      <c r="AC1807" t="s">
        <v>51</v>
      </c>
      <c r="AD1807" t="s">
        <v>51</v>
      </c>
      <c r="AE1807" t="s">
        <v>51</v>
      </c>
      <c r="AF1807" t="s">
        <v>1529</v>
      </c>
    </row>
    <row r="1808" spans="1:32" ht="14.5" customHeight="1" x14ac:dyDescent="0.35">
      <c r="A1808" t="s">
        <v>774</v>
      </c>
      <c r="B1808" t="s">
        <v>1193</v>
      </c>
      <c r="C1808" t="s">
        <v>47</v>
      </c>
      <c r="D1808">
        <v>3001450</v>
      </c>
      <c r="E1808">
        <v>3001450</v>
      </c>
      <c r="F1808" t="s">
        <v>1467</v>
      </c>
      <c r="G1808" t="s">
        <v>1467</v>
      </c>
      <c r="H1808" t="s">
        <v>54</v>
      </c>
      <c r="I1808">
        <v>6958889</v>
      </c>
      <c r="J1808" s="12">
        <v>46125</v>
      </c>
      <c r="K1808" s="12">
        <v>46125</v>
      </c>
      <c r="L1808" s="12">
        <v>46125</v>
      </c>
      <c r="M1808">
        <v>7</v>
      </c>
      <c r="N1808">
        <v>-202935037</v>
      </c>
      <c r="O1808">
        <v>-202935037</v>
      </c>
      <c r="P1808">
        <v>0</v>
      </c>
      <c r="Q1808">
        <v>-202935037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 t="s">
        <v>47</v>
      </c>
      <c r="AA1808" t="s">
        <v>501</v>
      </c>
      <c r="AB1808" t="s">
        <v>51</v>
      </c>
      <c r="AC1808" t="s">
        <v>51</v>
      </c>
      <c r="AD1808" t="s">
        <v>51</v>
      </c>
      <c r="AE1808" t="s">
        <v>51</v>
      </c>
      <c r="AF1808" t="s">
        <v>325</v>
      </c>
    </row>
    <row r="1809" spans="1:32" ht="14.5" customHeight="1" x14ac:dyDescent="0.35">
      <c r="A1809" t="s">
        <v>774</v>
      </c>
      <c r="B1809" t="s">
        <v>1193</v>
      </c>
      <c r="C1809" t="s">
        <v>47</v>
      </c>
      <c r="D1809">
        <v>3001450</v>
      </c>
      <c r="E1809">
        <v>3001450</v>
      </c>
      <c r="F1809" t="s">
        <v>1467</v>
      </c>
      <c r="G1809" t="s">
        <v>1467</v>
      </c>
      <c r="H1809" t="s">
        <v>54</v>
      </c>
      <c r="I1809">
        <v>6958890</v>
      </c>
      <c r="J1809" s="12">
        <v>46125</v>
      </c>
      <c r="K1809" s="12">
        <v>46125</v>
      </c>
      <c r="L1809" s="12">
        <v>46125</v>
      </c>
      <c r="M1809">
        <v>7</v>
      </c>
      <c r="N1809">
        <v>-275336909</v>
      </c>
      <c r="O1809">
        <v>-275336909</v>
      </c>
      <c r="P1809">
        <v>0</v>
      </c>
      <c r="Q1809">
        <v>-275336909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 t="s">
        <v>47</v>
      </c>
      <c r="AA1809" t="s">
        <v>501</v>
      </c>
      <c r="AB1809" t="s">
        <v>51</v>
      </c>
      <c r="AC1809" t="s">
        <v>51</v>
      </c>
      <c r="AD1809" t="s">
        <v>51</v>
      </c>
      <c r="AE1809" t="s">
        <v>51</v>
      </c>
      <c r="AF1809" t="s">
        <v>56</v>
      </c>
    </row>
    <row r="1810" spans="1:32" ht="14.5" customHeight="1" x14ac:dyDescent="0.35">
      <c r="A1810" t="s">
        <v>774</v>
      </c>
      <c r="B1810" t="s">
        <v>1193</v>
      </c>
      <c r="C1810" t="s">
        <v>47</v>
      </c>
      <c r="D1810">
        <v>3001450</v>
      </c>
      <c r="E1810">
        <v>3001450</v>
      </c>
      <c r="F1810" t="s">
        <v>1467</v>
      </c>
      <c r="G1810" t="s">
        <v>1467</v>
      </c>
      <c r="H1810" t="s">
        <v>111</v>
      </c>
      <c r="I1810">
        <v>6959196</v>
      </c>
      <c r="J1810" s="12">
        <v>46126</v>
      </c>
      <c r="K1810" s="12">
        <v>46126</v>
      </c>
      <c r="L1810" s="12">
        <v>46126</v>
      </c>
      <c r="M1810">
        <v>6</v>
      </c>
      <c r="N1810">
        <v>-864095</v>
      </c>
      <c r="O1810">
        <v>-864095</v>
      </c>
      <c r="P1810">
        <v>0</v>
      </c>
      <c r="Q1810">
        <v>-864095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 t="s">
        <v>47</v>
      </c>
      <c r="AA1810" t="s">
        <v>501</v>
      </c>
      <c r="AB1810" t="s">
        <v>51</v>
      </c>
      <c r="AC1810" t="s">
        <v>51</v>
      </c>
      <c r="AD1810" t="s">
        <v>51</v>
      </c>
      <c r="AE1810" t="s">
        <v>51</v>
      </c>
      <c r="AF1810" t="s">
        <v>1134</v>
      </c>
    </row>
    <row r="1811" spans="1:32" ht="14.5" customHeight="1" x14ac:dyDescent="0.35">
      <c r="A1811" t="s">
        <v>774</v>
      </c>
      <c r="B1811" t="s">
        <v>1193</v>
      </c>
      <c r="C1811" t="s">
        <v>47</v>
      </c>
      <c r="D1811">
        <v>3001450</v>
      </c>
      <c r="E1811">
        <v>3001450</v>
      </c>
      <c r="F1811" t="s">
        <v>1467</v>
      </c>
      <c r="G1811" t="s">
        <v>1467</v>
      </c>
      <c r="H1811" t="s">
        <v>111</v>
      </c>
      <c r="I1811">
        <v>6959684</v>
      </c>
      <c r="J1811" s="12">
        <v>46128</v>
      </c>
      <c r="K1811" s="12">
        <v>46128</v>
      </c>
      <c r="L1811" s="12">
        <v>46128</v>
      </c>
      <c r="M1811">
        <v>4</v>
      </c>
      <c r="N1811">
        <v>-711608</v>
      </c>
      <c r="O1811">
        <v>-711608</v>
      </c>
      <c r="P1811">
        <v>0</v>
      </c>
      <c r="Q1811">
        <v>-711608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 t="s">
        <v>47</v>
      </c>
      <c r="AA1811" t="s">
        <v>501</v>
      </c>
      <c r="AB1811" t="s">
        <v>51</v>
      </c>
      <c r="AC1811" t="s">
        <v>51</v>
      </c>
      <c r="AD1811" t="s">
        <v>51</v>
      </c>
      <c r="AE1811" t="s">
        <v>51</v>
      </c>
      <c r="AF1811" t="s">
        <v>1134</v>
      </c>
    </row>
    <row r="1812" spans="1:32" ht="14.5" customHeight="1" x14ac:dyDescent="0.35">
      <c r="A1812" t="s">
        <v>774</v>
      </c>
      <c r="B1812" t="s">
        <v>1193</v>
      </c>
      <c r="C1812" t="s">
        <v>47</v>
      </c>
      <c r="D1812">
        <v>3001450</v>
      </c>
      <c r="E1812">
        <v>3001450</v>
      </c>
      <c r="F1812" t="s">
        <v>1467</v>
      </c>
      <c r="G1812" t="s">
        <v>1467</v>
      </c>
      <c r="H1812" t="s">
        <v>111</v>
      </c>
      <c r="I1812">
        <v>6959954</v>
      </c>
      <c r="J1812" s="12">
        <v>46129</v>
      </c>
      <c r="K1812" s="12">
        <v>46129</v>
      </c>
      <c r="L1812" s="12">
        <v>46129</v>
      </c>
      <c r="M1812">
        <v>3</v>
      </c>
      <c r="N1812">
        <v>-1014718</v>
      </c>
      <c r="O1812">
        <v>-1014718</v>
      </c>
      <c r="P1812">
        <v>0</v>
      </c>
      <c r="Q1812">
        <v>-1014718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 t="s">
        <v>47</v>
      </c>
      <c r="AA1812" t="s">
        <v>501</v>
      </c>
      <c r="AB1812" t="s">
        <v>51</v>
      </c>
      <c r="AC1812" t="s">
        <v>51</v>
      </c>
      <c r="AD1812" t="s">
        <v>51</v>
      </c>
      <c r="AE1812" t="s">
        <v>51</v>
      </c>
      <c r="AF1812" t="s">
        <v>1134</v>
      </c>
    </row>
    <row r="1813" spans="1:32" ht="14.5" customHeight="1" x14ac:dyDescent="0.35">
      <c r="A1813" t="s">
        <v>774</v>
      </c>
      <c r="B1813" t="s">
        <v>1193</v>
      </c>
      <c r="C1813" t="s">
        <v>47</v>
      </c>
      <c r="D1813">
        <v>3001450</v>
      </c>
      <c r="E1813">
        <v>3001450</v>
      </c>
      <c r="F1813" t="s">
        <v>1467</v>
      </c>
      <c r="G1813" t="s">
        <v>1467</v>
      </c>
      <c r="H1813" t="s">
        <v>54</v>
      </c>
      <c r="I1813">
        <v>6960100</v>
      </c>
      <c r="J1813" s="12">
        <v>46130</v>
      </c>
      <c r="K1813" s="12">
        <v>46130</v>
      </c>
      <c r="L1813" s="12">
        <v>46130</v>
      </c>
      <c r="M1813">
        <v>2</v>
      </c>
      <c r="N1813">
        <v>-26034140</v>
      </c>
      <c r="O1813">
        <v>-26034140</v>
      </c>
      <c r="P1813">
        <v>0</v>
      </c>
      <c r="Q1813">
        <v>-26034140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 t="s">
        <v>47</v>
      </c>
      <c r="AA1813" t="s">
        <v>501</v>
      </c>
      <c r="AB1813" t="s">
        <v>51</v>
      </c>
      <c r="AC1813" t="s">
        <v>51</v>
      </c>
      <c r="AD1813" t="s">
        <v>51</v>
      </c>
      <c r="AE1813" t="s">
        <v>51</v>
      </c>
      <c r="AF1813" t="s">
        <v>1530</v>
      </c>
    </row>
    <row r="1814" spans="1:32" ht="14.5" customHeight="1" x14ac:dyDescent="0.35">
      <c r="A1814" t="s">
        <v>774</v>
      </c>
      <c r="B1814" t="s">
        <v>1193</v>
      </c>
      <c r="C1814" t="s">
        <v>47</v>
      </c>
      <c r="D1814">
        <v>3001450</v>
      </c>
      <c r="E1814">
        <v>3001450</v>
      </c>
      <c r="F1814" t="s">
        <v>1467</v>
      </c>
      <c r="G1814" t="s">
        <v>1467</v>
      </c>
      <c r="H1814" t="s">
        <v>54</v>
      </c>
      <c r="I1814">
        <v>6960164</v>
      </c>
      <c r="J1814" s="12">
        <v>46130</v>
      </c>
      <c r="K1814" s="12">
        <v>46130</v>
      </c>
      <c r="L1814" s="12">
        <v>46130</v>
      </c>
      <c r="M1814">
        <v>2</v>
      </c>
      <c r="N1814">
        <v>-2719934</v>
      </c>
      <c r="O1814">
        <v>-2719934</v>
      </c>
      <c r="P1814">
        <v>0</v>
      </c>
      <c r="Q1814">
        <v>-2719934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 t="s">
        <v>47</v>
      </c>
      <c r="AA1814" t="s">
        <v>501</v>
      </c>
      <c r="AB1814" t="s">
        <v>51</v>
      </c>
      <c r="AC1814" t="s">
        <v>51</v>
      </c>
      <c r="AD1814" t="s">
        <v>51</v>
      </c>
      <c r="AE1814" t="s">
        <v>51</v>
      </c>
      <c r="AF1814" t="s">
        <v>1470</v>
      </c>
    </row>
    <row r="1815" spans="1:32" ht="14.5" customHeight="1" x14ac:dyDescent="0.35">
      <c r="A1815" t="s">
        <v>774</v>
      </c>
      <c r="B1815" t="s">
        <v>1193</v>
      </c>
      <c r="C1815" t="s">
        <v>47</v>
      </c>
      <c r="D1815">
        <v>3001450</v>
      </c>
      <c r="E1815">
        <v>3001450</v>
      </c>
      <c r="F1815" t="s">
        <v>1467</v>
      </c>
      <c r="G1815" t="s">
        <v>1467</v>
      </c>
      <c r="H1815" t="s">
        <v>54</v>
      </c>
      <c r="I1815">
        <v>6960185</v>
      </c>
      <c r="J1815" s="12">
        <v>46130</v>
      </c>
      <c r="K1815" s="12">
        <v>46130</v>
      </c>
      <c r="L1815" s="12">
        <v>46130</v>
      </c>
      <c r="M1815">
        <v>2</v>
      </c>
      <c r="N1815">
        <v>-209420</v>
      </c>
      <c r="O1815">
        <v>-209420</v>
      </c>
      <c r="P1815">
        <v>0</v>
      </c>
      <c r="Q1815">
        <v>-209420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 t="s">
        <v>47</v>
      </c>
      <c r="AA1815" t="s">
        <v>501</v>
      </c>
      <c r="AB1815" t="s">
        <v>51</v>
      </c>
      <c r="AC1815" t="s">
        <v>51</v>
      </c>
      <c r="AD1815" t="s">
        <v>51</v>
      </c>
      <c r="AE1815" t="s">
        <v>51</v>
      </c>
      <c r="AF1815" t="s">
        <v>1531</v>
      </c>
    </row>
    <row r="1816" spans="1:32" ht="14.5" customHeight="1" x14ac:dyDescent="0.35">
      <c r="A1816" t="s">
        <v>774</v>
      </c>
      <c r="B1816" t="s">
        <v>1193</v>
      </c>
      <c r="C1816" t="s">
        <v>47</v>
      </c>
      <c r="D1816">
        <v>3001450</v>
      </c>
      <c r="E1816">
        <v>3001450</v>
      </c>
      <c r="F1816" t="s">
        <v>1467</v>
      </c>
      <c r="G1816" t="s">
        <v>1467</v>
      </c>
      <c r="H1816" t="s">
        <v>54</v>
      </c>
      <c r="I1816">
        <v>6960186</v>
      </c>
      <c r="J1816" s="12">
        <v>46130</v>
      </c>
      <c r="K1816" s="12">
        <v>46130</v>
      </c>
      <c r="L1816" s="12">
        <v>46130</v>
      </c>
      <c r="M1816">
        <v>2</v>
      </c>
      <c r="N1816">
        <v>-168870</v>
      </c>
      <c r="O1816">
        <v>-168870</v>
      </c>
      <c r="P1816">
        <v>0</v>
      </c>
      <c r="Q1816">
        <v>-168870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 t="s">
        <v>47</v>
      </c>
      <c r="AA1816" t="s">
        <v>501</v>
      </c>
      <c r="AB1816" t="s">
        <v>51</v>
      </c>
      <c r="AC1816" t="s">
        <v>51</v>
      </c>
      <c r="AD1816" t="s">
        <v>51</v>
      </c>
      <c r="AE1816" t="s">
        <v>51</v>
      </c>
      <c r="AF1816" t="s">
        <v>1501</v>
      </c>
    </row>
    <row r="1817" spans="1:32" ht="14.5" customHeight="1" x14ac:dyDescent="0.35">
      <c r="A1817" t="s">
        <v>774</v>
      </c>
      <c r="B1817" t="s">
        <v>1193</v>
      </c>
      <c r="C1817" t="s">
        <v>47</v>
      </c>
      <c r="D1817">
        <v>3001450</v>
      </c>
      <c r="E1817">
        <v>3001450</v>
      </c>
      <c r="F1817" t="s">
        <v>1467</v>
      </c>
      <c r="G1817" t="s">
        <v>1467</v>
      </c>
      <c r="H1817" t="s">
        <v>54</v>
      </c>
      <c r="I1817">
        <v>6960187</v>
      </c>
      <c r="J1817" s="12">
        <v>46130</v>
      </c>
      <c r="K1817" s="12">
        <v>46130</v>
      </c>
      <c r="L1817" s="12">
        <v>46130</v>
      </c>
      <c r="M1817">
        <v>2</v>
      </c>
      <c r="N1817">
        <v>-193025</v>
      </c>
      <c r="O1817">
        <v>-193025</v>
      </c>
      <c r="P1817">
        <v>0</v>
      </c>
      <c r="Q1817">
        <v>-193025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 t="s">
        <v>47</v>
      </c>
      <c r="AA1817" t="s">
        <v>501</v>
      </c>
      <c r="AB1817" t="s">
        <v>51</v>
      </c>
      <c r="AC1817" t="s">
        <v>51</v>
      </c>
      <c r="AD1817" t="s">
        <v>51</v>
      </c>
      <c r="AE1817" t="s">
        <v>51</v>
      </c>
      <c r="AF1817" t="s">
        <v>1532</v>
      </c>
    </row>
    <row r="1818" spans="1:32" ht="14.5" customHeight="1" x14ac:dyDescent="0.35">
      <c r="A1818" t="s">
        <v>774</v>
      </c>
      <c r="B1818" t="s">
        <v>1193</v>
      </c>
      <c r="C1818" t="s">
        <v>47</v>
      </c>
      <c r="D1818">
        <v>3001450</v>
      </c>
      <c r="E1818">
        <v>3001450</v>
      </c>
      <c r="F1818" t="s">
        <v>1467</v>
      </c>
      <c r="G1818" t="s">
        <v>1467</v>
      </c>
      <c r="H1818" t="s">
        <v>54</v>
      </c>
      <c r="I1818">
        <v>6960188</v>
      </c>
      <c r="J1818" s="12">
        <v>46130</v>
      </c>
      <c r="K1818" s="12">
        <v>46130</v>
      </c>
      <c r="L1818" s="12">
        <v>46130</v>
      </c>
      <c r="M1818">
        <v>2</v>
      </c>
      <c r="N1818">
        <v>-1799375</v>
      </c>
      <c r="O1818">
        <v>-1799375</v>
      </c>
      <c r="P1818">
        <v>0</v>
      </c>
      <c r="Q1818">
        <v>-1799375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 t="s">
        <v>47</v>
      </c>
      <c r="AA1818" t="s">
        <v>501</v>
      </c>
      <c r="AB1818" t="s">
        <v>51</v>
      </c>
      <c r="AC1818" t="s">
        <v>51</v>
      </c>
      <c r="AD1818" t="s">
        <v>51</v>
      </c>
      <c r="AE1818" t="s">
        <v>51</v>
      </c>
      <c r="AF1818" t="s">
        <v>1533</v>
      </c>
    </row>
    <row r="1819" spans="1:32" ht="14.5" customHeight="1" x14ac:dyDescent="0.35">
      <c r="A1819" t="s">
        <v>774</v>
      </c>
      <c r="B1819" t="s">
        <v>1193</v>
      </c>
      <c r="C1819" t="s">
        <v>47</v>
      </c>
      <c r="D1819">
        <v>3001450</v>
      </c>
      <c r="E1819">
        <v>3001450</v>
      </c>
      <c r="F1819" t="s">
        <v>1467</v>
      </c>
      <c r="G1819" t="s">
        <v>1467</v>
      </c>
      <c r="H1819" t="s">
        <v>54</v>
      </c>
      <c r="I1819">
        <v>6960189</v>
      </c>
      <c r="J1819" s="12">
        <v>46130</v>
      </c>
      <c r="K1819" s="12">
        <v>46130</v>
      </c>
      <c r="L1819" s="12">
        <v>46130</v>
      </c>
      <c r="M1819">
        <v>2</v>
      </c>
      <c r="N1819">
        <v>-1078140</v>
      </c>
      <c r="O1819">
        <v>-1078140</v>
      </c>
      <c r="P1819">
        <v>0</v>
      </c>
      <c r="Q1819">
        <v>-1078140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 t="s">
        <v>47</v>
      </c>
      <c r="AA1819" t="s">
        <v>501</v>
      </c>
      <c r="AB1819" t="s">
        <v>51</v>
      </c>
      <c r="AC1819" t="s">
        <v>51</v>
      </c>
      <c r="AD1819" t="s">
        <v>51</v>
      </c>
      <c r="AE1819" t="s">
        <v>51</v>
      </c>
      <c r="AF1819" t="s">
        <v>1534</v>
      </c>
    </row>
    <row r="1820" spans="1:32" ht="14.5" customHeight="1" x14ac:dyDescent="0.35">
      <c r="A1820" t="s">
        <v>774</v>
      </c>
      <c r="B1820" t="s">
        <v>1193</v>
      </c>
      <c r="C1820" t="s">
        <v>47</v>
      </c>
      <c r="D1820">
        <v>3001450</v>
      </c>
      <c r="E1820">
        <v>3001450</v>
      </c>
      <c r="F1820" t="s">
        <v>1467</v>
      </c>
      <c r="G1820" t="s">
        <v>1467</v>
      </c>
      <c r="H1820" t="s">
        <v>54</v>
      </c>
      <c r="I1820">
        <v>6960190</v>
      </c>
      <c r="J1820" s="12">
        <v>46130</v>
      </c>
      <c r="K1820" s="12">
        <v>46130</v>
      </c>
      <c r="L1820" s="12">
        <v>46130</v>
      </c>
      <c r="M1820">
        <v>2</v>
      </c>
      <c r="N1820">
        <v>-1214246</v>
      </c>
      <c r="O1820">
        <v>-1214246</v>
      </c>
      <c r="P1820">
        <v>0</v>
      </c>
      <c r="Q1820">
        <v>-1214246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 t="s">
        <v>47</v>
      </c>
      <c r="AA1820" t="s">
        <v>501</v>
      </c>
      <c r="AB1820" t="s">
        <v>51</v>
      </c>
      <c r="AC1820" t="s">
        <v>51</v>
      </c>
      <c r="AD1820" t="s">
        <v>51</v>
      </c>
      <c r="AE1820" t="s">
        <v>51</v>
      </c>
      <c r="AF1820" t="s">
        <v>1534</v>
      </c>
    </row>
    <row r="1821" spans="1:32" ht="14.5" customHeight="1" x14ac:dyDescent="0.35">
      <c r="A1821" t="s">
        <v>774</v>
      </c>
      <c r="B1821" t="s">
        <v>1193</v>
      </c>
      <c r="C1821" t="s">
        <v>47</v>
      </c>
      <c r="D1821">
        <v>3001450</v>
      </c>
      <c r="E1821">
        <v>3001450</v>
      </c>
      <c r="F1821" t="s">
        <v>1467</v>
      </c>
      <c r="G1821" t="s">
        <v>1467</v>
      </c>
      <c r="H1821" t="s">
        <v>54</v>
      </c>
      <c r="I1821">
        <v>6960227</v>
      </c>
      <c r="J1821" s="12">
        <v>46130</v>
      </c>
      <c r="K1821" s="12">
        <v>46130</v>
      </c>
      <c r="L1821" s="12">
        <v>46130</v>
      </c>
      <c r="M1821">
        <v>2</v>
      </c>
      <c r="N1821">
        <v>-301569</v>
      </c>
      <c r="O1821">
        <v>-301569</v>
      </c>
      <c r="P1821">
        <v>0</v>
      </c>
      <c r="Q1821">
        <v>-301569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 t="s">
        <v>47</v>
      </c>
      <c r="AA1821" t="s">
        <v>501</v>
      </c>
      <c r="AB1821" t="s">
        <v>51</v>
      </c>
      <c r="AC1821" t="s">
        <v>51</v>
      </c>
      <c r="AD1821" t="s">
        <v>51</v>
      </c>
      <c r="AE1821" t="s">
        <v>51</v>
      </c>
      <c r="AF1821" t="s">
        <v>1535</v>
      </c>
    </row>
    <row r="1822" spans="1:32" ht="14.5" customHeight="1" x14ac:dyDescent="0.35">
      <c r="A1822" t="s">
        <v>774</v>
      </c>
      <c r="B1822" t="s">
        <v>1193</v>
      </c>
      <c r="C1822" t="s">
        <v>47</v>
      </c>
      <c r="D1822">
        <v>3001450</v>
      </c>
      <c r="E1822">
        <v>3001450</v>
      </c>
      <c r="F1822" t="s">
        <v>1467</v>
      </c>
      <c r="G1822" t="s">
        <v>1467</v>
      </c>
      <c r="H1822" t="s">
        <v>54</v>
      </c>
      <c r="I1822">
        <v>6960228</v>
      </c>
      <c r="J1822" s="12">
        <v>46130</v>
      </c>
      <c r="K1822" s="12">
        <v>46130</v>
      </c>
      <c r="L1822" s="12">
        <v>46130</v>
      </c>
      <c r="M1822">
        <v>2</v>
      </c>
      <c r="N1822">
        <v>-2180000</v>
      </c>
      <c r="O1822">
        <v>-2180000</v>
      </c>
      <c r="P1822">
        <v>0</v>
      </c>
      <c r="Q1822">
        <v>-2180000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 t="s">
        <v>47</v>
      </c>
      <c r="AA1822" t="s">
        <v>501</v>
      </c>
      <c r="AB1822" t="s">
        <v>51</v>
      </c>
      <c r="AC1822" t="s">
        <v>51</v>
      </c>
      <c r="AD1822" t="s">
        <v>51</v>
      </c>
      <c r="AE1822" t="s">
        <v>51</v>
      </c>
      <c r="AF1822" t="s">
        <v>1475</v>
      </c>
    </row>
    <row r="1823" spans="1:32" ht="14.5" customHeight="1" x14ac:dyDescent="0.35">
      <c r="A1823" t="s">
        <v>774</v>
      </c>
      <c r="B1823" t="s">
        <v>1193</v>
      </c>
      <c r="C1823" t="s">
        <v>47</v>
      </c>
      <c r="D1823">
        <v>3001450</v>
      </c>
      <c r="E1823">
        <v>3001450</v>
      </c>
      <c r="F1823" t="s">
        <v>1467</v>
      </c>
      <c r="G1823" t="s">
        <v>1467</v>
      </c>
      <c r="H1823" t="s">
        <v>54</v>
      </c>
      <c r="I1823">
        <v>9917591</v>
      </c>
      <c r="J1823" s="12">
        <v>46107</v>
      </c>
      <c r="K1823" s="12">
        <v>46107</v>
      </c>
      <c r="L1823" s="12">
        <v>46138</v>
      </c>
      <c r="M1823">
        <v>-6</v>
      </c>
      <c r="N1823">
        <v>904023805</v>
      </c>
      <c r="O1823">
        <v>0</v>
      </c>
      <c r="P1823">
        <v>904023805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 t="s">
        <v>47</v>
      </c>
      <c r="AA1823" t="s">
        <v>501</v>
      </c>
      <c r="AB1823" t="s">
        <v>51</v>
      </c>
      <c r="AC1823" t="s">
        <v>1536</v>
      </c>
      <c r="AD1823" t="s">
        <v>51</v>
      </c>
      <c r="AE1823" t="s">
        <v>51</v>
      </c>
      <c r="AF1823" t="s">
        <v>1134</v>
      </c>
    </row>
    <row r="1824" spans="1:32" ht="14.5" customHeight="1" x14ac:dyDescent="0.35">
      <c r="A1824" t="s">
        <v>774</v>
      </c>
      <c r="B1824" t="s">
        <v>1193</v>
      </c>
      <c r="C1824" t="s">
        <v>47</v>
      </c>
      <c r="D1824">
        <v>3001450</v>
      </c>
      <c r="E1824">
        <v>3001450</v>
      </c>
      <c r="F1824" t="s">
        <v>1467</v>
      </c>
      <c r="G1824" t="s">
        <v>1467</v>
      </c>
      <c r="H1824" t="s">
        <v>54</v>
      </c>
      <c r="I1824">
        <v>9917592</v>
      </c>
      <c r="J1824" s="12">
        <v>46107</v>
      </c>
      <c r="K1824" s="12">
        <v>46107</v>
      </c>
      <c r="L1824" s="12">
        <v>46138</v>
      </c>
      <c r="M1824">
        <v>-6</v>
      </c>
      <c r="N1824">
        <v>14095801</v>
      </c>
      <c r="O1824">
        <v>0</v>
      </c>
      <c r="P1824">
        <v>14095801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 t="s">
        <v>47</v>
      </c>
      <c r="AA1824" t="s">
        <v>501</v>
      </c>
      <c r="AB1824" t="s">
        <v>51</v>
      </c>
      <c r="AC1824" t="s">
        <v>1537</v>
      </c>
      <c r="AD1824" t="s">
        <v>51</v>
      </c>
      <c r="AE1824" t="s">
        <v>51</v>
      </c>
      <c r="AF1824" t="s">
        <v>163</v>
      </c>
    </row>
    <row r="1825" spans="1:32" ht="14.5" customHeight="1" x14ac:dyDescent="0.35">
      <c r="A1825" t="s">
        <v>774</v>
      </c>
      <c r="B1825" t="s">
        <v>1193</v>
      </c>
      <c r="C1825" t="s">
        <v>47</v>
      </c>
      <c r="D1825">
        <v>3001450</v>
      </c>
      <c r="E1825">
        <v>3001450</v>
      </c>
      <c r="F1825" t="s">
        <v>1467</v>
      </c>
      <c r="G1825" t="s">
        <v>1467</v>
      </c>
      <c r="H1825" t="s">
        <v>54</v>
      </c>
      <c r="I1825">
        <v>9918331</v>
      </c>
      <c r="J1825" s="12">
        <v>46107</v>
      </c>
      <c r="K1825" s="12">
        <v>46107</v>
      </c>
      <c r="L1825" s="12">
        <v>46138</v>
      </c>
      <c r="M1825">
        <v>-6</v>
      </c>
      <c r="N1825">
        <v>702272698</v>
      </c>
      <c r="O1825">
        <v>0</v>
      </c>
      <c r="P1825">
        <v>702272698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 t="s">
        <v>47</v>
      </c>
      <c r="AA1825" t="s">
        <v>501</v>
      </c>
      <c r="AB1825" t="s">
        <v>51</v>
      </c>
      <c r="AC1825" t="s">
        <v>1538</v>
      </c>
      <c r="AD1825" t="s">
        <v>51</v>
      </c>
      <c r="AE1825" t="s">
        <v>51</v>
      </c>
      <c r="AF1825" t="s">
        <v>195</v>
      </c>
    </row>
    <row r="1826" spans="1:32" ht="14.5" customHeight="1" x14ac:dyDescent="0.35">
      <c r="A1826" t="s">
        <v>774</v>
      </c>
      <c r="B1826" t="s">
        <v>1193</v>
      </c>
      <c r="C1826" t="s">
        <v>47</v>
      </c>
      <c r="D1826">
        <v>3001450</v>
      </c>
      <c r="E1826">
        <v>3001563</v>
      </c>
      <c r="F1826" t="s">
        <v>1467</v>
      </c>
      <c r="G1826" t="s">
        <v>1467</v>
      </c>
      <c r="H1826" t="s">
        <v>54</v>
      </c>
      <c r="I1826">
        <v>9918743</v>
      </c>
      <c r="J1826" s="12">
        <v>46108</v>
      </c>
      <c r="K1826" s="12">
        <v>46108</v>
      </c>
      <c r="L1826" s="12">
        <v>46139</v>
      </c>
      <c r="M1826">
        <v>-7</v>
      </c>
      <c r="N1826">
        <v>101505853</v>
      </c>
      <c r="O1826">
        <v>0</v>
      </c>
      <c r="P1826">
        <v>101505853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 t="s">
        <v>47</v>
      </c>
      <c r="AA1826" t="s">
        <v>501</v>
      </c>
      <c r="AB1826" t="s">
        <v>51</v>
      </c>
      <c r="AC1826" t="s">
        <v>1539</v>
      </c>
      <c r="AD1826" t="s">
        <v>51</v>
      </c>
      <c r="AE1826" t="s">
        <v>51</v>
      </c>
      <c r="AF1826" t="s">
        <v>1457</v>
      </c>
    </row>
    <row r="1827" spans="1:32" ht="14.5" customHeight="1" x14ac:dyDescent="0.35">
      <c r="A1827" t="s">
        <v>774</v>
      </c>
      <c r="B1827" t="s">
        <v>1193</v>
      </c>
      <c r="C1827" t="s">
        <v>47</v>
      </c>
      <c r="D1827">
        <v>3001450</v>
      </c>
      <c r="E1827">
        <v>3001563</v>
      </c>
      <c r="F1827" t="s">
        <v>1467</v>
      </c>
      <c r="G1827" t="s">
        <v>1467</v>
      </c>
      <c r="H1827" t="s">
        <v>54</v>
      </c>
      <c r="I1827">
        <v>9919936</v>
      </c>
      <c r="J1827" s="12">
        <v>46110</v>
      </c>
      <c r="K1827" s="12">
        <v>46110</v>
      </c>
      <c r="L1827" s="12">
        <v>46141</v>
      </c>
      <c r="M1827">
        <v>-9</v>
      </c>
      <c r="N1827">
        <v>163047110</v>
      </c>
      <c r="O1827">
        <v>0</v>
      </c>
      <c r="P1827">
        <v>163047110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 t="s">
        <v>47</v>
      </c>
      <c r="AA1827" t="s">
        <v>501</v>
      </c>
      <c r="AB1827" t="s">
        <v>51</v>
      </c>
      <c r="AC1827" t="s">
        <v>51</v>
      </c>
      <c r="AD1827" t="s">
        <v>1540</v>
      </c>
      <c r="AE1827" t="s">
        <v>51</v>
      </c>
      <c r="AF1827" t="s">
        <v>195</v>
      </c>
    </row>
    <row r="1828" spans="1:32" ht="14.5" customHeight="1" x14ac:dyDescent="0.35">
      <c r="A1828" t="s">
        <v>774</v>
      </c>
      <c r="B1828" t="s">
        <v>1193</v>
      </c>
      <c r="C1828" t="s">
        <v>47</v>
      </c>
      <c r="D1828">
        <v>3001450</v>
      </c>
      <c r="E1828">
        <v>3001563</v>
      </c>
      <c r="F1828" t="s">
        <v>1467</v>
      </c>
      <c r="G1828" t="s">
        <v>1467</v>
      </c>
      <c r="H1828" t="s">
        <v>54</v>
      </c>
      <c r="I1828">
        <v>9919942</v>
      </c>
      <c r="J1828" s="12">
        <v>46110</v>
      </c>
      <c r="K1828" s="12">
        <v>46110</v>
      </c>
      <c r="L1828" s="12">
        <v>46141</v>
      </c>
      <c r="M1828">
        <v>-9</v>
      </c>
      <c r="N1828">
        <v>3335941</v>
      </c>
      <c r="O1828">
        <v>0</v>
      </c>
      <c r="P1828">
        <v>3335941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 t="s">
        <v>47</v>
      </c>
      <c r="AA1828" t="s">
        <v>501</v>
      </c>
      <c r="AB1828" t="s">
        <v>51</v>
      </c>
      <c r="AC1828" t="s">
        <v>51</v>
      </c>
      <c r="AD1828" t="s">
        <v>1541</v>
      </c>
      <c r="AE1828" t="s">
        <v>51</v>
      </c>
      <c r="AF1828" t="s">
        <v>158</v>
      </c>
    </row>
    <row r="1829" spans="1:32" ht="14.5" customHeight="1" x14ac:dyDescent="0.35">
      <c r="A1829" t="s">
        <v>774</v>
      </c>
      <c r="B1829" t="s">
        <v>1193</v>
      </c>
      <c r="C1829" t="s">
        <v>47</v>
      </c>
      <c r="D1829">
        <v>3001450</v>
      </c>
      <c r="E1829">
        <v>3001563</v>
      </c>
      <c r="F1829" t="s">
        <v>1467</v>
      </c>
      <c r="G1829" t="s">
        <v>1467</v>
      </c>
      <c r="H1829" t="s">
        <v>54</v>
      </c>
      <c r="I1829">
        <v>9920303</v>
      </c>
      <c r="J1829" s="12">
        <v>46111</v>
      </c>
      <c r="K1829" s="12">
        <v>46111</v>
      </c>
      <c r="L1829" s="12">
        <v>46142</v>
      </c>
      <c r="M1829">
        <v>-10</v>
      </c>
      <c r="N1829">
        <v>102235182</v>
      </c>
      <c r="O1829">
        <v>0</v>
      </c>
      <c r="P1829">
        <v>102235182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 t="s">
        <v>47</v>
      </c>
      <c r="AA1829" t="s">
        <v>501</v>
      </c>
      <c r="AB1829" t="s">
        <v>51</v>
      </c>
      <c r="AC1829" t="s">
        <v>51</v>
      </c>
      <c r="AD1829" t="s">
        <v>1542</v>
      </c>
      <c r="AE1829" t="s">
        <v>51</v>
      </c>
      <c r="AF1829" t="s">
        <v>1543</v>
      </c>
    </row>
    <row r="1830" spans="1:32" ht="14.5" customHeight="1" x14ac:dyDescent="0.35">
      <c r="A1830" t="s">
        <v>774</v>
      </c>
      <c r="B1830" t="s">
        <v>1193</v>
      </c>
      <c r="C1830" t="s">
        <v>47</v>
      </c>
      <c r="D1830">
        <v>3001450</v>
      </c>
      <c r="E1830">
        <v>3001450</v>
      </c>
      <c r="F1830" t="s">
        <v>1467</v>
      </c>
      <c r="G1830" t="s">
        <v>1467</v>
      </c>
      <c r="H1830" t="s">
        <v>54</v>
      </c>
      <c r="I1830">
        <v>9920333</v>
      </c>
      <c r="J1830" s="12">
        <v>46111</v>
      </c>
      <c r="K1830" s="12">
        <v>46111</v>
      </c>
      <c r="L1830" s="12">
        <v>46142</v>
      </c>
      <c r="M1830">
        <v>-10</v>
      </c>
      <c r="N1830">
        <v>547268664</v>
      </c>
      <c r="O1830">
        <v>0</v>
      </c>
      <c r="P1830">
        <v>547268664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 t="s">
        <v>47</v>
      </c>
      <c r="AA1830" t="s">
        <v>501</v>
      </c>
      <c r="AB1830" t="s">
        <v>51</v>
      </c>
      <c r="AC1830" t="s">
        <v>51</v>
      </c>
      <c r="AD1830" t="s">
        <v>1544</v>
      </c>
      <c r="AE1830" t="s">
        <v>51</v>
      </c>
      <c r="AF1830" t="s">
        <v>113</v>
      </c>
    </row>
    <row r="1831" spans="1:32" ht="14.5" customHeight="1" x14ac:dyDescent="0.35">
      <c r="A1831" t="s">
        <v>774</v>
      </c>
      <c r="B1831" t="s">
        <v>1193</v>
      </c>
      <c r="C1831" t="s">
        <v>47</v>
      </c>
      <c r="D1831">
        <v>3001450</v>
      </c>
      <c r="E1831">
        <v>3001563</v>
      </c>
      <c r="F1831" t="s">
        <v>1467</v>
      </c>
      <c r="G1831" t="s">
        <v>1467</v>
      </c>
      <c r="H1831" t="s">
        <v>54</v>
      </c>
      <c r="I1831">
        <v>9921544</v>
      </c>
      <c r="J1831" s="12">
        <v>46113</v>
      </c>
      <c r="K1831" s="12">
        <v>46113</v>
      </c>
      <c r="L1831" s="12">
        <v>46144</v>
      </c>
      <c r="M1831">
        <v>-12</v>
      </c>
      <c r="N1831">
        <v>1206845</v>
      </c>
      <c r="O1831">
        <v>0</v>
      </c>
      <c r="P1831">
        <v>1206845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 t="s">
        <v>47</v>
      </c>
      <c r="AA1831" t="s">
        <v>501</v>
      </c>
      <c r="AB1831" t="s">
        <v>51</v>
      </c>
      <c r="AC1831" t="s">
        <v>51</v>
      </c>
      <c r="AD1831" t="s">
        <v>1545</v>
      </c>
      <c r="AE1831" t="s">
        <v>51</v>
      </c>
      <c r="AF1831" t="s">
        <v>358</v>
      </c>
    </row>
    <row r="1832" spans="1:32" ht="14.5" customHeight="1" x14ac:dyDescent="0.35">
      <c r="A1832" t="s">
        <v>774</v>
      </c>
      <c r="B1832" t="s">
        <v>1193</v>
      </c>
      <c r="C1832" t="s">
        <v>47</v>
      </c>
      <c r="D1832">
        <v>3001450</v>
      </c>
      <c r="E1832">
        <v>3001563</v>
      </c>
      <c r="F1832" t="s">
        <v>1467</v>
      </c>
      <c r="G1832" t="s">
        <v>1467</v>
      </c>
      <c r="H1832" t="s">
        <v>54</v>
      </c>
      <c r="I1832">
        <v>9923077</v>
      </c>
      <c r="J1832" s="12">
        <v>46120</v>
      </c>
      <c r="K1832" s="12">
        <v>46120</v>
      </c>
      <c r="L1832" s="12">
        <v>46151</v>
      </c>
      <c r="M1832">
        <v>-19</v>
      </c>
      <c r="N1832">
        <v>205069392</v>
      </c>
      <c r="O1832">
        <v>0</v>
      </c>
      <c r="P1832">
        <v>205069392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 t="s">
        <v>47</v>
      </c>
      <c r="AA1832" t="s">
        <v>501</v>
      </c>
      <c r="AB1832" t="s">
        <v>51</v>
      </c>
      <c r="AC1832" t="s">
        <v>51</v>
      </c>
      <c r="AD1832" t="s">
        <v>51</v>
      </c>
      <c r="AE1832" t="s">
        <v>1546</v>
      </c>
      <c r="AF1832" t="s">
        <v>436</v>
      </c>
    </row>
    <row r="1833" spans="1:32" ht="14.5" customHeight="1" x14ac:dyDescent="0.35">
      <c r="A1833" t="s">
        <v>774</v>
      </c>
      <c r="B1833" t="s">
        <v>1193</v>
      </c>
      <c r="C1833" t="s">
        <v>47</v>
      </c>
      <c r="D1833">
        <v>3001450</v>
      </c>
      <c r="E1833">
        <v>3001450</v>
      </c>
      <c r="F1833" t="s">
        <v>1467</v>
      </c>
      <c r="G1833" t="s">
        <v>1467</v>
      </c>
      <c r="H1833" t="s">
        <v>54</v>
      </c>
      <c r="I1833">
        <v>9923199</v>
      </c>
      <c r="J1833" s="12">
        <v>46120</v>
      </c>
      <c r="K1833" s="12">
        <v>46120</v>
      </c>
      <c r="L1833" s="12">
        <v>46151</v>
      </c>
      <c r="M1833">
        <v>-19</v>
      </c>
      <c r="N1833">
        <v>528216015</v>
      </c>
      <c r="O1833">
        <v>0</v>
      </c>
      <c r="P1833">
        <v>528216015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 t="s">
        <v>47</v>
      </c>
      <c r="AA1833" t="s">
        <v>501</v>
      </c>
      <c r="AB1833" t="s">
        <v>51</v>
      </c>
      <c r="AC1833" t="s">
        <v>51</v>
      </c>
      <c r="AD1833" t="s">
        <v>51</v>
      </c>
      <c r="AE1833" t="s">
        <v>1547</v>
      </c>
      <c r="AF1833" t="s">
        <v>948</v>
      </c>
    </row>
    <row r="1834" spans="1:32" ht="14.5" customHeight="1" x14ac:dyDescent="0.35">
      <c r="A1834" t="s">
        <v>774</v>
      </c>
      <c r="B1834" t="s">
        <v>1193</v>
      </c>
      <c r="C1834" t="s">
        <v>47</v>
      </c>
      <c r="D1834">
        <v>3001450</v>
      </c>
      <c r="E1834">
        <v>3001450</v>
      </c>
      <c r="F1834" t="s">
        <v>1467</v>
      </c>
      <c r="G1834" t="s">
        <v>1467</v>
      </c>
      <c r="H1834" t="s">
        <v>54</v>
      </c>
      <c r="I1834">
        <v>9923200</v>
      </c>
      <c r="J1834" s="12">
        <v>46120</v>
      </c>
      <c r="K1834" s="12">
        <v>46120</v>
      </c>
      <c r="L1834" s="12">
        <v>46151</v>
      </c>
      <c r="M1834">
        <v>-19</v>
      </c>
      <c r="N1834">
        <v>3335941</v>
      </c>
      <c r="O1834">
        <v>0</v>
      </c>
      <c r="P1834">
        <v>3335941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 t="s">
        <v>47</v>
      </c>
      <c r="AA1834" t="s">
        <v>501</v>
      </c>
      <c r="AB1834" t="s">
        <v>51</v>
      </c>
      <c r="AC1834" t="s">
        <v>51</v>
      </c>
      <c r="AD1834" t="s">
        <v>51</v>
      </c>
      <c r="AE1834" t="s">
        <v>1541</v>
      </c>
      <c r="AF1834" t="s">
        <v>158</v>
      </c>
    </row>
    <row r="1835" spans="1:32" ht="14.5" customHeight="1" x14ac:dyDescent="0.35">
      <c r="A1835" t="s">
        <v>774</v>
      </c>
      <c r="B1835" t="s">
        <v>1193</v>
      </c>
      <c r="C1835" t="s">
        <v>47</v>
      </c>
      <c r="D1835">
        <v>3001450</v>
      </c>
      <c r="E1835">
        <v>3001450</v>
      </c>
      <c r="F1835" t="s">
        <v>1467</v>
      </c>
      <c r="G1835" t="s">
        <v>1467</v>
      </c>
      <c r="H1835" t="s">
        <v>54</v>
      </c>
      <c r="I1835">
        <v>9923400</v>
      </c>
      <c r="J1835" s="12">
        <v>46121</v>
      </c>
      <c r="K1835" s="12">
        <v>46121</v>
      </c>
      <c r="L1835" s="12">
        <v>46152</v>
      </c>
      <c r="M1835">
        <v>-20</v>
      </c>
      <c r="N1835">
        <v>371346455</v>
      </c>
      <c r="O1835">
        <v>0</v>
      </c>
      <c r="P1835">
        <v>371346455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 t="s">
        <v>47</v>
      </c>
      <c r="AA1835" t="s">
        <v>501</v>
      </c>
      <c r="AB1835" t="s">
        <v>51</v>
      </c>
      <c r="AC1835" t="s">
        <v>51</v>
      </c>
      <c r="AD1835" t="s">
        <v>51</v>
      </c>
      <c r="AE1835" t="s">
        <v>1548</v>
      </c>
      <c r="AF1835" t="s">
        <v>299</v>
      </c>
    </row>
    <row r="1836" spans="1:32" ht="14.5" customHeight="1" x14ac:dyDescent="0.35">
      <c r="A1836" t="s">
        <v>774</v>
      </c>
      <c r="B1836" t="s">
        <v>1193</v>
      </c>
      <c r="C1836" t="s">
        <v>47</v>
      </c>
      <c r="D1836">
        <v>3001450</v>
      </c>
      <c r="E1836">
        <v>3001563</v>
      </c>
      <c r="F1836" t="s">
        <v>1467</v>
      </c>
      <c r="G1836" t="s">
        <v>1467</v>
      </c>
      <c r="H1836" t="s">
        <v>54</v>
      </c>
      <c r="I1836">
        <v>9923411</v>
      </c>
      <c r="J1836" s="12">
        <v>46121</v>
      </c>
      <c r="K1836" s="12">
        <v>46121</v>
      </c>
      <c r="L1836" s="12">
        <v>46152</v>
      </c>
      <c r="M1836">
        <v>-20</v>
      </c>
      <c r="N1836">
        <v>163904898</v>
      </c>
      <c r="O1836">
        <v>0</v>
      </c>
      <c r="P1836">
        <v>163904898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 t="s">
        <v>47</v>
      </c>
      <c r="AA1836" t="s">
        <v>501</v>
      </c>
      <c r="AB1836" t="s">
        <v>51</v>
      </c>
      <c r="AC1836" t="s">
        <v>51</v>
      </c>
      <c r="AD1836" t="s">
        <v>51</v>
      </c>
      <c r="AE1836" t="s">
        <v>1549</v>
      </c>
      <c r="AF1836" t="s">
        <v>1134</v>
      </c>
    </row>
    <row r="1837" spans="1:32" ht="14.5" customHeight="1" x14ac:dyDescent="0.35">
      <c r="A1837" t="s">
        <v>774</v>
      </c>
      <c r="B1837" t="s">
        <v>1193</v>
      </c>
      <c r="C1837" t="s">
        <v>47</v>
      </c>
      <c r="D1837">
        <v>3001450</v>
      </c>
      <c r="E1837">
        <v>3001450</v>
      </c>
      <c r="F1837" t="s">
        <v>1467</v>
      </c>
      <c r="G1837" t="s">
        <v>1467</v>
      </c>
      <c r="H1837" t="s">
        <v>54</v>
      </c>
      <c r="I1837">
        <v>9924071</v>
      </c>
      <c r="J1837" s="12">
        <v>46122</v>
      </c>
      <c r="K1837" s="12">
        <v>46122</v>
      </c>
      <c r="L1837" s="12">
        <v>46153</v>
      </c>
      <c r="M1837">
        <v>-21</v>
      </c>
      <c r="N1837">
        <v>397669093</v>
      </c>
      <c r="O1837">
        <v>0</v>
      </c>
      <c r="P1837">
        <v>397669093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 t="s">
        <v>47</v>
      </c>
      <c r="AA1837" t="s">
        <v>501</v>
      </c>
      <c r="AB1837" t="s">
        <v>51</v>
      </c>
      <c r="AC1837" t="s">
        <v>51</v>
      </c>
      <c r="AD1837" t="s">
        <v>51</v>
      </c>
      <c r="AE1837" t="s">
        <v>1550</v>
      </c>
      <c r="AF1837" t="s">
        <v>149</v>
      </c>
    </row>
    <row r="1838" spans="1:32" ht="14.5" customHeight="1" x14ac:dyDescent="0.35">
      <c r="A1838" t="s">
        <v>774</v>
      </c>
      <c r="B1838" t="s">
        <v>1193</v>
      </c>
      <c r="C1838" t="s">
        <v>47</v>
      </c>
      <c r="D1838">
        <v>3001450</v>
      </c>
      <c r="E1838">
        <v>3001450</v>
      </c>
      <c r="F1838" t="s">
        <v>1467</v>
      </c>
      <c r="G1838" t="s">
        <v>1467</v>
      </c>
      <c r="H1838" t="s">
        <v>140</v>
      </c>
      <c r="I1838">
        <v>9924611</v>
      </c>
      <c r="J1838" s="12">
        <v>46125</v>
      </c>
      <c r="K1838" s="12">
        <v>46125</v>
      </c>
      <c r="L1838" s="12">
        <v>46155</v>
      </c>
      <c r="M1838">
        <v>-23</v>
      </c>
      <c r="N1838">
        <v>10039424</v>
      </c>
      <c r="O1838">
        <v>0</v>
      </c>
      <c r="P1838">
        <v>10039424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 t="s">
        <v>47</v>
      </c>
      <c r="AA1838" t="s">
        <v>501</v>
      </c>
      <c r="AB1838" t="s">
        <v>51</v>
      </c>
      <c r="AC1838" t="s">
        <v>51</v>
      </c>
      <c r="AD1838" t="s">
        <v>51</v>
      </c>
      <c r="AE1838" t="s">
        <v>1551</v>
      </c>
      <c r="AF1838" t="s">
        <v>183</v>
      </c>
    </row>
    <row r="1839" spans="1:32" ht="14.5" customHeight="1" x14ac:dyDescent="0.35">
      <c r="A1839" t="s">
        <v>774</v>
      </c>
      <c r="B1839" t="s">
        <v>1193</v>
      </c>
      <c r="C1839" t="s">
        <v>47</v>
      </c>
      <c r="D1839">
        <v>3001450</v>
      </c>
      <c r="E1839">
        <v>3001450</v>
      </c>
      <c r="F1839" t="s">
        <v>1467</v>
      </c>
      <c r="G1839" t="s">
        <v>1467</v>
      </c>
      <c r="H1839" t="s">
        <v>54</v>
      </c>
      <c r="I1839">
        <v>9924928</v>
      </c>
      <c r="J1839" s="12">
        <v>46125</v>
      </c>
      <c r="K1839" s="12">
        <v>46125</v>
      </c>
      <c r="L1839" s="12">
        <v>46156</v>
      </c>
      <c r="M1839">
        <v>-24</v>
      </c>
      <c r="N1839">
        <v>357187788</v>
      </c>
      <c r="O1839">
        <v>0</v>
      </c>
      <c r="P1839">
        <v>357187788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 t="s">
        <v>47</v>
      </c>
      <c r="AA1839" t="s">
        <v>501</v>
      </c>
      <c r="AB1839" t="s">
        <v>51</v>
      </c>
      <c r="AC1839" t="s">
        <v>51</v>
      </c>
      <c r="AD1839" t="s">
        <v>51</v>
      </c>
      <c r="AE1839" t="s">
        <v>1552</v>
      </c>
      <c r="AF1839" t="s">
        <v>1171</v>
      </c>
    </row>
    <row r="1840" spans="1:32" ht="14.5" customHeight="1" x14ac:dyDescent="0.35">
      <c r="A1840" t="s">
        <v>774</v>
      </c>
      <c r="B1840" t="s">
        <v>1193</v>
      </c>
      <c r="C1840" t="s">
        <v>47</v>
      </c>
      <c r="D1840">
        <v>3001450</v>
      </c>
      <c r="E1840">
        <v>3001450</v>
      </c>
      <c r="F1840" t="s">
        <v>1467</v>
      </c>
      <c r="G1840" t="s">
        <v>1467</v>
      </c>
      <c r="H1840" t="s">
        <v>54</v>
      </c>
      <c r="I1840">
        <v>9926027</v>
      </c>
      <c r="J1840" s="12">
        <v>46127</v>
      </c>
      <c r="K1840" s="12">
        <v>46127</v>
      </c>
      <c r="L1840" s="12">
        <v>46158</v>
      </c>
      <c r="M1840">
        <v>-26</v>
      </c>
      <c r="N1840">
        <v>484893164</v>
      </c>
      <c r="O1840">
        <v>0</v>
      </c>
      <c r="P1840">
        <v>484893164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 t="s">
        <v>47</v>
      </c>
      <c r="AA1840" t="s">
        <v>501</v>
      </c>
      <c r="AB1840" t="s">
        <v>51</v>
      </c>
      <c r="AC1840" t="s">
        <v>51</v>
      </c>
      <c r="AD1840" t="s">
        <v>51</v>
      </c>
      <c r="AE1840" t="s">
        <v>1553</v>
      </c>
      <c r="AF1840" t="s">
        <v>165</v>
      </c>
    </row>
    <row r="1841" spans="1:32" ht="14.5" customHeight="1" x14ac:dyDescent="0.35">
      <c r="A1841" t="s">
        <v>774</v>
      </c>
      <c r="B1841" t="s">
        <v>1193</v>
      </c>
      <c r="C1841" t="s">
        <v>47</v>
      </c>
      <c r="D1841">
        <v>3001450</v>
      </c>
      <c r="E1841">
        <v>3001450</v>
      </c>
      <c r="F1841" t="s">
        <v>1467</v>
      </c>
      <c r="G1841" t="s">
        <v>1467</v>
      </c>
      <c r="H1841" t="s">
        <v>54</v>
      </c>
      <c r="I1841">
        <v>9926028</v>
      </c>
      <c r="J1841" s="12">
        <v>46127</v>
      </c>
      <c r="K1841" s="12">
        <v>46127</v>
      </c>
      <c r="L1841" s="12">
        <v>46158</v>
      </c>
      <c r="M1841">
        <v>-26</v>
      </c>
      <c r="N1841">
        <v>1645597</v>
      </c>
      <c r="O1841">
        <v>0</v>
      </c>
      <c r="P1841">
        <v>1645597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 t="s">
        <v>47</v>
      </c>
      <c r="AA1841" t="s">
        <v>501</v>
      </c>
      <c r="AB1841" t="s">
        <v>51</v>
      </c>
      <c r="AC1841" t="s">
        <v>51</v>
      </c>
      <c r="AD1841" t="s">
        <v>51</v>
      </c>
      <c r="AE1841" t="s">
        <v>1191</v>
      </c>
      <c r="AF1841" t="s">
        <v>163</v>
      </c>
    </row>
    <row r="1842" spans="1:32" ht="14.5" customHeight="1" x14ac:dyDescent="0.35">
      <c r="A1842" t="s">
        <v>774</v>
      </c>
      <c r="B1842" t="s">
        <v>1193</v>
      </c>
      <c r="C1842" t="s">
        <v>47</v>
      </c>
      <c r="D1842">
        <v>3001450</v>
      </c>
      <c r="E1842">
        <v>3001563</v>
      </c>
      <c r="F1842" t="s">
        <v>1467</v>
      </c>
      <c r="G1842" t="s">
        <v>1467</v>
      </c>
      <c r="H1842" t="s">
        <v>54</v>
      </c>
      <c r="I1842">
        <v>9926511</v>
      </c>
      <c r="J1842" s="12">
        <v>46128</v>
      </c>
      <c r="K1842" s="12">
        <v>46128</v>
      </c>
      <c r="L1842" s="12">
        <v>46159</v>
      </c>
      <c r="M1842">
        <v>-27</v>
      </c>
      <c r="N1842">
        <v>129699824</v>
      </c>
      <c r="O1842">
        <v>0</v>
      </c>
      <c r="P1842">
        <v>129699824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 t="s">
        <v>47</v>
      </c>
      <c r="AA1842" t="s">
        <v>501</v>
      </c>
      <c r="AB1842" t="s">
        <v>51</v>
      </c>
      <c r="AC1842" t="s">
        <v>51</v>
      </c>
      <c r="AD1842" t="s">
        <v>51</v>
      </c>
      <c r="AE1842" t="s">
        <v>1554</v>
      </c>
      <c r="AF1842" t="s">
        <v>108</v>
      </c>
    </row>
    <row r="1843" spans="1:32" ht="14.5" customHeight="1" x14ac:dyDescent="0.35">
      <c r="A1843" t="s">
        <v>774</v>
      </c>
      <c r="B1843" t="s">
        <v>1193</v>
      </c>
      <c r="C1843" t="s">
        <v>47</v>
      </c>
      <c r="D1843">
        <v>3001450</v>
      </c>
      <c r="E1843">
        <v>3001450</v>
      </c>
      <c r="F1843" t="s">
        <v>1467</v>
      </c>
      <c r="G1843" t="s">
        <v>1467</v>
      </c>
      <c r="H1843" t="s">
        <v>54</v>
      </c>
      <c r="I1843">
        <v>9926539</v>
      </c>
      <c r="J1843" s="12">
        <v>46128</v>
      </c>
      <c r="K1843" s="12">
        <v>46128</v>
      </c>
      <c r="L1843" s="12">
        <v>46159</v>
      </c>
      <c r="M1843">
        <v>-27</v>
      </c>
      <c r="N1843">
        <v>527483979</v>
      </c>
      <c r="O1843">
        <v>0</v>
      </c>
      <c r="P1843">
        <v>527483979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 t="s">
        <v>47</v>
      </c>
      <c r="AA1843" t="s">
        <v>501</v>
      </c>
      <c r="AB1843" t="s">
        <v>51</v>
      </c>
      <c r="AC1843" t="s">
        <v>51</v>
      </c>
      <c r="AD1843" t="s">
        <v>51</v>
      </c>
      <c r="AE1843" t="s">
        <v>1555</v>
      </c>
      <c r="AF1843" t="s">
        <v>468</v>
      </c>
    </row>
    <row r="1844" spans="1:32" ht="14.5" customHeight="1" x14ac:dyDescent="0.35">
      <c r="A1844" t="s">
        <v>774</v>
      </c>
      <c r="B1844" t="s">
        <v>1193</v>
      </c>
      <c r="C1844" t="s">
        <v>47</v>
      </c>
      <c r="D1844">
        <v>3001450</v>
      </c>
      <c r="E1844">
        <v>3001563</v>
      </c>
      <c r="F1844" t="s">
        <v>1467</v>
      </c>
      <c r="G1844" t="s">
        <v>1467</v>
      </c>
      <c r="H1844" t="s">
        <v>54</v>
      </c>
      <c r="I1844">
        <v>9926661</v>
      </c>
      <c r="J1844" s="12">
        <v>46129</v>
      </c>
      <c r="K1844" s="12">
        <v>46129</v>
      </c>
      <c r="L1844" s="12">
        <v>46160</v>
      </c>
      <c r="M1844">
        <v>-28</v>
      </c>
      <c r="N1844">
        <v>111137418</v>
      </c>
      <c r="O1844">
        <v>0</v>
      </c>
      <c r="P1844">
        <v>111137418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 t="s">
        <v>47</v>
      </c>
      <c r="AA1844" t="s">
        <v>501</v>
      </c>
      <c r="AB1844" t="s">
        <v>51</v>
      </c>
      <c r="AC1844" t="s">
        <v>51</v>
      </c>
      <c r="AD1844" t="s">
        <v>51</v>
      </c>
      <c r="AE1844" t="s">
        <v>1556</v>
      </c>
      <c r="AF1844" t="s">
        <v>752</v>
      </c>
    </row>
    <row r="1845" spans="1:32" ht="14.5" customHeight="1" x14ac:dyDescent="0.35">
      <c r="A1845" t="s">
        <v>774</v>
      </c>
      <c r="B1845" t="s">
        <v>1193</v>
      </c>
      <c r="C1845" t="s">
        <v>47</v>
      </c>
      <c r="D1845">
        <v>3001450</v>
      </c>
      <c r="E1845">
        <v>3001450</v>
      </c>
      <c r="F1845" t="s">
        <v>1467</v>
      </c>
      <c r="G1845" t="s">
        <v>1467</v>
      </c>
      <c r="H1845" t="s">
        <v>54</v>
      </c>
      <c r="I1845">
        <v>9926675</v>
      </c>
      <c r="J1845" s="12">
        <v>46129</v>
      </c>
      <c r="K1845" s="12">
        <v>46129</v>
      </c>
      <c r="L1845" s="12">
        <v>46160</v>
      </c>
      <c r="M1845">
        <v>-28</v>
      </c>
      <c r="N1845">
        <v>437132170</v>
      </c>
      <c r="O1845">
        <v>0</v>
      </c>
      <c r="P1845">
        <v>437132170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 t="s">
        <v>47</v>
      </c>
      <c r="AA1845" t="s">
        <v>501</v>
      </c>
      <c r="AB1845" t="s">
        <v>51</v>
      </c>
      <c r="AC1845" t="s">
        <v>51</v>
      </c>
      <c r="AD1845" t="s">
        <v>51</v>
      </c>
      <c r="AE1845" t="s">
        <v>1557</v>
      </c>
      <c r="AF1845" t="s">
        <v>752</v>
      </c>
    </row>
    <row r="1846" spans="1:32" ht="14.5" customHeight="1" x14ac:dyDescent="0.35">
      <c r="A1846" t="s">
        <v>84</v>
      </c>
      <c r="B1846" t="s">
        <v>85</v>
      </c>
      <c r="C1846" t="s">
        <v>47</v>
      </c>
      <c r="D1846">
        <v>3001484</v>
      </c>
      <c r="E1846">
        <v>3001484</v>
      </c>
      <c r="F1846" t="s">
        <v>1558</v>
      </c>
      <c r="G1846" t="s">
        <v>1558</v>
      </c>
      <c r="H1846" t="s">
        <v>54</v>
      </c>
      <c r="I1846">
        <v>6957671</v>
      </c>
      <c r="J1846" s="12">
        <v>46111</v>
      </c>
      <c r="K1846" s="12">
        <v>46111</v>
      </c>
      <c r="L1846" s="12">
        <v>46111</v>
      </c>
      <c r="M1846">
        <v>21</v>
      </c>
      <c r="N1846">
        <v>-3325994</v>
      </c>
      <c r="O1846">
        <v>-3325994</v>
      </c>
      <c r="P1846">
        <v>0</v>
      </c>
      <c r="Q1846">
        <v>-3325994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 t="s">
        <v>548</v>
      </c>
      <c r="AA1846" t="s">
        <v>1062</v>
      </c>
      <c r="AB1846" t="s">
        <v>51</v>
      </c>
      <c r="AC1846" t="s">
        <v>51</v>
      </c>
      <c r="AD1846" t="s">
        <v>51</v>
      </c>
      <c r="AE1846" t="s">
        <v>51</v>
      </c>
      <c r="AF1846" t="s">
        <v>1559</v>
      </c>
    </row>
    <row r="1847" spans="1:32" ht="14.5" customHeight="1" x14ac:dyDescent="0.35">
      <c r="A1847" t="s">
        <v>84</v>
      </c>
      <c r="B1847" t="s">
        <v>85</v>
      </c>
      <c r="C1847" t="s">
        <v>47</v>
      </c>
      <c r="D1847">
        <v>3001484</v>
      </c>
      <c r="E1847">
        <v>3001484</v>
      </c>
      <c r="F1847" t="s">
        <v>1558</v>
      </c>
      <c r="G1847" t="s">
        <v>1558</v>
      </c>
      <c r="H1847" t="s">
        <v>54</v>
      </c>
      <c r="I1847">
        <v>6959897</v>
      </c>
      <c r="J1847" s="12">
        <v>46129</v>
      </c>
      <c r="K1847" s="12">
        <v>46129</v>
      </c>
      <c r="L1847" s="12">
        <v>46129</v>
      </c>
      <c r="M1847">
        <v>3</v>
      </c>
      <c r="N1847">
        <v>-5735582</v>
      </c>
      <c r="O1847">
        <v>-5735582</v>
      </c>
      <c r="P1847">
        <v>0</v>
      </c>
      <c r="Q1847">
        <v>-5735582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 t="s">
        <v>548</v>
      </c>
      <c r="AA1847" t="s">
        <v>1062</v>
      </c>
      <c r="AB1847" t="s">
        <v>51</v>
      </c>
      <c r="AC1847" t="s">
        <v>51</v>
      </c>
      <c r="AD1847" t="s">
        <v>51</v>
      </c>
      <c r="AE1847" t="s">
        <v>51</v>
      </c>
      <c r="AF1847" t="s">
        <v>56</v>
      </c>
    </row>
    <row r="1848" spans="1:32" ht="14.5" customHeight="1" x14ac:dyDescent="0.35">
      <c r="A1848" t="s">
        <v>84</v>
      </c>
      <c r="B1848" t="s">
        <v>85</v>
      </c>
      <c r="C1848" t="s">
        <v>846</v>
      </c>
      <c r="D1848">
        <v>3001484</v>
      </c>
      <c r="E1848">
        <v>3001484</v>
      </c>
      <c r="F1848" t="s">
        <v>1558</v>
      </c>
      <c r="G1848" t="s">
        <v>1558</v>
      </c>
      <c r="H1848" t="s">
        <v>54</v>
      </c>
      <c r="I1848">
        <v>9920549</v>
      </c>
      <c r="J1848" s="12">
        <v>46112</v>
      </c>
      <c r="K1848" s="12">
        <v>46112</v>
      </c>
      <c r="L1848" s="12">
        <v>46170</v>
      </c>
      <c r="M1848">
        <v>-38</v>
      </c>
      <c r="N1848">
        <v>100405925</v>
      </c>
      <c r="O1848">
        <v>0</v>
      </c>
      <c r="P1848">
        <v>100405925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 t="s">
        <v>548</v>
      </c>
      <c r="AA1848" t="s">
        <v>1062</v>
      </c>
      <c r="AB1848" t="s">
        <v>51</v>
      </c>
      <c r="AC1848" t="s">
        <v>51</v>
      </c>
      <c r="AD1848" t="s">
        <v>51</v>
      </c>
      <c r="AE1848" t="s">
        <v>1560</v>
      </c>
      <c r="AF1848" t="s">
        <v>868</v>
      </c>
    </row>
    <row r="1849" spans="1:32" ht="14.5" customHeight="1" x14ac:dyDescent="0.35">
      <c r="A1849" t="s">
        <v>84</v>
      </c>
      <c r="B1849" t="s">
        <v>85</v>
      </c>
      <c r="C1849" t="s">
        <v>846</v>
      </c>
      <c r="D1849">
        <v>3001484</v>
      </c>
      <c r="E1849">
        <v>3001484</v>
      </c>
      <c r="F1849" t="s">
        <v>1558</v>
      </c>
      <c r="G1849" t="s">
        <v>1558</v>
      </c>
      <c r="H1849" t="s">
        <v>54</v>
      </c>
      <c r="I1849">
        <v>9925428</v>
      </c>
      <c r="J1849" s="12">
        <v>46126</v>
      </c>
      <c r="K1849" s="12">
        <v>46126</v>
      </c>
      <c r="L1849" s="12">
        <v>46184</v>
      </c>
      <c r="M1849">
        <v>-52</v>
      </c>
      <c r="N1849">
        <v>113405996</v>
      </c>
      <c r="O1849">
        <v>0</v>
      </c>
      <c r="P1849">
        <v>113405996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 t="s">
        <v>548</v>
      </c>
      <c r="AA1849" t="s">
        <v>1062</v>
      </c>
      <c r="AB1849" t="s">
        <v>51</v>
      </c>
      <c r="AC1849" t="s">
        <v>51</v>
      </c>
      <c r="AD1849" t="s">
        <v>51</v>
      </c>
      <c r="AE1849" t="s">
        <v>1561</v>
      </c>
      <c r="AF1849" t="s">
        <v>283</v>
      </c>
    </row>
    <row r="1850" spans="1:32" ht="14.5" customHeight="1" x14ac:dyDescent="0.35">
      <c r="A1850" t="s">
        <v>498</v>
      </c>
      <c r="B1850" t="s">
        <v>499</v>
      </c>
      <c r="C1850" t="s">
        <v>47</v>
      </c>
      <c r="D1850">
        <v>3001501</v>
      </c>
      <c r="E1850">
        <v>3001501</v>
      </c>
      <c r="F1850" t="s">
        <v>1562</v>
      </c>
      <c r="G1850" t="s">
        <v>1562</v>
      </c>
      <c r="H1850" t="s">
        <v>54</v>
      </c>
      <c r="I1850">
        <v>6960124</v>
      </c>
      <c r="J1850" s="12">
        <v>46130</v>
      </c>
      <c r="K1850" s="12">
        <v>46130</v>
      </c>
      <c r="L1850" s="12">
        <v>46130</v>
      </c>
      <c r="M1850">
        <v>2</v>
      </c>
      <c r="N1850">
        <v>-1588143</v>
      </c>
      <c r="O1850">
        <v>-1588143</v>
      </c>
      <c r="P1850">
        <v>0</v>
      </c>
      <c r="Q1850">
        <v>-1588143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 t="s">
        <v>548</v>
      </c>
      <c r="AA1850" t="s">
        <v>55</v>
      </c>
      <c r="AB1850" t="s">
        <v>51</v>
      </c>
      <c r="AC1850" t="s">
        <v>51</v>
      </c>
      <c r="AD1850" t="s">
        <v>51</v>
      </c>
      <c r="AE1850" t="s">
        <v>51</v>
      </c>
      <c r="AF1850" t="s">
        <v>1563</v>
      </c>
    </row>
    <row r="1851" spans="1:32" ht="14.5" customHeight="1" x14ac:dyDescent="0.35">
      <c r="A1851" t="s">
        <v>498</v>
      </c>
      <c r="B1851" t="s">
        <v>499</v>
      </c>
      <c r="C1851" t="s">
        <v>47</v>
      </c>
      <c r="D1851">
        <v>3001501</v>
      </c>
      <c r="E1851">
        <v>3001501</v>
      </c>
      <c r="F1851" t="s">
        <v>1562</v>
      </c>
      <c r="G1851" t="s">
        <v>1562</v>
      </c>
      <c r="H1851" t="s">
        <v>54</v>
      </c>
      <c r="I1851">
        <v>6960125</v>
      </c>
      <c r="J1851" s="12">
        <v>46130</v>
      </c>
      <c r="K1851" s="12">
        <v>46130</v>
      </c>
      <c r="L1851" s="12">
        <v>46130</v>
      </c>
      <c r="M1851">
        <v>2</v>
      </c>
      <c r="N1851">
        <v>-990125</v>
      </c>
      <c r="O1851">
        <v>-990125</v>
      </c>
      <c r="P1851">
        <v>0</v>
      </c>
      <c r="Q1851">
        <v>-990125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 t="s">
        <v>548</v>
      </c>
      <c r="AA1851" t="s">
        <v>55</v>
      </c>
      <c r="AB1851" t="s">
        <v>51</v>
      </c>
      <c r="AC1851" t="s">
        <v>51</v>
      </c>
      <c r="AD1851" t="s">
        <v>51</v>
      </c>
      <c r="AE1851" t="s">
        <v>51</v>
      </c>
      <c r="AF1851" t="s">
        <v>1564</v>
      </c>
    </row>
    <row r="1852" spans="1:32" ht="14.5" customHeight="1" x14ac:dyDescent="0.35">
      <c r="A1852" t="s">
        <v>498</v>
      </c>
      <c r="B1852" t="s">
        <v>499</v>
      </c>
      <c r="C1852" t="s">
        <v>47</v>
      </c>
      <c r="D1852">
        <v>3001501</v>
      </c>
      <c r="E1852">
        <v>3001501</v>
      </c>
      <c r="F1852" t="s">
        <v>1562</v>
      </c>
      <c r="G1852" t="s">
        <v>1562</v>
      </c>
      <c r="H1852" t="s">
        <v>54</v>
      </c>
      <c r="I1852">
        <v>6960157</v>
      </c>
      <c r="J1852" s="12">
        <v>46130</v>
      </c>
      <c r="K1852" s="12">
        <v>46130</v>
      </c>
      <c r="L1852" s="12">
        <v>46130</v>
      </c>
      <c r="M1852">
        <v>2</v>
      </c>
      <c r="N1852">
        <v>-48248411</v>
      </c>
      <c r="O1852">
        <v>-48248411</v>
      </c>
      <c r="P1852">
        <v>0</v>
      </c>
      <c r="Q1852">
        <v>-48248411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 t="s">
        <v>548</v>
      </c>
      <c r="AA1852" t="s">
        <v>55</v>
      </c>
      <c r="AB1852" t="s">
        <v>51</v>
      </c>
      <c r="AC1852" t="s">
        <v>51</v>
      </c>
      <c r="AD1852" t="s">
        <v>51</v>
      </c>
      <c r="AE1852" t="s">
        <v>51</v>
      </c>
      <c r="AF1852" t="s">
        <v>1565</v>
      </c>
    </row>
    <row r="1853" spans="1:32" ht="14.5" customHeight="1" x14ac:dyDescent="0.35">
      <c r="A1853" t="s">
        <v>498</v>
      </c>
      <c r="B1853" t="s">
        <v>499</v>
      </c>
      <c r="C1853" t="s">
        <v>846</v>
      </c>
      <c r="D1853">
        <v>3001501</v>
      </c>
      <c r="E1853">
        <v>3001501</v>
      </c>
      <c r="F1853" t="s">
        <v>1562</v>
      </c>
      <c r="G1853" t="s">
        <v>1562</v>
      </c>
      <c r="H1853" t="s">
        <v>54</v>
      </c>
      <c r="I1853">
        <v>9907561</v>
      </c>
      <c r="J1853" s="12">
        <v>46076</v>
      </c>
      <c r="K1853" s="12">
        <v>46076</v>
      </c>
      <c r="L1853" s="12">
        <v>46142</v>
      </c>
      <c r="M1853">
        <v>-10</v>
      </c>
      <c r="N1853">
        <v>366674621</v>
      </c>
      <c r="O1853">
        <v>0</v>
      </c>
      <c r="P1853">
        <v>366674621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 t="s">
        <v>548</v>
      </c>
      <c r="AA1853" t="s">
        <v>55</v>
      </c>
      <c r="AB1853" t="s">
        <v>51</v>
      </c>
      <c r="AC1853" t="s">
        <v>51</v>
      </c>
      <c r="AD1853" t="s">
        <v>1566</v>
      </c>
      <c r="AE1853" t="s">
        <v>51</v>
      </c>
      <c r="AF1853" t="s">
        <v>195</v>
      </c>
    </row>
    <row r="1854" spans="1:32" ht="14.5" customHeight="1" x14ac:dyDescent="0.35">
      <c r="A1854" t="s">
        <v>498</v>
      </c>
      <c r="B1854" t="s">
        <v>499</v>
      </c>
      <c r="C1854" t="s">
        <v>846</v>
      </c>
      <c r="D1854">
        <v>3001501</v>
      </c>
      <c r="E1854">
        <v>3001501</v>
      </c>
      <c r="F1854" t="s">
        <v>1562</v>
      </c>
      <c r="G1854" t="s">
        <v>1562</v>
      </c>
      <c r="H1854" t="s">
        <v>54</v>
      </c>
      <c r="I1854">
        <v>9910521</v>
      </c>
      <c r="J1854" s="12">
        <v>46081</v>
      </c>
      <c r="K1854" s="12">
        <v>46081</v>
      </c>
      <c r="L1854" s="12">
        <v>46147</v>
      </c>
      <c r="M1854">
        <v>-15</v>
      </c>
      <c r="N1854">
        <v>390672987</v>
      </c>
      <c r="O1854">
        <v>0</v>
      </c>
      <c r="P1854">
        <v>390672987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 t="s">
        <v>548</v>
      </c>
      <c r="AA1854" t="s">
        <v>55</v>
      </c>
      <c r="AB1854" t="s">
        <v>51</v>
      </c>
      <c r="AC1854" t="s">
        <v>51</v>
      </c>
      <c r="AD1854" t="s">
        <v>51</v>
      </c>
      <c r="AE1854" t="s">
        <v>1567</v>
      </c>
      <c r="AF1854" t="s">
        <v>1568</v>
      </c>
    </row>
    <row r="1855" spans="1:32" ht="14.5" customHeight="1" x14ac:dyDescent="0.35">
      <c r="A1855" t="s">
        <v>498</v>
      </c>
      <c r="B1855" t="s">
        <v>499</v>
      </c>
      <c r="C1855" t="s">
        <v>47</v>
      </c>
      <c r="D1855">
        <v>3001501</v>
      </c>
      <c r="E1855">
        <v>3001501</v>
      </c>
      <c r="F1855" t="s">
        <v>1562</v>
      </c>
      <c r="G1855" t="s">
        <v>1562</v>
      </c>
      <c r="H1855" t="s">
        <v>140</v>
      </c>
      <c r="I1855">
        <v>9917199</v>
      </c>
      <c r="J1855" s="12">
        <v>46103</v>
      </c>
      <c r="K1855" s="12">
        <v>46103</v>
      </c>
      <c r="L1855" s="12">
        <v>46148</v>
      </c>
      <c r="M1855">
        <v>-16</v>
      </c>
      <c r="N1855">
        <v>345371</v>
      </c>
      <c r="O1855">
        <v>0</v>
      </c>
      <c r="P1855">
        <v>345371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 t="s">
        <v>548</v>
      </c>
      <c r="AA1855" t="s">
        <v>55</v>
      </c>
      <c r="AB1855" t="s">
        <v>51</v>
      </c>
      <c r="AC1855" t="s">
        <v>51</v>
      </c>
      <c r="AD1855" t="s">
        <v>51</v>
      </c>
      <c r="AE1855" t="s">
        <v>1569</v>
      </c>
      <c r="AF1855" t="s">
        <v>525</v>
      </c>
    </row>
    <row r="1856" spans="1:32" ht="14.5" customHeight="1" x14ac:dyDescent="0.35">
      <c r="A1856" t="s">
        <v>498</v>
      </c>
      <c r="B1856" t="s">
        <v>499</v>
      </c>
      <c r="C1856" t="s">
        <v>846</v>
      </c>
      <c r="D1856">
        <v>3001501</v>
      </c>
      <c r="E1856">
        <v>3001501</v>
      </c>
      <c r="F1856" t="s">
        <v>1562</v>
      </c>
      <c r="G1856" t="s">
        <v>1562</v>
      </c>
      <c r="H1856" t="s">
        <v>54</v>
      </c>
      <c r="I1856">
        <v>9917501</v>
      </c>
      <c r="J1856" s="12">
        <v>46106</v>
      </c>
      <c r="K1856" s="12">
        <v>46106</v>
      </c>
      <c r="L1856" s="12">
        <v>46172</v>
      </c>
      <c r="M1856">
        <v>-40</v>
      </c>
      <c r="N1856">
        <v>301364952</v>
      </c>
      <c r="O1856">
        <v>0</v>
      </c>
      <c r="P1856">
        <v>301364952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 t="s">
        <v>548</v>
      </c>
      <c r="AA1856" t="s">
        <v>55</v>
      </c>
      <c r="AB1856" t="s">
        <v>51</v>
      </c>
      <c r="AC1856" t="s">
        <v>51</v>
      </c>
      <c r="AD1856" t="s">
        <v>51</v>
      </c>
      <c r="AE1856" t="s">
        <v>1570</v>
      </c>
      <c r="AF1856" t="s">
        <v>1571</v>
      </c>
    </row>
    <row r="1857" spans="1:32" ht="14.5" customHeight="1" x14ac:dyDescent="0.35">
      <c r="A1857" t="s">
        <v>498</v>
      </c>
      <c r="B1857" t="s">
        <v>499</v>
      </c>
      <c r="C1857" t="s">
        <v>47</v>
      </c>
      <c r="D1857">
        <v>3001501</v>
      </c>
      <c r="E1857">
        <v>3001501</v>
      </c>
      <c r="F1857" t="s">
        <v>1562</v>
      </c>
      <c r="G1857" t="s">
        <v>1562</v>
      </c>
      <c r="H1857" t="s">
        <v>140</v>
      </c>
      <c r="I1857">
        <v>9927240</v>
      </c>
      <c r="J1857" s="12">
        <v>46130</v>
      </c>
      <c r="K1857" s="12">
        <v>46130</v>
      </c>
      <c r="L1857" s="12">
        <v>46175</v>
      </c>
      <c r="M1857">
        <v>-43</v>
      </c>
      <c r="N1857">
        <v>1110973</v>
      </c>
      <c r="O1857">
        <v>0</v>
      </c>
      <c r="P1857">
        <v>1110973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 t="s">
        <v>548</v>
      </c>
      <c r="AA1857" t="s">
        <v>55</v>
      </c>
      <c r="AB1857" t="s">
        <v>51</v>
      </c>
      <c r="AC1857" t="s">
        <v>51</v>
      </c>
      <c r="AD1857" t="s">
        <v>51</v>
      </c>
      <c r="AE1857" t="s">
        <v>1572</v>
      </c>
      <c r="AF1857" t="s">
        <v>106</v>
      </c>
    </row>
    <row r="1858" spans="1:32" ht="14.5" customHeight="1" x14ac:dyDescent="0.35">
      <c r="A1858" t="s">
        <v>84</v>
      </c>
      <c r="B1858" t="s">
        <v>85</v>
      </c>
      <c r="C1858" t="s">
        <v>47</v>
      </c>
      <c r="D1858">
        <v>3001517</v>
      </c>
      <c r="E1858">
        <v>3001517</v>
      </c>
      <c r="F1858" t="s">
        <v>1573</v>
      </c>
      <c r="G1858" t="s">
        <v>1573</v>
      </c>
      <c r="H1858" t="s">
        <v>54</v>
      </c>
      <c r="I1858">
        <v>6957672</v>
      </c>
      <c r="J1858" s="12">
        <v>46111</v>
      </c>
      <c r="K1858" s="12">
        <v>46111</v>
      </c>
      <c r="L1858" s="12">
        <v>46111</v>
      </c>
      <c r="M1858">
        <v>21</v>
      </c>
      <c r="N1858">
        <v>-3124695</v>
      </c>
      <c r="O1858">
        <v>-3124695</v>
      </c>
      <c r="P1858">
        <v>0</v>
      </c>
      <c r="Q1858">
        <v>-3124695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 t="s">
        <v>548</v>
      </c>
      <c r="AA1858" t="s">
        <v>1062</v>
      </c>
      <c r="AB1858" t="s">
        <v>51</v>
      </c>
      <c r="AC1858" t="s">
        <v>51</v>
      </c>
      <c r="AD1858" t="s">
        <v>51</v>
      </c>
      <c r="AE1858" t="s">
        <v>51</v>
      </c>
      <c r="AF1858" t="s">
        <v>1574</v>
      </c>
    </row>
    <row r="1859" spans="1:32" ht="14.5" customHeight="1" x14ac:dyDescent="0.35">
      <c r="A1859" t="s">
        <v>84</v>
      </c>
      <c r="B1859" t="s">
        <v>85</v>
      </c>
      <c r="C1859" t="s">
        <v>47</v>
      </c>
      <c r="D1859">
        <v>3001517</v>
      </c>
      <c r="E1859">
        <v>3100537</v>
      </c>
      <c r="F1859" t="s">
        <v>1573</v>
      </c>
      <c r="G1859" t="s">
        <v>1573</v>
      </c>
      <c r="H1859" t="s">
        <v>54</v>
      </c>
      <c r="I1859">
        <v>6957677</v>
      </c>
      <c r="J1859" s="12">
        <v>46111</v>
      </c>
      <c r="K1859" s="12">
        <v>46111</v>
      </c>
      <c r="L1859" s="12">
        <v>46111</v>
      </c>
      <c r="M1859">
        <v>21</v>
      </c>
      <c r="N1859">
        <v>-48377</v>
      </c>
      <c r="O1859">
        <v>-48377</v>
      </c>
      <c r="P1859">
        <v>0</v>
      </c>
      <c r="Q1859">
        <v>-48377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 t="s">
        <v>846</v>
      </c>
      <c r="AA1859" t="s">
        <v>1062</v>
      </c>
      <c r="AB1859" t="s">
        <v>51</v>
      </c>
      <c r="AC1859" t="s">
        <v>51</v>
      </c>
      <c r="AD1859" t="s">
        <v>51</v>
      </c>
      <c r="AE1859" t="s">
        <v>51</v>
      </c>
      <c r="AF1859" t="s">
        <v>1575</v>
      </c>
    </row>
    <row r="1860" spans="1:32" ht="14.5" customHeight="1" x14ac:dyDescent="0.35">
      <c r="A1860" t="s">
        <v>498</v>
      </c>
      <c r="B1860" t="s">
        <v>176</v>
      </c>
      <c r="C1860" t="s">
        <v>47</v>
      </c>
      <c r="D1860">
        <v>3001517</v>
      </c>
      <c r="E1860">
        <v>3100704</v>
      </c>
      <c r="F1860" t="s">
        <v>1573</v>
      </c>
      <c r="G1860" t="s">
        <v>1576</v>
      </c>
      <c r="H1860" t="s">
        <v>54</v>
      </c>
      <c r="I1860">
        <v>6957679</v>
      </c>
      <c r="J1860" s="12">
        <v>46111</v>
      </c>
      <c r="K1860" s="12">
        <v>46111</v>
      </c>
      <c r="L1860" s="12">
        <v>46111</v>
      </c>
      <c r="M1860">
        <v>21</v>
      </c>
      <c r="N1860">
        <v>-1509524</v>
      </c>
      <c r="O1860">
        <v>-1509524</v>
      </c>
      <c r="P1860">
        <v>0</v>
      </c>
      <c r="Q1860">
        <v>-1509524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 t="s">
        <v>846</v>
      </c>
      <c r="AA1860" t="s">
        <v>1062</v>
      </c>
      <c r="AB1860" t="s">
        <v>51</v>
      </c>
      <c r="AC1860" t="s">
        <v>51</v>
      </c>
      <c r="AD1860" t="s">
        <v>51</v>
      </c>
      <c r="AE1860" t="s">
        <v>51</v>
      </c>
      <c r="AF1860" t="s">
        <v>1574</v>
      </c>
    </row>
    <row r="1861" spans="1:32" ht="14.5" customHeight="1" x14ac:dyDescent="0.35">
      <c r="A1861" t="s">
        <v>84</v>
      </c>
      <c r="B1861" t="s">
        <v>85</v>
      </c>
      <c r="C1861" t="s">
        <v>47</v>
      </c>
      <c r="D1861">
        <v>3001517</v>
      </c>
      <c r="E1861">
        <v>3100536</v>
      </c>
      <c r="F1861" t="s">
        <v>1573</v>
      </c>
      <c r="G1861" t="s">
        <v>1573</v>
      </c>
      <c r="H1861" t="s">
        <v>54</v>
      </c>
      <c r="I1861">
        <v>6957699</v>
      </c>
      <c r="J1861" s="12">
        <v>46112</v>
      </c>
      <c r="K1861" s="12">
        <v>46112</v>
      </c>
      <c r="L1861" s="12">
        <v>46112</v>
      </c>
      <c r="M1861">
        <v>20</v>
      </c>
      <c r="N1861">
        <v>-194626</v>
      </c>
      <c r="O1861">
        <v>-194626</v>
      </c>
      <c r="P1861">
        <v>0</v>
      </c>
      <c r="Q1861">
        <v>-194626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 t="s">
        <v>846</v>
      </c>
      <c r="AA1861" t="s">
        <v>1062</v>
      </c>
      <c r="AB1861" t="s">
        <v>51</v>
      </c>
      <c r="AC1861" t="s">
        <v>51</v>
      </c>
      <c r="AD1861" t="s">
        <v>51</v>
      </c>
      <c r="AE1861" t="s">
        <v>51</v>
      </c>
      <c r="AF1861" t="s">
        <v>1577</v>
      </c>
    </row>
    <row r="1862" spans="1:32" ht="14.5" customHeight="1" x14ac:dyDescent="0.35">
      <c r="A1862" t="s">
        <v>84</v>
      </c>
      <c r="B1862" t="s">
        <v>85</v>
      </c>
      <c r="C1862" t="s">
        <v>47</v>
      </c>
      <c r="D1862">
        <v>3001517</v>
      </c>
      <c r="E1862">
        <v>3001517</v>
      </c>
      <c r="F1862" t="s">
        <v>1573</v>
      </c>
      <c r="G1862" t="s">
        <v>1573</v>
      </c>
      <c r="H1862" t="s">
        <v>54</v>
      </c>
      <c r="I1862">
        <v>6958420</v>
      </c>
      <c r="J1862" s="12">
        <v>46121</v>
      </c>
      <c r="K1862" s="12">
        <v>46121</v>
      </c>
      <c r="L1862" s="12">
        <v>46121</v>
      </c>
      <c r="M1862">
        <v>11</v>
      </c>
      <c r="N1862">
        <v>-6651780</v>
      </c>
      <c r="O1862">
        <v>-6651780</v>
      </c>
      <c r="P1862">
        <v>0</v>
      </c>
      <c r="Q1862">
        <v>-6651780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 t="s">
        <v>548</v>
      </c>
      <c r="AA1862" t="s">
        <v>1062</v>
      </c>
      <c r="AB1862" t="s">
        <v>51</v>
      </c>
      <c r="AC1862" t="s">
        <v>51</v>
      </c>
      <c r="AD1862" t="s">
        <v>51</v>
      </c>
      <c r="AE1862" t="s">
        <v>51</v>
      </c>
      <c r="AF1862" t="s">
        <v>1578</v>
      </c>
    </row>
    <row r="1863" spans="1:32" ht="14.5" customHeight="1" x14ac:dyDescent="0.35">
      <c r="A1863" t="s">
        <v>84</v>
      </c>
      <c r="B1863" t="s">
        <v>85</v>
      </c>
      <c r="C1863" t="s">
        <v>47</v>
      </c>
      <c r="D1863">
        <v>3001517</v>
      </c>
      <c r="E1863">
        <v>3100536</v>
      </c>
      <c r="F1863" t="s">
        <v>1573</v>
      </c>
      <c r="G1863" t="s">
        <v>1573</v>
      </c>
      <c r="H1863" t="s">
        <v>54</v>
      </c>
      <c r="I1863">
        <v>6958433</v>
      </c>
      <c r="J1863" s="12">
        <v>46121</v>
      </c>
      <c r="K1863" s="12">
        <v>46121</v>
      </c>
      <c r="L1863" s="12">
        <v>46121</v>
      </c>
      <c r="M1863">
        <v>11</v>
      </c>
      <c r="N1863">
        <v>-3461780</v>
      </c>
      <c r="O1863">
        <v>-3461780</v>
      </c>
      <c r="P1863">
        <v>0</v>
      </c>
      <c r="Q1863">
        <v>-3461780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 t="s">
        <v>846</v>
      </c>
      <c r="AA1863" t="s">
        <v>1062</v>
      </c>
      <c r="AB1863" t="s">
        <v>51</v>
      </c>
      <c r="AC1863" t="s">
        <v>51</v>
      </c>
      <c r="AD1863" t="s">
        <v>51</v>
      </c>
      <c r="AE1863" t="s">
        <v>51</v>
      </c>
      <c r="AF1863" t="s">
        <v>1578</v>
      </c>
    </row>
    <row r="1864" spans="1:32" ht="14.5" customHeight="1" x14ac:dyDescent="0.35">
      <c r="A1864" t="s">
        <v>84</v>
      </c>
      <c r="B1864" t="s">
        <v>85</v>
      </c>
      <c r="C1864" t="s">
        <v>47</v>
      </c>
      <c r="D1864">
        <v>3001517</v>
      </c>
      <c r="E1864">
        <v>3100537</v>
      </c>
      <c r="F1864" t="s">
        <v>1573</v>
      </c>
      <c r="G1864" t="s">
        <v>1573</v>
      </c>
      <c r="H1864" t="s">
        <v>54</v>
      </c>
      <c r="I1864">
        <v>6958434</v>
      </c>
      <c r="J1864" s="12">
        <v>46121</v>
      </c>
      <c r="K1864" s="12">
        <v>46121</v>
      </c>
      <c r="L1864" s="12">
        <v>46121</v>
      </c>
      <c r="M1864">
        <v>11</v>
      </c>
      <c r="N1864">
        <v>-3461780</v>
      </c>
      <c r="O1864">
        <v>-3461780</v>
      </c>
      <c r="P1864">
        <v>0</v>
      </c>
      <c r="Q1864">
        <v>-3461780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 t="s">
        <v>846</v>
      </c>
      <c r="AA1864" t="s">
        <v>1062</v>
      </c>
      <c r="AB1864" t="s">
        <v>51</v>
      </c>
      <c r="AC1864" t="s">
        <v>51</v>
      </c>
      <c r="AD1864" t="s">
        <v>51</v>
      </c>
      <c r="AE1864" t="s">
        <v>51</v>
      </c>
      <c r="AF1864" t="s">
        <v>1578</v>
      </c>
    </row>
    <row r="1865" spans="1:32" ht="14.5" customHeight="1" x14ac:dyDescent="0.35">
      <c r="A1865" t="s">
        <v>498</v>
      </c>
      <c r="B1865" t="s">
        <v>176</v>
      </c>
      <c r="C1865" t="s">
        <v>47</v>
      </c>
      <c r="D1865">
        <v>3001517</v>
      </c>
      <c r="E1865">
        <v>3100704</v>
      </c>
      <c r="F1865" t="s">
        <v>1573</v>
      </c>
      <c r="G1865" t="s">
        <v>1576</v>
      </c>
      <c r="H1865" t="s">
        <v>54</v>
      </c>
      <c r="I1865">
        <v>6958440</v>
      </c>
      <c r="J1865" s="12">
        <v>46121</v>
      </c>
      <c r="K1865" s="12">
        <v>46121</v>
      </c>
      <c r="L1865" s="12">
        <v>46121</v>
      </c>
      <c r="M1865">
        <v>11</v>
      </c>
      <c r="N1865">
        <v>-17174846</v>
      </c>
      <c r="O1865">
        <v>-17174846</v>
      </c>
      <c r="P1865">
        <v>0</v>
      </c>
      <c r="Q1865">
        <v>-17174846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 t="s">
        <v>846</v>
      </c>
      <c r="AA1865" t="s">
        <v>1062</v>
      </c>
      <c r="AB1865" t="s">
        <v>51</v>
      </c>
      <c r="AC1865" t="s">
        <v>51</v>
      </c>
      <c r="AD1865" t="s">
        <v>51</v>
      </c>
      <c r="AE1865" t="s">
        <v>51</v>
      </c>
      <c r="AF1865" t="s">
        <v>1578</v>
      </c>
    </row>
    <row r="1866" spans="1:32" ht="14.5" customHeight="1" x14ac:dyDescent="0.35">
      <c r="A1866" t="s">
        <v>498</v>
      </c>
      <c r="B1866" t="s">
        <v>176</v>
      </c>
      <c r="C1866" t="s">
        <v>47</v>
      </c>
      <c r="D1866">
        <v>3001517</v>
      </c>
      <c r="E1866">
        <v>3100704</v>
      </c>
      <c r="F1866" t="s">
        <v>1573</v>
      </c>
      <c r="G1866" t="s">
        <v>1576</v>
      </c>
      <c r="H1866" t="s">
        <v>54</v>
      </c>
      <c r="I1866">
        <v>6959514</v>
      </c>
      <c r="J1866" s="12">
        <v>46127</v>
      </c>
      <c r="K1866" s="12">
        <v>46127</v>
      </c>
      <c r="L1866" s="12">
        <v>46127</v>
      </c>
      <c r="M1866">
        <v>5</v>
      </c>
      <c r="N1866">
        <v>-7194000</v>
      </c>
      <c r="O1866">
        <v>-7194000</v>
      </c>
      <c r="P1866">
        <v>0</v>
      </c>
      <c r="Q1866">
        <v>-7194000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 t="s">
        <v>846</v>
      </c>
      <c r="AA1866" t="s">
        <v>1062</v>
      </c>
      <c r="AB1866" t="s">
        <v>51</v>
      </c>
      <c r="AC1866" t="s">
        <v>51</v>
      </c>
      <c r="AD1866" t="s">
        <v>51</v>
      </c>
      <c r="AE1866" t="s">
        <v>51</v>
      </c>
      <c r="AF1866" t="s">
        <v>1579</v>
      </c>
    </row>
    <row r="1867" spans="1:32" ht="14.5" customHeight="1" x14ac:dyDescent="0.35">
      <c r="A1867" t="s">
        <v>84</v>
      </c>
      <c r="B1867" t="s">
        <v>85</v>
      </c>
      <c r="C1867" t="s">
        <v>47</v>
      </c>
      <c r="D1867">
        <v>3001517</v>
      </c>
      <c r="E1867">
        <v>3100536</v>
      </c>
      <c r="F1867" t="s">
        <v>1573</v>
      </c>
      <c r="G1867" t="s">
        <v>1573</v>
      </c>
      <c r="H1867" t="s">
        <v>54</v>
      </c>
      <c r="I1867">
        <v>6959757</v>
      </c>
      <c r="J1867" s="12">
        <v>46128</v>
      </c>
      <c r="K1867" s="12">
        <v>46128</v>
      </c>
      <c r="L1867" s="12">
        <v>46128</v>
      </c>
      <c r="M1867">
        <v>4</v>
      </c>
      <c r="N1867">
        <v>-6258138</v>
      </c>
      <c r="O1867">
        <v>-6258138</v>
      </c>
      <c r="P1867">
        <v>0</v>
      </c>
      <c r="Q1867">
        <v>-6258138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 t="s">
        <v>846</v>
      </c>
      <c r="AA1867" t="s">
        <v>1062</v>
      </c>
      <c r="AB1867" t="s">
        <v>51</v>
      </c>
      <c r="AC1867" t="s">
        <v>51</v>
      </c>
      <c r="AD1867" t="s">
        <v>51</v>
      </c>
      <c r="AE1867" t="s">
        <v>51</v>
      </c>
      <c r="AF1867" t="s">
        <v>1580</v>
      </c>
    </row>
    <row r="1868" spans="1:32" ht="14.5" customHeight="1" x14ac:dyDescent="0.35">
      <c r="A1868" t="s">
        <v>84</v>
      </c>
      <c r="B1868" t="s">
        <v>85</v>
      </c>
      <c r="C1868" t="s">
        <v>47</v>
      </c>
      <c r="D1868">
        <v>3001517</v>
      </c>
      <c r="E1868">
        <v>3001517</v>
      </c>
      <c r="F1868" t="s">
        <v>1573</v>
      </c>
      <c r="G1868" t="s">
        <v>1573</v>
      </c>
      <c r="H1868" t="s">
        <v>54</v>
      </c>
      <c r="I1868">
        <v>6959909</v>
      </c>
      <c r="J1868" s="12">
        <v>46129</v>
      </c>
      <c r="K1868" s="12">
        <v>46129</v>
      </c>
      <c r="L1868" s="12">
        <v>46129</v>
      </c>
      <c r="M1868">
        <v>3</v>
      </c>
      <c r="N1868">
        <v>-27158683</v>
      </c>
      <c r="O1868">
        <v>-27158683</v>
      </c>
      <c r="P1868">
        <v>0</v>
      </c>
      <c r="Q1868">
        <v>-27158683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 t="s">
        <v>548</v>
      </c>
      <c r="AA1868" t="s">
        <v>1062</v>
      </c>
      <c r="AB1868" t="s">
        <v>51</v>
      </c>
      <c r="AC1868" t="s">
        <v>51</v>
      </c>
      <c r="AD1868" t="s">
        <v>51</v>
      </c>
      <c r="AE1868" t="s">
        <v>51</v>
      </c>
      <c r="AF1868" t="s">
        <v>56</v>
      </c>
    </row>
    <row r="1869" spans="1:32" ht="14.5" customHeight="1" x14ac:dyDescent="0.35">
      <c r="A1869" t="s">
        <v>84</v>
      </c>
      <c r="B1869" t="s">
        <v>85</v>
      </c>
      <c r="C1869" t="s">
        <v>47</v>
      </c>
      <c r="D1869">
        <v>3001517</v>
      </c>
      <c r="E1869">
        <v>3100536</v>
      </c>
      <c r="F1869" t="s">
        <v>1573</v>
      </c>
      <c r="G1869" t="s">
        <v>1573</v>
      </c>
      <c r="H1869" t="s">
        <v>54</v>
      </c>
      <c r="I1869">
        <v>6959910</v>
      </c>
      <c r="J1869" s="12">
        <v>46129</v>
      </c>
      <c r="K1869" s="12">
        <v>46129</v>
      </c>
      <c r="L1869" s="12">
        <v>46129</v>
      </c>
      <c r="M1869">
        <v>3</v>
      </c>
      <c r="N1869">
        <v>-1129812</v>
      </c>
      <c r="O1869">
        <v>-1129812</v>
      </c>
      <c r="P1869">
        <v>0</v>
      </c>
      <c r="Q1869">
        <v>-1129812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 t="s">
        <v>846</v>
      </c>
      <c r="AA1869" t="s">
        <v>1062</v>
      </c>
      <c r="AB1869" t="s">
        <v>51</v>
      </c>
      <c r="AC1869" t="s">
        <v>51</v>
      </c>
      <c r="AD1869" t="s">
        <v>51</v>
      </c>
      <c r="AE1869" t="s">
        <v>51</v>
      </c>
      <c r="AF1869" t="s">
        <v>56</v>
      </c>
    </row>
    <row r="1870" spans="1:32" ht="14.5" customHeight="1" x14ac:dyDescent="0.35">
      <c r="A1870" t="s">
        <v>84</v>
      </c>
      <c r="B1870" t="s">
        <v>85</v>
      </c>
      <c r="C1870" t="s">
        <v>47</v>
      </c>
      <c r="D1870">
        <v>3001517</v>
      </c>
      <c r="E1870">
        <v>3100537</v>
      </c>
      <c r="F1870" t="s">
        <v>1573</v>
      </c>
      <c r="G1870" t="s">
        <v>1573</v>
      </c>
      <c r="H1870" t="s">
        <v>54</v>
      </c>
      <c r="I1870">
        <v>6959911</v>
      </c>
      <c r="J1870" s="12">
        <v>46129</v>
      </c>
      <c r="K1870" s="12">
        <v>46129</v>
      </c>
      <c r="L1870" s="12">
        <v>46129</v>
      </c>
      <c r="M1870">
        <v>3</v>
      </c>
      <c r="N1870">
        <v>-790324</v>
      </c>
      <c r="O1870">
        <v>-790324</v>
      </c>
      <c r="P1870">
        <v>0</v>
      </c>
      <c r="Q1870">
        <v>-790324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 t="s">
        <v>846</v>
      </c>
      <c r="AA1870" t="s">
        <v>1062</v>
      </c>
      <c r="AB1870" t="s">
        <v>51</v>
      </c>
      <c r="AC1870" t="s">
        <v>51</v>
      </c>
      <c r="AD1870" t="s">
        <v>51</v>
      </c>
      <c r="AE1870" t="s">
        <v>51</v>
      </c>
      <c r="AF1870" t="s">
        <v>144</v>
      </c>
    </row>
    <row r="1871" spans="1:32" ht="14.5" customHeight="1" x14ac:dyDescent="0.35">
      <c r="A1871" t="s">
        <v>498</v>
      </c>
      <c r="B1871" t="s">
        <v>176</v>
      </c>
      <c r="C1871" t="s">
        <v>47</v>
      </c>
      <c r="D1871">
        <v>3001517</v>
      </c>
      <c r="E1871">
        <v>3100704</v>
      </c>
      <c r="F1871" t="s">
        <v>1573</v>
      </c>
      <c r="G1871" t="s">
        <v>1576</v>
      </c>
      <c r="H1871" t="s">
        <v>54</v>
      </c>
      <c r="I1871">
        <v>6959912</v>
      </c>
      <c r="J1871" s="12">
        <v>46129</v>
      </c>
      <c r="K1871" s="12">
        <v>46129</v>
      </c>
      <c r="L1871" s="12">
        <v>46129</v>
      </c>
      <c r="M1871">
        <v>3</v>
      </c>
      <c r="N1871">
        <v>-39907658</v>
      </c>
      <c r="O1871">
        <v>-39907658</v>
      </c>
      <c r="P1871">
        <v>0</v>
      </c>
      <c r="Q1871">
        <v>-39907658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 t="s">
        <v>846</v>
      </c>
      <c r="AA1871" t="s">
        <v>1062</v>
      </c>
      <c r="AB1871" t="s">
        <v>51</v>
      </c>
      <c r="AC1871" t="s">
        <v>51</v>
      </c>
      <c r="AD1871" t="s">
        <v>51</v>
      </c>
      <c r="AE1871" t="s">
        <v>51</v>
      </c>
      <c r="AF1871" t="s">
        <v>325</v>
      </c>
    </row>
    <row r="1872" spans="1:32" ht="14.5" customHeight="1" x14ac:dyDescent="0.35">
      <c r="A1872" t="s">
        <v>84</v>
      </c>
      <c r="B1872" t="s">
        <v>85</v>
      </c>
      <c r="C1872" t="s">
        <v>846</v>
      </c>
      <c r="D1872">
        <v>3001517</v>
      </c>
      <c r="E1872">
        <v>3100536</v>
      </c>
      <c r="F1872" t="s">
        <v>1573</v>
      </c>
      <c r="G1872" t="s">
        <v>1573</v>
      </c>
      <c r="H1872" t="s">
        <v>54</v>
      </c>
      <c r="I1872">
        <v>9908492</v>
      </c>
      <c r="J1872" s="12">
        <v>46079</v>
      </c>
      <c r="K1872" s="12">
        <v>46079</v>
      </c>
      <c r="L1872" s="12">
        <v>46130</v>
      </c>
      <c r="M1872">
        <v>2</v>
      </c>
      <c r="N1872">
        <v>1623015</v>
      </c>
      <c r="O1872">
        <v>0</v>
      </c>
      <c r="P1872">
        <v>0</v>
      </c>
      <c r="Q1872">
        <v>1623015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 t="s">
        <v>846</v>
      </c>
      <c r="AA1872" t="s">
        <v>1062</v>
      </c>
      <c r="AB1872" t="s">
        <v>51</v>
      </c>
      <c r="AC1872" t="s">
        <v>51</v>
      </c>
      <c r="AD1872" t="s">
        <v>51</v>
      </c>
      <c r="AE1872" t="s">
        <v>51</v>
      </c>
      <c r="AF1872" t="s">
        <v>320</v>
      </c>
    </row>
    <row r="1873" spans="1:32" ht="14.5" customHeight="1" x14ac:dyDescent="0.35">
      <c r="A1873" t="s">
        <v>84</v>
      </c>
      <c r="B1873" t="s">
        <v>85</v>
      </c>
      <c r="C1873" t="s">
        <v>846</v>
      </c>
      <c r="D1873">
        <v>3001517</v>
      </c>
      <c r="E1873">
        <v>3001517</v>
      </c>
      <c r="F1873" t="s">
        <v>1573</v>
      </c>
      <c r="G1873" t="s">
        <v>1573</v>
      </c>
      <c r="H1873" t="s">
        <v>54</v>
      </c>
      <c r="I1873">
        <v>9909366</v>
      </c>
      <c r="J1873" s="12">
        <v>46080</v>
      </c>
      <c r="K1873" s="12">
        <v>46080</v>
      </c>
      <c r="L1873" s="12">
        <v>46131</v>
      </c>
      <c r="M1873">
        <v>1</v>
      </c>
      <c r="N1873">
        <v>289846262</v>
      </c>
      <c r="O1873">
        <v>0</v>
      </c>
      <c r="P1873">
        <v>0</v>
      </c>
      <c r="Q1873">
        <v>289846262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 t="s">
        <v>548</v>
      </c>
      <c r="AA1873" t="s">
        <v>1062</v>
      </c>
      <c r="AB1873" t="s">
        <v>51</v>
      </c>
      <c r="AC1873" t="s">
        <v>51</v>
      </c>
      <c r="AD1873" t="s">
        <v>51</v>
      </c>
      <c r="AE1873" t="s">
        <v>51</v>
      </c>
      <c r="AF1873" t="s">
        <v>305</v>
      </c>
    </row>
    <row r="1874" spans="1:32" ht="14.5" customHeight="1" x14ac:dyDescent="0.35">
      <c r="A1874" t="s">
        <v>84</v>
      </c>
      <c r="B1874" t="s">
        <v>85</v>
      </c>
      <c r="C1874" t="s">
        <v>846</v>
      </c>
      <c r="D1874">
        <v>3001517</v>
      </c>
      <c r="E1874">
        <v>3001517</v>
      </c>
      <c r="F1874" t="s">
        <v>1573</v>
      </c>
      <c r="G1874" t="s">
        <v>1573</v>
      </c>
      <c r="H1874" t="s">
        <v>54</v>
      </c>
      <c r="I1874">
        <v>9909367</v>
      </c>
      <c r="J1874" s="12">
        <v>46080</v>
      </c>
      <c r="K1874" s="12">
        <v>46080</v>
      </c>
      <c r="L1874" s="12">
        <v>46131</v>
      </c>
      <c r="M1874">
        <v>1</v>
      </c>
      <c r="N1874">
        <v>5913987</v>
      </c>
      <c r="O1874">
        <v>0</v>
      </c>
      <c r="P1874">
        <v>0</v>
      </c>
      <c r="Q1874">
        <v>5913987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 t="s">
        <v>548</v>
      </c>
      <c r="AA1874" t="s">
        <v>1062</v>
      </c>
      <c r="AB1874" t="s">
        <v>51</v>
      </c>
      <c r="AC1874" t="s">
        <v>51</v>
      </c>
      <c r="AD1874" t="s">
        <v>51</v>
      </c>
      <c r="AE1874" t="s">
        <v>51</v>
      </c>
      <c r="AF1874" t="s">
        <v>320</v>
      </c>
    </row>
    <row r="1875" spans="1:32" ht="14.5" customHeight="1" x14ac:dyDescent="0.35">
      <c r="A1875" t="s">
        <v>84</v>
      </c>
      <c r="B1875" t="s">
        <v>85</v>
      </c>
      <c r="C1875" t="s">
        <v>846</v>
      </c>
      <c r="D1875">
        <v>3001517</v>
      </c>
      <c r="E1875">
        <v>3100536</v>
      </c>
      <c r="F1875" t="s">
        <v>1573</v>
      </c>
      <c r="G1875" t="s">
        <v>1573</v>
      </c>
      <c r="H1875" t="s">
        <v>54</v>
      </c>
      <c r="I1875">
        <v>9917493</v>
      </c>
      <c r="J1875" s="12">
        <v>46106</v>
      </c>
      <c r="K1875" s="12">
        <v>46106</v>
      </c>
      <c r="L1875" s="12">
        <v>46157</v>
      </c>
      <c r="M1875">
        <v>-25</v>
      </c>
      <c r="N1875">
        <v>56356034</v>
      </c>
      <c r="O1875">
        <v>0</v>
      </c>
      <c r="P1875">
        <v>56356034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 t="s">
        <v>846</v>
      </c>
      <c r="AA1875" t="s">
        <v>1062</v>
      </c>
      <c r="AB1875" t="s">
        <v>51</v>
      </c>
      <c r="AC1875" t="s">
        <v>51</v>
      </c>
      <c r="AD1875" t="s">
        <v>51</v>
      </c>
      <c r="AE1875" t="s">
        <v>1581</v>
      </c>
      <c r="AF1875" t="s">
        <v>1167</v>
      </c>
    </row>
    <row r="1876" spans="1:32" ht="14.5" customHeight="1" x14ac:dyDescent="0.35">
      <c r="A1876" t="s">
        <v>84</v>
      </c>
      <c r="B1876" t="s">
        <v>85</v>
      </c>
      <c r="C1876" t="s">
        <v>846</v>
      </c>
      <c r="D1876">
        <v>3001517</v>
      </c>
      <c r="E1876">
        <v>3100537</v>
      </c>
      <c r="F1876" t="s">
        <v>1573</v>
      </c>
      <c r="G1876" t="s">
        <v>1573</v>
      </c>
      <c r="H1876" t="s">
        <v>54</v>
      </c>
      <c r="I1876">
        <v>9917495</v>
      </c>
      <c r="J1876" s="12">
        <v>46106</v>
      </c>
      <c r="K1876" s="12">
        <v>46106</v>
      </c>
      <c r="L1876" s="12">
        <v>46157</v>
      </c>
      <c r="M1876">
        <v>-25</v>
      </c>
      <c r="N1876">
        <v>40010696</v>
      </c>
      <c r="O1876">
        <v>0</v>
      </c>
      <c r="P1876">
        <v>40010696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 t="s">
        <v>846</v>
      </c>
      <c r="AA1876" t="s">
        <v>1062</v>
      </c>
      <c r="AB1876" t="s">
        <v>51</v>
      </c>
      <c r="AC1876" t="s">
        <v>51</v>
      </c>
      <c r="AD1876" t="s">
        <v>51</v>
      </c>
      <c r="AE1876" t="s">
        <v>1582</v>
      </c>
      <c r="AF1876" t="s">
        <v>1583</v>
      </c>
    </row>
    <row r="1877" spans="1:32" ht="14.5" customHeight="1" x14ac:dyDescent="0.35">
      <c r="A1877" t="s">
        <v>84</v>
      </c>
      <c r="B1877" t="s">
        <v>85</v>
      </c>
      <c r="C1877" t="s">
        <v>846</v>
      </c>
      <c r="D1877">
        <v>3001517</v>
      </c>
      <c r="E1877">
        <v>3001517</v>
      </c>
      <c r="F1877" t="s">
        <v>1573</v>
      </c>
      <c r="G1877" t="s">
        <v>1573</v>
      </c>
      <c r="H1877" t="s">
        <v>54</v>
      </c>
      <c r="I1877">
        <v>9917496</v>
      </c>
      <c r="J1877" s="12">
        <v>46106</v>
      </c>
      <c r="K1877" s="12">
        <v>46106</v>
      </c>
      <c r="L1877" s="12">
        <v>46157</v>
      </c>
      <c r="M1877">
        <v>-25</v>
      </c>
      <c r="N1877">
        <v>5685948</v>
      </c>
      <c r="O1877">
        <v>0</v>
      </c>
      <c r="P1877">
        <v>5685948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 t="s">
        <v>548</v>
      </c>
      <c r="AA1877" t="s">
        <v>1062</v>
      </c>
      <c r="AB1877" t="s">
        <v>51</v>
      </c>
      <c r="AC1877" t="s">
        <v>51</v>
      </c>
      <c r="AD1877" t="s">
        <v>51</v>
      </c>
      <c r="AE1877" t="s">
        <v>1584</v>
      </c>
      <c r="AF1877" t="s">
        <v>1585</v>
      </c>
    </row>
    <row r="1878" spans="1:32" ht="14.5" customHeight="1" x14ac:dyDescent="0.35">
      <c r="A1878" t="s">
        <v>84</v>
      </c>
      <c r="B1878" t="s">
        <v>85</v>
      </c>
      <c r="C1878" t="s">
        <v>846</v>
      </c>
      <c r="D1878">
        <v>3001517</v>
      </c>
      <c r="E1878">
        <v>3001517</v>
      </c>
      <c r="F1878" t="s">
        <v>1573</v>
      </c>
      <c r="G1878" t="s">
        <v>1573</v>
      </c>
      <c r="H1878" t="s">
        <v>54</v>
      </c>
      <c r="I1878">
        <v>9917500</v>
      </c>
      <c r="J1878" s="12">
        <v>46106</v>
      </c>
      <c r="K1878" s="12">
        <v>46106</v>
      </c>
      <c r="L1878" s="12">
        <v>46157</v>
      </c>
      <c r="M1878">
        <v>-25</v>
      </c>
      <c r="N1878">
        <v>242004220</v>
      </c>
      <c r="O1878">
        <v>0</v>
      </c>
      <c r="P1878">
        <v>242004220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 t="s">
        <v>548</v>
      </c>
      <c r="AA1878" t="s">
        <v>1062</v>
      </c>
      <c r="AB1878" t="s">
        <v>51</v>
      </c>
      <c r="AC1878" t="s">
        <v>51</v>
      </c>
      <c r="AD1878" t="s">
        <v>51</v>
      </c>
      <c r="AE1878" t="s">
        <v>1586</v>
      </c>
      <c r="AF1878" t="s">
        <v>1587</v>
      </c>
    </row>
    <row r="1879" spans="1:32" ht="14.5" customHeight="1" x14ac:dyDescent="0.35">
      <c r="A1879" t="s">
        <v>498</v>
      </c>
      <c r="B1879" t="s">
        <v>176</v>
      </c>
      <c r="C1879" t="s">
        <v>846</v>
      </c>
      <c r="D1879">
        <v>3001517</v>
      </c>
      <c r="E1879">
        <v>3100704</v>
      </c>
      <c r="F1879" t="s">
        <v>1573</v>
      </c>
      <c r="G1879" t="s">
        <v>1576</v>
      </c>
      <c r="H1879" t="s">
        <v>54</v>
      </c>
      <c r="I1879">
        <v>9918836</v>
      </c>
      <c r="J1879" s="12">
        <v>46108</v>
      </c>
      <c r="K1879" s="12">
        <v>46108</v>
      </c>
      <c r="L1879" s="12">
        <v>46152</v>
      </c>
      <c r="M1879">
        <v>-20</v>
      </c>
      <c r="N1879">
        <v>5567227</v>
      </c>
      <c r="O1879">
        <v>0</v>
      </c>
      <c r="P1879">
        <v>5567227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 t="s">
        <v>846</v>
      </c>
      <c r="AA1879" t="s">
        <v>1062</v>
      </c>
      <c r="AB1879" t="s">
        <v>51</v>
      </c>
      <c r="AC1879" t="s">
        <v>51</v>
      </c>
      <c r="AD1879" t="s">
        <v>51</v>
      </c>
      <c r="AE1879" t="s">
        <v>1588</v>
      </c>
      <c r="AF1879" t="s">
        <v>450</v>
      </c>
    </row>
    <row r="1880" spans="1:32" ht="14.5" customHeight="1" x14ac:dyDescent="0.35">
      <c r="A1880" t="s">
        <v>498</v>
      </c>
      <c r="B1880" t="s">
        <v>176</v>
      </c>
      <c r="C1880" t="s">
        <v>846</v>
      </c>
      <c r="D1880">
        <v>3001517</v>
      </c>
      <c r="E1880">
        <v>3100704</v>
      </c>
      <c r="F1880" t="s">
        <v>1573</v>
      </c>
      <c r="G1880" t="s">
        <v>1576</v>
      </c>
      <c r="H1880" t="s">
        <v>54</v>
      </c>
      <c r="I1880">
        <v>9919070</v>
      </c>
      <c r="J1880" s="12">
        <v>46109</v>
      </c>
      <c r="K1880" s="12">
        <v>46109</v>
      </c>
      <c r="L1880" s="12">
        <v>46153</v>
      </c>
      <c r="M1880">
        <v>-21</v>
      </c>
      <c r="N1880">
        <v>155302542</v>
      </c>
      <c r="O1880">
        <v>0</v>
      </c>
      <c r="P1880">
        <v>155302542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 t="s">
        <v>846</v>
      </c>
      <c r="AA1880" t="s">
        <v>1062</v>
      </c>
      <c r="AB1880" t="s">
        <v>51</v>
      </c>
      <c r="AC1880" t="s">
        <v>51</v>
      </c>
      <c r="AD1880" t="s">
        <v>51</v>
      </c>
      <c r="AE1880" t="s">
        <v>1589</v>
      </c>
      <c r="AF1880" t="s">
        <v>1590</v>
      </c>
    </row>
    <row r="1881" spans="1:32" ht="14.5" customHeight="1" x14ac:dyDescent="0.35">
      <c r="A1881" t="s">
        <v>498</v>
      </c>
      <c r="B1881" t="s">
        <v>176</v>
      </c>
      <c r="C1881" t="s">
        <v>846</v>
      </c>
      <c r="D1881">
        <v>3001517</v>
      </c>
      <c r="E1881">
        <v>3100704</v>
      </c>
      <c r="F1881" t="s">
        <v>1573</v>
      </c>
      <c r="G1881" t="s">
        <v>1576</v>
      </c>
      <c r="H1881" t="s">
        <v>54</v>
      </c>
      <c r="I1881">
        <v>9924158</v>
      </c>
      <c r="J1881" s="12">
        <v>46123</v>
      </c>
      <c r="K1881" s="12">
        <v>46123</v>
      </c>
      <c r="L1881" s="12">
        <v>46167</v>
      </c>
      <c r="M1881">
        <v>-35</v>
      </c>
      <c r="N1881">
        <v>38836052</v>
      </c>
      <c r="O1881">
        <v>0</v>
      </c>
      <c r="P1881">
        <v>38836052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 t="s">
        <v>846</v>
      </c>
      <c r="AA1881" t="s">
        <v>1062</v>
      </c>
      <c r="AB1881" t="s">
        <v>51</v>
      </c>
      <c r="AC1881" t="s">
        <v>51</v>
      </c>
      <c r="AD1881" t="s">
        <v>51</v>
      </c>
      <c r="AE1881" t="s">
        <v>1591</v>
      </c>
      <c r="AF1881" t="s">
        <v>113</v>
      </c>
    </row>
    <row r="1882" spans="1:32" ht="14.5" customHeight="1" x14ac:dyDescent="0.35">
      <c r="A1882" t="s">
        <v>498</v>
      </c>
      <c r="B1882" t="s">
        <v>176</v>
      </c>
      <c r="C1882" t="s">
        <v>846</v>
      </c>
      <c r="D1882">
        <v>3001517</v>
      </c>
      <c r="E1882">
        <v>3100704</v>
      </c>
      <c r="F1882" t="s">
        <v>1573</v>
      </c>
      <c r="G1882" t="s">
        <v>1576</v>
      </c>
      <c r="H1882" t="s">
        <v>54</v>
      </c>
      <c r="I1882">
        <v>9927417</v>
      </c>
      <c r="J1882" s="12">
        <v>46130</v>
      </c>
      <c r="K1882" s="12">
        <v>46130</v>
      </c>
      <c r="L1882" s="12">
        <v>46174</v>
      </c>
      <c r="M1882">
        <v>-42</v>
      </c>
      <c r="N1882">
        <v>399721554</v>
      </c>
      <c r="O1882">
        <v>0</v>
      </c>
      <c r="P1882">
        <v>399721554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 t="s">
        <v>846</v>
      </c>
      <c r="AA1882" t="s">
        <v>1062</v>
      </c>
      <c r="AB1882" t="s">
        <v>51</v>
      </c>
      <c r="AC1882" t="s">
        <v>51</v>
      </c>
      <c r="AD1882" t="s">
        <v>51</v>
      </c>
      <c r="AE1882" t="s">
        <v>1592</v>
      </c>
      <c r="AF1882" t="s">
        <v>1590</v>
      </c>
    </row>
    <row r="1883" spans="1:32" ht="14.5" customHeight="1" x14ac:dyDescent="0.35">
      <c r="A1883" t="s">
        <v>1593</v>
      </c>
      <c r="B1883" t="s">
        <v>46</v>
      </c>
      <c r="C1883" t="s">
        <v>47</v>
      </c>
      <c r="D1883">
        <v>3001537</v>
      </c>
      <c r="E1883">
        <v>3001537</v>
      </c>
      <c r="F1883" t="s">
        <v>1594</v>
      </c>
      <c r="G1883" t="s">
        <v>1594</v>
      </c>
      <c r="H1883" t="s">
        <v>54</v>
      </c>
      <c r="I1883">
        <v>6953607</v>
      </c>
      <c r="J1883" s="12">
        <v>46084</v>
      </c>
      <c r="K1883" s="12">
        <v>46084</v>
      </c>
      <c r="L1883" s="12">
        <v>46084</v>
      </c>
      <c r="M1883">
        <v>48</v>
      </c>
      <c r="N1883">
        <v>-26517819</v>
      </c>
      <c r="O1883">
        <v>-26517819</v>
      </c>
      <c r="P1883">
        <v>0</v>
      </c>
      <c r="Q1883">
        <v>0</v>
      </c>
      <c r="R1883">
        <v>-26517819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 t="s">
        <v>47</v>
      </c>
      <c r="AA1883" t="s">
        <v>1062</v>
      </c>
      <c r="AB1883" t="s">
        <v>51</v>
      </c>
      <c r="AC1883" t="s">
        <v>51</v>
      </c>
      <c r="AD1883" t="s">
        <v>51</v>
      </c>
      <c r="AE1883" t="s">
        <v>51</v>
      </c>
      <c r="AF1883" t="s">
        <v>1595</v>
      </c>
    </row>
    <row r="1884" spans="1:32" ht="14.5" customHeight="1" x14ac:dyDescent="0.35">
      <c r="A1884" t="s">
        <v>1593</v>
      </c>
      <c r="B1884" t="s">
        <v>46</v>
      </c>
      <c r="C1884" t="s">
        <v>47</v>
      </c>
      <c r="D1884">
        <v>3001537</v>
      </c>
      <c r="E1884">
        <v>3001537</v>
      </c>
      <c r="F1884" t="s">
        <v>1594</v>
      </c>
      <c r="G1884" t="s">
        <v>1594</v>
      </c>
      <c r="H1884" t="s">
        <v>54</v>
      </c>
      <c r="I1884">
        <v>6954106</v>
      </c>
      <c r="J1884" s="12">
        <v>46086</v>
      </c>
      <c r="K1884" s="12">
        <v>46086</v>
      </c>
      <c r="L1884" s="12">
        <v>46086</v>
      </c>
      <c r="M1884">
        <v>46</v>
      </c>
      <c r="N1884">
        <v>-2700000</v>
      </c>
      <c r="O1884">
        <v>-2700000</v>
      </c>
      <c r="P1884">
        <v>0</v>
      </c>
      <c r="Q1884">
        <v>0</v>
      </c>
      <c r="R1884">
        <v>-2700000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 t="s">
        <v>47</v>
      </c>
      <c r="AA1884" t="s">
        <v>1062</v>
      </c>
      <c r="AB1884" t="s">
        <v>51</v>
      </c>
      <c r="AC1884" t="s">
        <v>51</v>
      </c>
      <c r="AD1884" t="s">
        <v>51</v>
      </c>
      <c r="AE1884" t="s">
        <v>51</v>
      </c>
      <c r="AF1884" t="s">
        <v>1596</v>
      </c>
    </row>
    <row r="1885" spans="1:32" ht="14.5" customHeight="1" x14ac:dyDescent="0.35">
      <c r="A1885" t="s">
        <v>1593</v>
      </c>
      <c r="B1885" t="s">
        <v>46</v>
      </c>
      <c r="C1885" t="s">
        <v>47</v>
      </c>
      <c r="D1885">
        <v>3001537</v>
      </c>
      <c r="E1885">
        <v>3001537</v>
      </c>
      <c r="F1885" t="s">
        <v>1594</v>
      </c>
      <c r="G1885" t="s">
        <v>1594</v>
      </c>
      <c r="H1885" t="s">
        <v>54</v>
      </c>
      <c r="I1885">
        <v>6954690</v>
      </c>
      <c r="J1885" s="12">
        <v>46090</v>
      </c>
      <c r="K1885" s="12">
        <v>46090</v>
      </c>
      <c r="L1885" s="12">
        <v>46090</v>
      </c>
      <c r="M1885">
        <v>42</v>
      </c>
      <c r="N1885">
        <v>-164929</v>
      </c>
      <c r="O1885">
        <v>-164929</v>
      </c>
      <c r="P1885">
        <v>0</v>
      </c>
      <c r="Q1885">
        <v>0</v>
      </c>
      <c r="R1885">
        <v>-164929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 t="s">
        <v>47</v>
      </c>
      <c r="AA1885" t="s">
        <v>1062</v>
      </c>
      <c r="AB1885" t="s">
        <v>51</v>
      </c>
      <c r="AC1885" t="s">
        <v>51</v>
      </c>
      <c r="AD1885" t="s">
        <v>51</v>
      </c>
      <c r="AE1885" t="s">
        <v>51</v>
      </c>
      <c r="AF1885" t="s">
        <v>1597</v>
      </c>
    </row>
    <row r="1886" spans="1:32" ht="14.5" customHeight="1" x14ac:dyDescent="0.35">
      <c r="A1886" t="s">
        <v>1593</v>
      </c>
      <c r="B1886" t="s">
        <v>46</v>
      </c>
      <c r="C1886" t="s">
        <v>47</v>
      </c>
      <c r="D1886">
        <v>3001537</v>
      </c>
      <c r="E1886">
        <v>3001537</v>
      </c>
      <c r="F1886" t="s">
        <v>1594</v>
      </c>
      <c r="G1886" t="s">
        <v>1594</v>
      </c>
      <c r="H1886" t="s">
        <v>54</v>
      </c>
      <c r="I1886">
        <v>6957070</v>
      </c>
      <c r="J1886" s="12">
        <v>46106</v>
      </c>
      <c r="K1886" s="12">
        <v>46106</v>
      </c>
      <c r="L1886" s="12">
        <v>46106</v>
      </c>
      <c r="M1886">
        <v>26</v>
      </c>
      <c r="N1886">
        <v>-4368552</v>
      </c>
      <c r="O1886">
        <v>-4368552</v>
      </c>
      <c r="P1886">
        <v>0</v>
      </c>
      <c r="Q1886">
        <v>-4368552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 t="s">
        <v>47</v>
      </c>
      <c r="AA1886" t="s">
        <v>1062</v>
      </c>
      <c r="AB1886" t="s">
        <v>51</v>
      </c>
      <c r="AC1886" t="s">
        <v>51</v>
      </c>
      <c r="AD1886" t="s">
        <v>51</v>
      </c>
      <c r="AE1886" t="s">
        <v>51</v>
      </c>
      <c r="AF1886" t="s">
        <v>1598</v>
      </c>
    </row>
    <row r="1887" spans="1:32" ht="14.5" customHeight="1" x14ac:dyDescent="0.35">
      <c r="A1887" t="s">
        <v>1593</v>
      </c>
      <c r="B1887" t="s">
        <v>46</v>
      </c>
      <c r="C1887" t="s">
        <v>47</v>
      </c>
      <c r="D1887">
        <v>3001537</v>
      </c>
      <c r="E1887">
        <v>3001537</v>
      </c>
      <c r="F1887" t="s">
        <v>1594</v>
      </c>
      <c r="G1887" t="s">
        <v>1594</v>
      </c>
      <c r="H1887" t="s">
        <v>54</v>
      </c>
      <c r="I1887">
        <v>6957071</v>
      </c>
      <c r="J1887" s="12">
        <v>46106</v>
      </c>
      <c r="K1887" s="12">
        <v>46106</v>
      </c>
      <c r="L1887" s="12">
        <v>46106</v>
      </c>
      <c r="M1887">
        <v>26</v>
      </c>
      <c r="N1887">
        <v>-6172992</v>
      </c>
      <c r="O1887">
        <v>-6172992</v>
      </c>
      <c r="P1887">
        <v>0</v>
      </c>
      <c r="Q1887">
        <v>-6172992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 t="s">
        <v>47</v>
      </c>
      <c r="AA1887" t="s">
        <v>1062</v>
      </c>
      <c r="AB1887" t="s">
        <v>51</v>
      </c>
      <c r="AC1887" t="s">
        <v>51</v>
      </c>
      <c r="AD1887" t="s">
        <v>51</v>
      </c>
      <c r="AE1887" t="s">
        <v>51</v>
      </c>
      <c r="AF1887" t="s">
        <v>1598</v>
      </c>
    </row>
    <row r="1888" spans="1:32" ht="14.5" customHeight="1" x14ac:dyDescent="0.35">
      <c r="A1888" t="s">
        <v>1593</v>
      </c>
      <c r="B1888" t="s">
        <v>46</v>
      </c>
      <c r="C1888" t="s">
        <v>47</v>
      </c>
      <c r="D1888">
        <v>3001537</v>
      </c>
      <c r="E1888">
        <v>3001537</v>
      </c>
      <c r="F1888" t="s">
        <v>1594</v>
      </c>
      <c r="G1888" t="s">
        <v>1594</v>
      </c>
      <c r="H1888" t="s">
        <v>54</v>
      </c>
      <c r="I1888">
        <v>6957072</v>
      </c>
      <c r="J1888" s="12">
        <v>46106</v>
      </c>
      <c r="K1888" s="12">
        <v>46106</v>
      </c>
      <c r="L1888" s="12">
        <v>46106</v>
      </c>
      <c r="M1888">
        <v>26</v>
      </c>
      <c r="N1888">
        <v>-63752</v>
      </c>
      <c r="O1888">
        <v>-63752</v>
      </c>
      <c r="P1888">
        <v>0</v>
      </c>
      <c r="Q1888">
        <v>-63752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 t="s">
        <v>47</v>
      </c>
      <c r="AA1888" t="s">
        <v>1062</v>
      </c>
      <c r="AB1888" t="s">
        <v>51</v>
      </c>
      <c r="AC1888" t="s">
        <v>51</v>
      </c>
      <c r="AD1888" t="s">
        <v>51</v>
      </c>
      <c r="AE1888" t="s">
        <v>51</v>
      </c>
      <c r="AF1888" t="s">
        <v>1599</v>
      </c>
    </row>
    <row r="1889" spans="1:32" ht="14.5" customHeight="1" x14ac:dyDescent="0.35">
      <c r="A1889" t="s">
        <v>1593</v>
      </c>
      <c r="B1889" t="s">
        <v>46</v>
      </c>
      <c r="C1889" t="s">
        <v>47</v>
      </c>
      <c r="D1889">
        <v>3001537</v>
      </c>
      <c r="E1889">
        <v>3001537</v>
      </c>
      <c r="F1889" t="s">
        <v>1594</v>
      </c>
      <c r="G1889" t="s">
        <v>1594</v>
      </c>
      <c r="H1889" t="s">
        <v>54</v>
      </c>
      <c r="I1889">
        <v>6957073</v>
      </c>
      <c r="J1889" s="12">
        <v>46106</v>
      </c>
      <c r="K1889" s="12">
        <v>46106</v>
      </c>
      <c r="L1889" s="12">
        <v>46106</v>
      </c>
      <c r="M1889">
        <v>26</v>
      </c>
      <c r="N1889">
        <v>-21014392</v>
      </c>
      <c r="O1889">
        <v>-21014392</v>
      </c>
      <c r="P1889">
        <v>0</v>
      </c>
      <c r="Q1889">
        <v>-21014392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 t="s">
        <v>47</v>
      </c>
      <c r="AA1889" t="s">
        <v>1062</v>
      </c>
      <c r="AB1889" t="s">
        <v>51</v>
      </c>
      <c r="AC1889" t="s">
        <v>51</v>
      </c>
      <c r="AD1889" t="s">
        <v>51</v>
      </c>
      <c r="AE1889" t="s">
        <v>51</v>
      </c>
      <c r="AF1889" t="s">
        <v>1598</v>
      </c>
    </row>
    <row r="1890" spans="1:32" ht="14.5" customHeight="1" x14ac:dyDescent="0.35">
      <c r="A1890" t="s">
        <v>1593</v>
      </c>
      <c r="B1890" t="s">
        <v>46</v>
      </c>
      <c r="C1890" t="s">
        <v>47</v>
      </c>
      <c r="D1890">
        <v>3001537</v>
      </c>
      <c r="E1890">
        <v>3001537</v>
      </c>
      <c r="F1890" t="s">
        <v>1594</v>
      </c>
      <c r="G1890" t="s">
        <v>1594</v>
      </c>
      <c r="H1890" t="s">
        <v>54</v>
      </c>
      <c r="I1890">
        <v>6957165</v>
      </c>
      <c r="J1890" s="12">
        <v>46106</v>
      </c>
      <c r="K1890" s="12">
        <v>46106</v>
      </c>
      <c r="L1890" s="12">
        <v>46106</v>
      </c>
      <c r="M1890">
        <v>26</v>
      </c>
      <c r="N1890">
        <v>-1022561</v>
      </c>
      <c r="O1890">
        <v>-1022561</v>
      </c>
      <c r="P1890">
        <v>0</v>
      </c>
      <c r="Q1890">
        <v>-1022561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 t="s">
        <v>47</v>
      </c>
      <c r="AA1890" t="s">
        <v>1062</v>
      </c>
      <c r="AB1890" t="s">
        <v>51</v>
      </c>
      <c r="AC1890" t="s">
        <v>51</v>
      </c>
      <c r="AD1890" t="s">
        <v>51</v>
      </c>
      <c r="AE1890" t="s">
        <v>51</v>
      </c>
      <c r="AF1890" t="s">
        <v>1600</v>
      </c>
    </row>
    <row r="1891" spans="1:32" ht="14.5" customHeight="1" x14ac:dyDescent="0.35">
      <c r="A1891" t="s">
        <v>1593</v>
      </c>
      <c r="B1891" t="s">
        <v>46</v>
      </c>
      <c r="C1891" t="s">
        <v>47</v>
      </c>
      <c r="D1891">
        <v>3001537</v>
      </c>
      <c r="E1891">
        <v>3001537</v>
      </c>
      <c r="F1891" t="s">
        <v>1594</v>
      </c>
      <c r="G1891" t="s">
        <v>1594</v>
      </c>
      <c r="H1891" t="s">
        <v>54</v>
      </c>
      <c r="I1891">
        <v>6957166</v>
      </c>
      <c r="J1891" s="12">
        <v>46106</v>
      </c>
      <c r="K1891" s="12">
        <v>46106</v>
      </c>
      <c r="L1891" s="12">
        <v>46106</v>
      </c>
      <c r="M1891">
        <v>26</v>
      </c>
      <c r="N1891">
        <v>-1120020</v>
      </c>
      <c r="O1891">
        <v>-1120020</v>
      </c>
      <c r="P1891">
        <v>0</v>
      </c>
      <c r="Q1891">
        <v>-1120020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 t="s">
        <v>47</v>
      </c>
      <c r="AA1891" t="s">
        <v>1062</v>
      </c>
      <c r="AB1891" t="s">
        <v>51</v>
      </c>
      <c r="AC1891" t="s">
        <v>51</v>
      </c>
      <c r="AD1891" t="s">
        <v>51</v>
      </c>
      <c r="AE1891" t="s">
        <v>51</v>
      </c>
      <c r="AF1891" t="s">
        <v>1601</v>
      </c>
    </row>
    <row r="1892" spans="1:32" ht="14.5" customHeight="1" x14ac:dyDescent="0.35">
      <c r="A1892" t="s">
        <v>1593</v>
      </c>
      <c r="B1892" t="s">
        <v>46</v>
      </c>
      <c r="C1892" t="s">
        <v>47</v>
      </c>
      <c r="D1892">
        <v>3001537</v>
      </c>
      <c r="E1892">
        <v>3001537</v>
      </c>
      <c r="F1892" t="s">
        <v>1594</v>
      </c>
      <c r="G1892" t="s">
        <v>1594</v>
      </c>
      <c r="H1892" t="s">
        <v>54</v>
      </c>
      <c r="I1892">
        <v>6957167</v>
      </c>
      <c r="J1892" s="12">
        <v>46106</v>
      </c>
      <c r="K1892" s="12">
        <v>46106</v>
      </c>
      <c r="L1892" s="12">
        <v>46106</v>
      </c>
      <c r="M1892">
        <v>26</v>
      </c>
      <c r="N1892">
        <v>-160489</v>
      </c>
      <c r="O1892">
        <v>-160489</v>
      </c>
      <c r="P1892">
        <v>0</v>
      </c>
      <c r="Q1892">
        <v>-160489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 t="s">
        <v>47</v>
      </c>
      <c r="AA1892" t="s">
        <v>1062</v>
      </c>
      <c r="AB1892" t="s">
        <v>51</v>
      </c>
      <c r="AC1892" t="s">
        <v>51</v>
      </c>
      <c r="AD1892" t="s">
        <v>51</v>
      </c>
      <c r="AE1892" t="s">
        <v>51</v>
      </c>
      <c r="AF1892" t="s">
        <v>1602</v>
      </c>
    </row>
    <row r="1893" spans="1:32" ht="14.5" customHeight="1" x14ac:dyDescent="0.35">
      <c r="A1893" t="s">
        <v>1593</v>
      </c>
      <c r="B1893" t="s">
        <v>46</v>
      </c>
      <c r="C1893" t="s">
        <v>47</v>
      </c>
      <c r="D1893">
        <v>3001537</v>
      </c>
      <c r="E1893">
        <v>3001537</v>
      </c>
      <c r="F1893" t="s">
        <v>1594</v>
      </c>
      <c r="G1893" t="s">
        <v>1594</v>
      </c>
      <c r="H1893" t="s">
        <v>54</v>
      </c>
      <c r="I1893">
        <v>6957384</v>
      </c>
      <c r="J1893" s="12">
        <v>46106</v>
      </c>
      <c r="K1893" s="12">
        <v>46106</v>
      </c>
      <c r="L1893" s="12">
        <v>46106</v>
      </c>
      <c r="M1893">
        <v>26</v>
      </c>
      <c r="N1893">
        <v>-4905000</v>
      </c>
      <c r="O1893">
        <v>-4905000</v>
      </c>
      <c r="P1893">
        <v>0</v>
      </c>
      <c r="Q1893">
        <v>-4905000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 t="s">
        <v>47</v>
      </c>
      <c r="AA1893" t="s">
        <v>1062</v>
      </c>
      <c r="AB1893" t="s">
        <v>51</v>
      </c>
      <c r="AC1893" t="s">
        <v>51</v>
      </c>
      <c r="AD1893" t="s">
        <v>51</v>
      </c>
      <c r="AE1893" t="s">
        <v>51</v>
      </c>
      <c r="AF1893" t="s">
        <v>1603</v>
      </c>
    </row>
    <row r="1894" spans="1:32" ht="14.5" customHeight="1" x14ac:dyDescent="0.35">
      <c r="A1894" t="s">
        <v>1593</v>
      </c>
      <c r="B1894" t="s">
        <v>46</v>
      </c>
      <c r="C1894" t="s">
        <v>47</v>
      </c>
      <c r="D1894">
        <v>3001537</v>
      </c>
      <c r="E1894">
        <v>3001537</v>
      </c>
      <c r="F1894" t="s">
        <v>1594</v>
      </c>
      <c r="G1894" t="s">
        <v>1594</v>
      </c>
      <c r="H1894" t="s">
        <v>54</v>
      </c>
      <c r="I1894">
        <v>6957385</v>
      </c>
      <c r="J1894" s="12">
        <v>46106</v>
      </c>
      <c r="K1894" s="12">
        <v>46106</v>
      </c>
      <c r="L1894" s="12">
        <v>46106</v>
      </c>
      <c r="M1894">
        <v>26</v>
      </c>
      <c r="N1894">
        <v>-9810000</v>
      </c>
      <c r="O1894">
        <v>-9810000</v>
      </c>
      <c r="P1894">
        <v>0</v>
      </c>
      <c r="Q1894">
        <v>-9810000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 t="s">
        <v>47</v>
      </c>
      <c r="AA1894" t="s">
        <v>1062</v>
      </c>
      <c r="AB1894" t="s">
        <v>51</v>
      </c>
      <c r="AC1894" t="s">
        <v>51</v>
      </c>
      <c r="AD1894" t="s">
        <v>51</v>
      </c>
      <c r="AE1894" t="s">
        <v>51</v>
      </c>
      <c r="AF1894" t="s">
        <v>1603</v>
      </c>
    </row>
    <row r="1895" spans="1:32" ht="14.5" customHeight="1" x14ac:dyDescent="0.35">
      <c r="A1895" t="s">
        <v>1593</v>
      </c>
      <c r="B1895" t="s">
        <v>46</v>
      </c>
      <c r="C1895" t="s">
        <v>47</v>
      </c>
      <c r="D1895">
        <v>3001537</v>
      </c>
      <c r="E1895">
        <v>3001537</v>
      </c>
      <c r="F1895" t="s">
        <v>1594</v>
      </c>
      <c r="G1895" t="s">
        <v>1594</v>
      </c>
      <c r="H1895" t="s">
        <v>54</v>
      </c>
      <c r="I1895">
        <v>6957386</v>
      </c>
      <c r="J1895" s="12">
        <v>46106</v>
      </c>
      <c r="K1895" s="12">
        <v>46106</v>
      </c>
      <c r="L1895" s="12">
        <v>46106</v>
      </c>
      <c r="M1895">
        <v>26</v>
      </c>
      <c r="N1895">
        <v>-9810000</v>
      </c>
      <c r="O1895">
        <v>-9810000</v>
      </c>
      <c r="P1895">
        <v>0</v>
      </c>
      <c r="Q1895">
        <v>-9810000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 t="s">
        <v>47</v>
      </c>
      <c r="AA1895" t="s">
        <v>1062</v>
      </c>
      <c r="AB1895" t="s">
        <v>51</v>
      </c>
      <c r="AC1895" t="s">
        <v>51</v>
      </c>
      <c r="AD1895" t="s">
        <v>51</v>
      </c>
      <c r="AE1895" t="s">
        <v>51</v>
      </c>
      <c r="AF1895" t="s">
        <v>1603</v>
      </c>
    </row>
    <row r="1896" spans="1:32" ht="14.5" customHeight="1" x14ac:dyDescent="0.35">
      <c r="A1896" t="s">
        <v>1593</v>
      </c>
      <c r="B1896" t="s">
        <v>46</v>
      </c>
      <c r="C1896" t="s">
        <v>47</v>
      </c>
      <c r="D1896">
        <v>3001537</v>
      </c>
      <c r="E1896">
        <v>3001537</v>
      </c>
      <c r="F1896" t="s">
        <v>1594</v>
      </c>
      <c r="G1896" t="s">
        <v>1594</v>
      </c>
      <c r="H1896" t="s">
        <v>54</v>
      </c>
      <c r="I1896">
        <v>6957638</v>
      </c>
      <c r="J1896" s="12">
        <v>46111</v>
      </c>
      <c r="K1896" s="12">
        <v>46111</v>
      </c>
      <c r="L1896" s="12">
        <v>46111</v>
      </c>
      <c r="M1896">
        <v>21</v>
      </c>
      <c r="N1896">
        <v>-29815</v>
      </c>
      <c r="O1896">
        <v>-29815</v>
      </c>
      <c r="P1896">
        <v>0</v>
      </c>
      <c r="Q1896">
        <v>-29815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 t="s">
        <v>47</v>
      </c>
      <c r="AA1896" t="s">
        <v>1062</v>
      </c>
      <c r="AB1896" t="s">
        <v>51</v>
      </c>
      <c r="AC1896" t="s">
        <v>51</v>
      </c>
      <c r="AD1896" t="s">
        <v>51</v>
      </c>
      <c r="AE1896" t="s">
        <v>51</v>
      </c>
      <c r="AF1896" t="s">
        <v>1131</v>
      </c>
    </row>
    <row r="1897" spans="1:32" ht="14.5" customHeight="1" x14ac:dyDescent="0.35">
      <c r="A1897" t="s">
        <v>1593</v>
      </c>
      <c r="B1897" t="s">
        <v>46</v>
      </c>
      <c r="C1897" t="s">
        <v>47</v>
      </c>
      <c r="D1897">
        <v>3001537</v>
      </c>
      <c r="E1897">
        <v>3001537</v>
      </c>
      <c r="F1897" t="s">
        <v>1594</v>
      </c>
      <c r="G1897" t="s">
        <v>1594</v>
      </c>
      <c r="H1897" t="s">
        <v>54</v>
      </c>
      <c r="I1897">
        <v>6957650</v>
      </c>
      <c r="J1897" s="12">
        <v>46111</v>
      </c>
      <c r="K1897" s="12">
        <v>46111</v>
      </c>
      <c r="L1897" s="12">
        <v>46111</v>
      </c>
      <c r="M1897">
        <v>21</v>
      </c>
      <c r="N1897">
        <v>-213804</v>
      </c>
      <c r="O1897">
        <v>-213804</v>
      </c>
      <c r="P1897">
        <v>0</v>
      </c>
      <c r="Q1897">
        <v>-213804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 t="s">
        <v>47</v>
      </c>
      <c r="AA1897" t="s">
        <v>1062</v>
      </c>
      <c r="AB1897" t="s">
        <v>51</v>
      </c>
      <c r="AC1897" t="s">
        <v>51</v>
      </c>
      <c r="AD1897" t="s">
        <v>51</v>
      </c>
      <c r="AE1897" t="s">
        <v>51</v>
      </c>
      <c r="AF1897" t="s">
        <v>107</v>
      </c>
    </row>
    <row r="1898" spans="1:32" ht="14.5" customHeight="1" x14ac:dyDescent="0.35">
      <c r="A1898" t="s">
        <v>1593</v>
      </c>
      <c r="B1898" t="s">
        <v>46</v>
      </c>
      <c r="C1898" t="s">
        <v>47</v>
      </c>
      <c r="D1898">
        <v>3001537</v>
      </c>
      <c r="E1898">
        <v>3001537</v>
      </c>
      <c r="F1898" t="s">
        <v>1594</v>
      </c>
      <c r="G1898" t="s">
        <v>1594</v>
      </c>
      <c r="H1898" t="s">
        <v>54</v>
      </c>
      <c r="I1898">
        <v>6957651</v>
      </c>
      <c r="J1898" s="12">
        <v>46111</v>
      </c>
      <c r="K1898" s="12">
        <v>46111</v>
      </c>
      <c r="L1898" s="12">
        <v>46111</v>
      </c>
      <c r="M1898">
        <v>21</v>
      </c>
      <c r="N1898">
        <v>-369945</v>
      </c>
      <c r="O1898">
        <v>-369945</v>
      </c>
      <c r="P1898">
        <v>0</v>
      </c>
      <c r="Q1898">
        <v>-369945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 t="s">
        <v>47</v>
      </c>
      <c r="AA1898" t="s">
        <v>1062</v>
      </c>
      <c r="AB1898" t="s">
        <v>51</v>
      </c>
      <c r="AC1898" t="s">
        <v>51</v>
      </c>
      <c r="AD1898" t="s">
        <v>51</v>
      </c>
      <c r="AE1898" t="s">
        <v>51</v>
      </c>
      <c r="AF1898" t="s">
        <v>107</v>
      </c>
    </row>
    <row r="1899" spans="1:32" ht="14.5" customHeight="1" x14ac:dyDescent="0.35">
      <c r="A1899" t="s">
        <v>1593</v>
      </c>
      <c r="B1899" t="s">
        <v>46</v>
      </c>
      <c r="C1899" t="s">
        <v>47</v>
      </c>
      <c r="D1899">
        <v>3001537</v>
      </c>
      <c r="E1899">
        <v>3001537</v>
      </c>
      <c r="F1899" t="s">
        <v>1594</v>
      </c>
      <c r="G1899" t="s">
        <v>1594</v>
      </c>
      <c r="H1899" t="s">
        <v>54</v>
      </c>
      <c r="I1899">
        <v>6957993</v>
      </c>
      <c r="J1899" s="12">
        <v>46118</v>
      </c>
      <c r="K1899" s="12">
        <v>46118</v>
      </c>
      <c r="L1899" s="12">
        <v>46118</v>
      </c>
      <c r="M1899">
        <v>14</v>
      </c>
      <c r="N1899">
        <v>-127675239</v>
      </c>
      <c r="O1899">
        <v>-127675239</v>
      </c>
      <c r="P1899">
        <v>0</v>
      </c>
      <c r="Q1899">
        <v>-127675239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 t="s">
        <v>47</v>
      </c>
      <c r="AA1899" t="s">
        <v>1062</v>
      </c>
      <c r="AB1899" t="s">
        <v>51</v>
      </c>
      <c r="AC1899" t="s">
        <v>51</v>
      </c>
      <c r="AD1899" t="s">
        <v>51</v>
      </c>
      <c r="AE1899" t="s">
        <v>51</v>
      </c>
      <c r="AF1899" t="s">
        <v>56</v>
      </c>
    </row>
    <row r="1900" spans="1:32" ht="14.5" customHeight="1" x14ac:dyDescent="0.35">
      <c r="A1900" t="s">
        <v>1593</v>
      </c>
      <c r="B1900" t="s">
        <v>46</v>
      </c>
      <c r="C1900" t="s">
        <v>47</v>
      </c>
      <c r="D1900">
        <v>3001537</v>
      </c>
      <c r="E1900">
        <v>3001537</v>
      </c>
      <c r="F1900" t="s">
        <v>1594</v>
      </c>
      <c r="G1900" t="s">
        <v>1594</v>
      </c>
      <c r="H1900" t="s">
        <v>54</v>
      </c>
      <c r="I1900">
        <v>6958311</v>
      </c>
      <c r="J1900" s="12">
        <v>46120</v>
      </c>
      <c r="K1900" s="12">
        <v>46120</v>
      </c>
      <c r="L1900" s="12">
        <v>46120</v>
      </c>
      <c r="M1900">
        <v>12</v>
      </c>
      <c r="N1900">
        <v>-163500</v>
      </c>
      <c r="O1900">
        <v>-163500</v>
      </c>
      <c r="P1900">
        <v>0</v>
      </c>
      <c r="Q1900">
        <v>-163500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 t="s">
        <v>47</v>
      </c>
      <c r="AA1900" t="s">
        <v>1062</v>
      </c>
      <c r="AB1900" t="s">
        <v>51</v>
      </c>
      <c r="AC1900" t="s">
        <v>51</v>
      </c>
      <c r="AD1900" t="s">
        <v>51</v>
      </c>
      <c r="AE1900" t="s">
        <v>51</v>
      </c>
      <c r="AF1900" t="s">
        <v>1604</v>
      </c>
    </row>
    <row r="1901" spans="1:32" ht="14.5" customHeight="1" x14ac:dyDescent="0.35">
      <c r="A1901" t="s">
        <v>1593</v>
      </c>
      <c r="B1901" t="s">
        <v>46</v>
      </c>
      <c r="C1901" t="s">
        <v>47</v>
      </c>
      <c r="D1901">
        <v>3001537</v>
      </c>
      <c r="E1901">
        <v>3001537</v>
      </c>
      <c r="F1901" t="s">
        <v>1594</v>
      </c>
      <c r="G1901" t="s">
        <v>1594</v>
      </c>
      <c r="H1901" t="s">
        <v>54</v>
      </c>
      <c r="I1901">
        <v>6958345</v>
      </c>
      <c r="J1901" s="12">
        <v>46120</v>
      </c>
      <c r="K1901" s="12">
        <v>46120</v>
      </c>
      <c r="L1901" s="12">
        <v>46120</v>
      </c>
      <c r="M1901">
        <v>12</v>
      </c>
      <c r="N1901">
        <v>-45609</v>
      </c>
      <c r="O1901">
        <v>-45609</v>
      </c>
      <c r="P1901">
        <v>0</v>
      </c>
      <c r="Q1901">
        <v>-45609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 t="s">
        <v>47</v>
      </c>
      <c r="AA1901" t="s">
        <v>1062</v>
      </c>
      <c r="AB1901" t="s">
        <v>51</v>
      </c>
      <c r="AC1901" t="s">
        <v>51</v>
      </c>
      <c r="AD1901" t="s">
        <v>51</v>
      </c>
      <c r="AE1901" t="s">
        <v>51</v>
      </c>
      <c r="AF1901" t="s">
        <v>1604</v>
      </c>
    </row>
    <row r="1902" spans="1:32" ht="14.5" customHeight="1" x14ac:dyDescent="0.35">
      <c r="A1902" t="s">
        <v>1593</v>
      </c>
      <c r="B1902" t="s">
        <v>46</v>
      </c>
      <c r="C1902" t="s">
        <v>47</v>
      </c>
      <c r="D1902">
        <v>3001537</v>
      </c>
      <c r="E1902">
        <v>3001537</v>
      </c>
      <c r="F1902" t="s">
        <v>1594</v>
      </c>
      <c r="G1902" t="s">
        <v>1594</v>
      </c>
      <c r="H1902" t="s">
        <v>54</v>
      </c>
      <c r="I1902">
        <v>6958516</v>
      </c>
      <c r="J1902" s="12">
        <v>46121</v>
      </c>
      <c r="K1902" s="12">
        <v>46121</v>
      </c>
      <c r="L1902" s="12">
        <v>46121</v>
      </c>
      <c r="M1902">
        <v>11</v>
      </c>
      <c r="N1902">
        <v>-1500000</v>
      </c>
      <c r="O1902">
        <v>-1500000</v>
      </c>
      <c r="P1902">
        <v>0</v>
      </c>
      <c r="Q1902">
        <v>-1500000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 t="s">
        <v>47</v>
      </c>
      <c r="AA1902" t="s">
        <v>1062</v>
      </c>
      <c r="AB1902" t="s">
        <v>51</v>
      </c>
      <c r="AC1902" t="s">
        <v>51</v>
      </c>
      <c r="AD1902" t="s">
        <v>51</v>
      </c>
      <c r="AE1902" t="s">
        <v>51</v>
      </c>
      <c r="AF1902" t="s">
        <v>1605</v>
      </c>
    </row>
    <row r="1903" spans="1:32" ht="14.5" customHeight="1" x14ac:dyDescent="0.35">
      <c r="A1903" t="s">
        <v>1593</v>
      </c>
      <c r="B1903" t="s">
        <v>46</v>
      </c>
      <c r="C1903" t="s">
        <v>47</v>
      </c>
      <c r="D1903">
        <v>3001537</v>
      </c>
      <c r="E1903">
        <v>3001537</v>
      </c>
      <c r="F1903" t="s">
        <v>1594</v>
      </c>
      <c r="G1903" t="s">
        <v>1594</v>
      </c>
      <c r="H1903" t="s">
        <v>54</v>
      </c>
      <c r="I1903">
        <v>6960078</v>
      </c>
      <c r="J1903" s="12">
        <v>46130</v>
      </c>
      <c r="K1903" s="12">
        <v>46130</v>
      </c>
      <c r="L1903" s="12">
        <v>46130</v>
      </c>
      <c r="M1903">
        <v>2</v>
      </c>
      <c r="N1903">
        <v>-768219</v>
      </c>
      <c r="O1903">
        <v>-768219</v>
      </c>
      <c r="P1903">
        <v>0</v>
      </c>
      <c r="Q1903">
        <v>-768219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 t="s">
        <v>47</v>
      </c>
      <c r="AA1903" t="s">
        <v>1062</v>
      </c>
      <c r="AB1903" t="s">
        <v>51</v>
      </c>
      <c r="AC1903" t="s">
        <v>51</v>
      </c>
      <c r="AD1903" t="s">
        <v>51</v>
      </c>
      <c r="AE1903" t="s">
        <v>51</v>
      </c>
      <c r="AF1903" t="s">
        <v>1606</v>
      </c>
    </row>
    <row r="1904" spans="1:32" ht="14.5" customHeight="1" x14ac:dyDescent="0.35">
      <c r="A1904" t="s">
        <v>1593</v>
      </c>
      <c r="B1904" t="s">
        <v>46</v>
      </c>
      <c r="C1904" t="s">
        <v>47</v>
      </c>
      <c r="D1904">
        <v>3001537</v>
      </c>
      <c r="E1904">
        <v>3001537</v>
      </c>
      <c r="F1904" t="s">
        <v>1594</v>
      </c>
      <c r="G1904" t="s">
        <v>1594</v>
      </c>
      <c r="H1904" t="s">
        <v>54</v>
      </c>
      <c r="I1904">
        <v>6960097</v>
      </c>
      <c r="J1904" s="12">
        <v>46130</v>
      </c>
      <c r="K1904" s="12">
        <v>46130</v>
      </c>
      <c r="L1904" s="12">
        <v>46130</v>
      </c>
      <c r="M1904">
        <v>2</v>
      </c>
      <c r="N1904">
        <v>-471791</v>
      </c>
      <c r="O1904">
        <v>-471791</v>
      </c>
      <c r="P1904">
        <v>0</v>
      </c>
      <c r="Q1904">
        <v>-471791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 t="s">
        <v>47</v>
      </c>
      <c r="AA1904" t="s">
        <v>1062</v>
      </c>
      <c r="AB1904" t="s">
        <v>51</v>
      </c>
      <c r="AC1904" t="s">
        <v>51</v>
      </c>
      <c r="AD1904" t="s">
        <v>51</v>
      </c>
      <c r="AE1904" t="s">
        <v>51</v>
      </c>
      <c r="AF1904" t="s">
        <v>1607</v>
      </c>
    </row>
    <row r="1905" spans="1:32" ht="14.5" customHeight="1" x14ac:dyDescent="0.35">
      <c r="A1905" t="s">
        <v>1593</v>
      </c>
      <c r="B1905" t="s">
        <v>46</v>
      </c>
      <c r="C1905" t="s">
        <v>47</v>
      </c>
      <c r="D1905">
        <v>3001537</v>
      </c>
      <c r="E1905">
        <v>3001537</v>
      </c>
      <c r="F1905" t="s">
        <v>1594</v>
      </c>
      <c r="G1905" t="s">
        <v>1594</v>
      </c>
      <c r="H1905" t="s">
        <v>54</v>
      </c>
      <c r="I1905">
        <v>6960101</v>
      </c>
      <c r="J1905" s="12">
        <v>46130</v>
      </c>
      <c r="K1905" s="12">
        <v>46130</v>
      </c>
      <c r="L1905" s="12">
        <v>46130</v>
      </c>
      <c r="M1905">
        <v>2</v>
      </c>
      <c r="N1905">
        <v>-44095</v>
      </c>
      <c r="O1905">
        <v>-44095</v>
      </c>
      <c r="P1905">
        <v>0</v>
      </c>
      <c r="Q1905">
        <v>-44095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 t="s">
        <v>47</v>
      </c>
      <c r="AA1905" t="s">
        <v>1062</v>
      </c>
      <c r="AB1905" t="s">
        <v>51</v>
      </c>
      <c r="AC1905" t="s">
        <v>51</v>
      </c>
      <c r="AD1905" t="s">
        <v>51</v>
      </c>
      <c r="AE1905" t="s">
        <v>51</v>
      </c>
      <c r="AF1905" t="s">
        <v>1608</v>
      </c>
    </row>
    <row r="1906" spans="1:32" ht="14.5" customHeight="1" x14ac:dyDescent="0.35">
      <c r="A1906" t="s">
        <v>1593</v>
      </c>
      <c r="B1906" t="s">
        <v>46</v>
      </c>
      <c r="C1906" t="s">
        <v>47</v>
      </c>
      <c r="D1906">
        <v>3001537</v>
      </c>
      <c r="E1906">
        <v>3001537</v>
      </c>
      <c r="F1906" t="s">
        <v>1594</v>
      </c>
      <c r="G1906" t="s">
        <v>1594</v>
      </c>
      <c r="H1906" t="s">
        <v>54</v>
      </c>
      <c r="I1906">
        <v>6960102</v>
      </c>
      <c r="J1906" s="12">
        <v>46130</v>
      </c>
      <c r="K1906" s="12">
        <v>46130</v>
      </c>
      <c r="L1906" s="12">
        <v>46130</v>
      </c>
      <c r="M1906">
        <v>2</v>
      </c>
      <c r="N1906">
        <v>-1527277</v>
      </c>
      <c r="O1906">
        <v>-1527277</v>
      </c>
      <c r="P1906">
        <v>0</v>
      </c>
      <c r="Q1906">
        <v>-1527277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 t="s">
        <v>47</v>
      </c>
      <c r="AA1906" t="s">
        <v>1062</v>
      </c>
      <c r="AB1906" t="s">
        <v>51</v>
      </c>
      <c r="AC1906" t="s">
        <v>51</v>
      </c>
      <c r="AD1906" t="s">
        <v>51</v>
      </c>
      <c r="AE1906" t="s">
        <v>51</v>
      </c>
      <c r="AF1906" t="s">
        <v>1609</v>
      </c>
    </row>
    <row r="1907" spans="1:32" ht="14.5" customHeight="1" x14ac:dyDescent="0.35">
      <c r="A1907" t="s">
        <v>1593</v>
      </c>
      <c r="B1907" t="s">
        <v>46</v>
      </c>
      <c r="C1907" t="s">
        <v>47</v>
      </c>
      <c r="D1907">
        <v>3001537</v>
      </c>
      <c r="E1907">
        <v>3001537</v>
      </c>
      <c r="F1907" t="s">
        <v>1594</v>
      </c>
      <c r="G1907" t="s">
        <v>1594</v>
      </c>
      <c r="H1907" t="s">
        <v>54</v>
      </c>
      <c r="I1907">
        <v>6960103</v>
      </c>
      <c r="J1907" s="12">
        <v>46130</v>
      </c>
      <c r="K1907" s="12">
        <v>46130</v>
      </c>
      <c r="L1907" s="12">
        <v>46130</v>
      </c>
      <c r="M1907">
        <v>2</v>
      </c>
      <c r="N1907">
        <v>-1375337</v>
      </c>
      <c r="O1907">
        <v>-1375337</v>
      </c>
      <c r="P1907">
        <v>0</v>
      </c>
      <c r="Q1907">
        <v>-1375337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 t="s">
        <v>47</v>
      </c>
      <c r="AA1907" t="s">
        <v>1062</v>
      </c>
      <c r="AB1907" t="s">
        <v>51</v>
      </c>
      <c r="AC1907" t="s">
        <v>51</v>
      </c>
      <c r="AD1907" t="s">
        <v>51</v>
      </c>
      <c r="AE1907" t="s">
        <v>51</v>
      </c>
      <c r="AF1907" t="s">
        <v>1610</v>
      </c>
    </row>
    <row r="1908" spans="1:32" ht="14.5" customHeight="1" x14ac:dyDescent="0.35">
      <c r="A1908" t="s">
        <v>1593</v>
      </c>
      <c r="B1908" t="s">
        <v>46</v>
      </c>
      <c r="C1908" t="s">
        <v>47</v>
      </c>
      <c r="D1908">
        <v>3001537</v>
      </c>
      <c r="E1908">
        <v>3001537</v>
      </c>
      <c r="F1908" t="s">
        <v>1594</v>
      </c>
      <c r="G1908" t="s">
        <v>1594</v>
      </c>
      <c r="H1908" t="s">
        <v>54</v>
      </c>
      <c r="I1908">
        <v>6960104</v>
      </c>
      <c r="J1908" s="12">
        <v>46130</v>
      </c>
      <c r="K1908" s="12">
        <v>46130</v>
      </c>
      <c r="L1908" s="12">
        <v>46130</v>
      </c>
      <c r="M1908">
        <v>2</v>
      </c>
      <c r="N1908">
        <v>-1481663</v>
      </c>
      <c r="O1908">
        <v>-1481663</v>
      </c>
      <c r="P1908">
        <v>0</v>
      </c>
      <c r="Q1908">
        <v>-1481663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 t="s">
        <v>47</v>
      </c>
      <c r="AA1908" t="s">
        <v>1062</v>
      </c>
      <c r="AB1908" t="s">
        <v>51</v>
      </c>
      <c r="AC1908" t="s">
        <v>51</v>
      </c>
      <c r="AD1908" t="s">
        <v>51</v>
      </c>
      <c r="AE1908" t="s">
        <v>51</v>
      </c>
      <c r="AF1908" t="s">
        <v>1611</v>
      </c>
    </row>
    <row r="1909" spans="1:32" ht="14.5" customHeight="1" x14ac:dyDescent="0.35">
      <c r="A1909" t="s">
        <v>1593</v>
      </c>
      <c r="B1909" t="s">
        <v>46</v>
      </c>
      <c r="C1909" t="s">
        <v>47</v>
      </c>
      <c r="D1909">
        <v>3001537</v>
      </c>
      <c r="E1909">
        <v>3001537</v>
      </c>
      <c r="F1909" t="s">
        <v>1594</v>
      </c>
      <c r="G1909" t="s">
        <v>1594</v>
      </c>
      <c r="H1909" t="s">
        <v>54</v>
      </c>
      <c r="I1909">
        <v>6960105</v>
      </c>
      <c r="J1909" s="12">
        <v>46130</v>
      </c>
      <c r="K1909" s="12">
        <v>46130</v>
      </c>
      <c r="L1909" s="12">
        <v>46130</v>
      </c>
      <c r="M1909">
        <v>2</v>
      </c>
      <c r="N1909">
        <v>-999385</v>
      </c>
      <c r="O1909">
        <v>-999385</v>
      </c>
      <c r="P1909">
        <v>0</v>
      </c>
      <c r="Q1909">
        <v>-999385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 t="s">
        <v>47</v>
      </c>
      <c r="AA1909" t="s">
        <v>1062</v>
      </c>
      <c r="AB1909" t="s">
        <v>51</v>
      </c>
      <c r="AC1909" t="s">
        <v>51</v>
      </c>
      <c r="AD1909" t="s">
        <v>51</v>
      </c>
      <c r="AE1909" t="s">
        <v>51</v>
      </c>
      <c r="AF1909" t="s">
        <v>1612</v>
      </c>
    </row>
    <row r="1910" spans="1:32" ht="14.5" customHeight="1" x14ac:dyDescent="0.35">
      <c r="A1910" t="s">
        <v>1593</v>
      </c>
      <c r="B1910" t="s">
        <v>46</v>
      </c>
      <c r="C1910" t="s">
        <v>47</v>
      </c>
      <c r="D1910">
        <v>3001537</v>
      </c>
      <c r="E1910">
        <v>3001537</v>
      </c>
      <c r="F1910" t="s">
        <v>1594</v>
      </c>
      <c r="G1910" t="s">
        <v>1594</v>
      </c>
      <c r="H1910" t="s">
        <v>54</v>
      </c>
      <c r="I1910">
        <v>6960106</v>
      </c>
      <c r="J1910" s="12">
        <v>46130</v>
      </c>
      <c r="K1910" s="12">
        <v>46130</v>
      </c>
      <c r="L1910" s="12">
        <v>46130</v>
      </c>
      <c r="M1910">
        <v>2</v>
      </c>
      <c r="N1910">
        <v>-371670</v>
      </c>
      <c r="O1910">
        <v>-371670</v>
      </c>
      <c r="P1910">
        <v>0</v>
      </c>
      <c r="Q1910">
        <v>-371670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 t="s">
        <v>47</v>
      </c>
      <c r="AA1910" t="s">
        <v>1062</v>
      </c>
      <c r="AB1910" t="s">
        <v>51</v>
      </c>
      <c r="AC1910" t="s">
        <v>51</v>
      </c>
      <c r="AD1910" t="s">
        <v>51</v>
      </c>
      <c r="AE1910" t="s">
        <v>51</v>
      </c>
      <c r="AF1910" t="s">
        <v>1613</v>
      </c>
    </row>
    <row r="1911" spans="1:32" ht="14.5" customHeight="1" x14ac:dyDescent="0.35">
      <c r="A1911" t="s">
        <v>1593</v>
      </c>
      <c r="B1911" t="s">
        <v>46</v>
      </c>
      <c r="C1911" t="s">
        <v>47</v>
      </c>
      <c r="D1911">
        <v>3001537</v>
      </c>
      <c r="E1911">
        <v>3001537</v>
      </c>
      <c r="F1911" t="s">
        <v>1594</v>
      </c>
      <c r="G1911" t="s">
        <v>1594</v>
      </c>
      <c r="H1911" t="s">
        <v>54</v>
      </c>
      <c r="I1911">
        <v>6960151</v>
      </c>
      <c r="J1911" s="12">
        <v>46130</v>
      </c>
      <c r="K1911" s="12">
        <v>46130</v>
      </c>
      <c r="L1911" s="12">
        <v>46130</v>
      </c>
      <c r="M1911">
        <v>2</v>
      </c>
      <c r="N1911">
        <v>-1132830</v>
      </c>
      <c r="O1911">
        <v>-1132830</v>
      </c>
      <c r="P1911">
        <v>0</v>
      </c>
      <c r="Q1911">
        <v>-1132830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 t="s">
        <v>47</v>
      </c>
      <c r="AA1911" t="s">
        <v>1062</v>
      </c>
      <c r="AB1911" t="s">
        <v>51</v>
      </c>
      <c r="AC1911" t="s">
        <v>51</v>
      </c>
      <c r="AD1911" t="s">
        <v>51</v>
      </c>
      <c r="AE1911" t="s">
        <v>51</v>
      </c>
      <c r="AF1911" t="s">
        <v>64</v>
      </c>
    </row>
    <row r="1912" spans="1:32" ht="14.5" customHeight="1" x14ac:dyDescent="0.35">
      <c r="A1912" t="s">
        <v>1593</v>
      </c>
      <c r="B1912" t="s">
        <v>46</v>
      </c>
      <c r="C1912" t="s">
        <v>60</v>
      </c>
      <c r="D1912">
        <v>3001537</v>
      </c>
      <c r="E1912">
        <v>3100694</v>
      </c>
      <c r="F1912" t="s">
        <v>1594</v>
      </c>
      <c r="G1912" t="s">
        <v>1594</v>
      </c>
      <c r="H1912" t="s">
        <v>54</v>
      </c>
      <c r="I1912">
        <v>9921111</v>
      </c>
      <c r="J1912" s="12">
        <v>46112</v>
      </c>
      <c r="K1912" s="12">
        <v>46112</v>
      </c>
      <c r="L1912" s="12">
        <v>46144</v>
      </c>
      <c r="M1912">
        <v>-12</v>
      </c>
      <c r="N1912">
        <v>132576284</v>
      </c>
      <c r="O1912">
        <v>0</v>
      </c>
      <c r="P1912">
        <v>132576284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 t="s">
        <v>60</v>
      </c>
      <c r="AA1912" t="s">
        <v>1062</v>
      </c>
      <c r="AB1912" t="s">
        <v>51</v>
      </c>
      <c r="AC1912" t="s">
        <v>51</v>
      </c>
      <c r="AD1912" t="s">
        <v>1614</v>
      </c>
      <c r="AE1912" t="s">
        <v>51</v>
      </c>
      <c r="AF1912" t="s">
        <v>296</v>
      </c>
    </row>
    <row r="1913" spans="1:32" ht="14.5" customHeight="1" x14ac:dyDescent="0.35">
      <c r="A1913" t="s">
        <v>1593</v>
      </c>
      <c r="B1913" t="s">
        <v>46</v>
      </c>
      <c r="C1913" t="s">
        <v>47</v>
      </c>
      <c r="D1913">
        <v>3001537</v>
      </c>
      <c r="E1913">
        <v>3001537</v>
      </c>
      <c r="F1913" t="s">
        <v>1594</v>
      </c>
      <c r="G1913" t="s">
        <v>1594</v>
      </c>
      <c r="H1913" t="s">
        <v>54</v>
      </c>
      <c r="I1913">
        <v>9921553</v>
      </c>
      <c r="J1913" s="12">
        <v>46113</v>
      </c>
      <c r="K1913" s="12">
        <v>46113</v>
      </c>
      <c r="L1913" s="12">
        <v>46157</v>
      </c>
      <c r="M1913">
        <v>-25</v>
      </c>
      <c r="N1913">
        <v>446007266</v>
      </c>
      <c r="O1913">
        <v>0</v>
      </c>
      <c r="P1913">
        <v>446007266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 t="s">
        <v>47</v>
      </c>
      <c r="AA1913" t="s">
        <v>1062</v>
      </c>
      <c r="AB1913" t="s">
        <v>51</v>
      </c>
      <c r="AC1913" t="s">
        <v>51</v>
      </c>
      <c r="AD1913" t="s">
        <v>51</v>
      </c>
      <c r="AE1913" t="s">
        <v>1615</v>
      </c>
      <c r="AF1913" t="s">
        <v>336</v>
      </c>
    </row>
    <row r="1914" spans="1:32" ht="14.5" customHeight="1" x14ac:dyDescent="0.35">
      <c r="A1914" t="s">
        <v>1593</v>
      </c>
      <c r="B1914" t="s">
        <v>46</v>
      </c>
      <c r="C1914" t="s">
        <v>47</v>
      </c>
      <c r="D1914">
        <v>3001537</v>
      </c>
      <c r="E1914">
        <v>3001537</v>
      </c>
      <c r="F1914" t="s">
        <v>1594</v>
      </c>
      <c r="G1914" t="s">
        <v>1594</v>
      </c>
      <c r="H1914" t="s">
        <v>54</v>
      </c>
      <c r="I1914">
        <v>9921554</v>
      </c>
      <c r="J1914" s="12">
        <v>46113</v>
      </c>
      <c r="K1914" s="12">
        <v>46113</v>
      </c>
      <c r="L1914" s="12">
        <v>46157</v>
      </c>
      <c r="M1914">
        <v>-25</v>
      </c>
      <c r="N1914">
        <v>1140627</v>
      </c>
      <c r="O1914">
        <v>0</v>
      </c>
      <c r="P1914">
        <v>1140627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 t="s">
        <v>47</v>
      </c>
      <c r="AA1914" t="s">
        <v>1062</v>
      </c>
      <c r="AB1914" t="s">
        <v>51</v>
      </c>
      <c r="AC1914" t="s">
        <v>51</v>
      </c>
      <c r="AD1914" t="s">
        <v>51</v>
      </c>
      <c r="AE1914" t="s">
        <v>1616</v>
      </c>
      <c r="AF1914" t="s">
        <v>163</v>
      </c>
    </row>
    <row r="1915" spans="1:32" ht="14.5" customHeight="1" x14ac:dyDescent="0.35">
      <c r="A1915" t="s">
        <v>1593</v>
      </c>
      <c r="B1915" t="s">
        <v>46</v>
      </c>
      <c r="C1915" t="s">
        <v>47</v>
      </c>
      <c r="D1915">
        <v>3001537</v>
      </c>
      <c r="E1915">
        <v>3001537</v>
      </c>
      <c r="F1915" t="s">
        <v>1594</v>
      </c>
      <c r="G1915" t="s">
        <v>1594</v>
      </c>
      <c r="H1915" t="s">
        <v>54</v>
      </c>
      <c r="I1915">
        <v>9921555</v>
      </c>
      <c r="J1915" s="12">
        <v>46113</v>
      </c>
      <c r="K1915" s="12">
        <v>46113</v>
      </c>
      <c r="L1915" s="12">
        <v>46157</v>
      </c>
      <c r="M1915">
        <v>-25</v>
      </c>
      <c r="N1915">
        <v>291146282</v>
      </c>
      <c r="O1915">
        <v>0</v>
      </c>
      <c r="P1915">
        <v>291146282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 t="s">
        <v>47</v>
      </c>
      <c r="AA1915" t="s">
        <v>1062</v>
      </c>
      <c r="AB1915" t="s">
        <v>51</v>
      </c>
      <c r="AC1915" t="s">
        <v>51</v>
      </c>
      <c r="AD1915" t="s">
        <v>51</v>
      </c>
      <c r="AE1915" t="s">
        <v>1617</v>
      </c>
      <c r="AF1915" t="s">
        <v>782</v>
      </c>
    </row>
    <row r="1916" spans="1:32" ht="14.5" customHeight="1" x14ac:dyDescent="0.35">
      <c r="A1916" t="s">
        <v>1593</v>
      </c>
      <c r="B1916" t="s">
        <v>46</v>
      </c>
      <c r="C1916" t="s">
        <v>47</v>
      </c>
      <c r="D1916">
        <v>3001537</v>
      </c>
      <c r="E1916">
        <v>3001537</v>
      </c>
      <c r="F1916" t="s">
        <v>1594</v>
      </c>
      <c r="G1916" t="s">
        <v>1594</v>
      </c>
      <c r="H1916" t="s">
        <v>54</v>
      </c>
      <c r="I1916">
        <v>9921556</v>
      </c>
      <c r="J1916" s="12">
        <v>46113</v>
      </c>
      <c r="K1916" s="12">
        <v>46113</v>
      </c>
      <c r="L1916" s="12">
        <v>46157</v>
      </c>
      <c r="M1916">
        <v>-25</v>
      </c>
      <c r="N1916">
        <v>10533016</v>
      </c>
      <c r="O1916">
        <v>0</v>
      </c>
      <c r="P1916">
        <v>10533016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 t="s">
        <v>47</v>
      </c>
      <c r="AA1916" t="s">
        <v>1062</v>
      </c>
      <c r="AB1916" t="s">
        <v>51</v>
      </c>
      <c r="AC1916" t="s">
        <v>51</v>
      </c>
      <c r="AD1916" t="s">
        <v>51</v>
      </c>
      <c r="AE1916" t="s">
        <v>1618</v>
      </c>
      <c r="AF1916" t="s">
        <v>352</v>
      </c>
    </row>
    <row r="1917" spans="1:32" ht="14.5" customHeight="1" x14ac:dyDescent="0.35">
      <c r="A1917" t="s">
        <v>1593</v>
      </c>
      <c r="B1917" t="s">
        <v>46</v>
      </c>
      <c r="C1917" t="s">
        <v>47</v>
      </c>
      <c r="D1917">
        <v>3001537</v>
      </c>
      <c r="E1917">
        <v>3001537</v>
      </c>
      <c r="F1917" t="s">
        <v>1594</v>
      </c>
      <c r="G1917" t="s">
        <v>1594</v>
      </c>
      <c r="H1917" t="s">
        <v>54</v>
      </c>
      <c r="I1917">
        <v>9922157</v>
      </c>
      <c r="J1917" s="12">
        <v>46116</v>
      </c>
      <c r="K1917" s="12">
        <v>46116</v>
      </c>
      <c r="L1917" s="12">
        <v>46160</v>
      </c>
      <c r="M1917">
        <v>-28</v>
      </c>
      <c r="N1917">
        <v>369379797</v>
      </c>
      <c r="O1917">
        <v>0</v>
      </c>
      <c r="P1917">
        <v>369379797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 t="s">
        <v>47</v>
      </c>
      <c r="AA1917" t="s">
        <v>1062</v>
      </c>
      <c r="AB1917" t="s">
        <v>51</v>
      </c>
      <c r="AC1917" t="s">
        <v>51</v>
      </c>
      <c r="AD1917" t="s">
        <v>51</v>
      </c>
      <c r="AE1917" t="s">
        <v>1619</v>
      </c>
      <c r="AF1917" t="s">
        <v>642</v>
      </c>
    </row>
    <row r="1918" spans="1:32" ht="14.5" customHeight="1" x14ac:dyDescent="0.35">
      <c r="A1918" t="s">
        <v>1593</v>
      </c>
      <c r="B1918" t="s">
        <v>46</v>
      </c>
      <c r="C1918" t="s">
        <v>47</v>
      </c>
      <c r="D1918">
        <v>3001537</v>
      </c>
      <c r="E1918">
        <v>3001537</v>
      </c>
      <c r="F1918" t="s">
        <v>1594</v>
      </c>
      <c r="G1918" t="s">
        <v>1594</v>
      </c>
      <c r="H1918" t="s">
        <v>54</v>
      </c>
      <c r="I1918">
        <v>9922163</v>
      </c>
      <c r="J1918" s="12">
        <v>46116</v>
      </c>
      <c r="K1918" s="12">
        <v>46116</v>
      </c>
      <c r="L1918" s="12">
        <v>46160</v>
      </c>
      <c r="M1918">
        <v>-28</v>
      </c>
      <c r="N1918">
        <v>329119</v>
      </c>
      <c r="O1918">
        <v>0</v>
      </c>
      <c r="P1918">
        <v>329119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 t="s">
        <v>47</v>
      </c>
      <c r="AA1918" t="s">
        <v>1062</v>
      </c>
      <c r="AB1918" t="s">
        <v>51</v>
      </c>
      <c r="AC1918" t="s">
        <v>51</v>
      </c>
      <c r="AD1918" t="s">
        <v>51</v>
      </c>
      <c r="AE1918" t="s">
        <v>1204</v>
      </c>
      <c r="AF1918" t="s">
        <v>163</v>
      </c>
    </row>
    <row r="1919" spans="1:32" ht="14.5" customHeight="1" x14ac:dyDescent="0.35">
      <c r="A1919" t="s">
        <v>1593</v>
      </c>
      <c r="B1919" t="s">
        <v>46</v>
      </c>
      <c r="C1919" t="s">
        <v>47</v>
      </c>
      <c r="D1919">
        <v>3001537</v>
      </c>
      <c r="E1919">
        <v>3001537</v>
      </c>
      <c r="F1919" t="s">
        <v>1594</v>
      </c>
      <c r="G1919" t="s">
        <v>1594</v>
      </c>
      <c r="H1919" t="s">
        <v>140</v>
      </c>
      <c r="I1919">
        <v>9922335</v>
      </c>
      <c r="J1919" s="12">
        <v>46118</v>
      </c>
      <c r="K1919" s="12">
        <v>46118</v>
      </c>
      <c r="L1919" s="12">
        <v>46148</v>
      </c>
      <c r="M1919">
        <v>-16</v>
      </c>
      <c r="N1919">
        <v>214325</v>
      </c>
      <c r="O1919">
        <v>0</v>
      </c>
      <c r="P1919">
        <v>214325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 t="s">
        <v>47</v>
      </c>
      <c r="AA1919" t="s">
        <v>1062</v>
      </c>
      <c r="AB1919" t="s">
        <v>51</v>
      </c>
      <c r="AC1919" t="s">
        <v>51</v>
      </c>
      <c r="AD1919" t="s">
        <v>51</v>
      </c>
      <c r="AE1919" t="s">
        <v>1620</v>
      </c>
      <c r="AF1919" t="s">
        <v>493</v>
      </c>
    </row>
    <row r="1920" spans="1:32" ht="14.5" customHeight="1" x14ac:dyDescent="0.35">
      <c r="A1920" t="s">
        <v>1593</v>
      </c>
      <c r="B1920" t="s">
        <v>46</v>
      </c>
      <c r="C1920" t="s">
        <v>47</v>
      </c>
      <c r="D1920">
        <v>3001537</v>
      </c>
      <c r="E1920">
        <v>3001537</v>
      </c>
      <c r="F1920" t="s">
        <v>1594</v>
      </c>
      <c r="G1920" t="s">
        <v>1594</v>
      </c>
      <c r="H1920" t="s">
        <v>54</v>
      </c>
      <c r="I1920">
        <v>9925040</v>
      </c>
      <c r="J1920" s="12">
        <v>46126</v>
      </c>
      <c r="K1920" s="12">
        <v>46126</v>
      </c>
      <c r="L1920" s="12">
        <v>46170</v>
      </c>
      <c r="M1920">
        <v>-38</v>
      </c>
      <c r="N1920">
        <v>364639056</v>
      </c>
      <c r="O1920">
        <v>0</v>
      </c>
      <c r="P1920">
        <v>364639056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 t="s">
        <v>47</v>
      </c>
      <c r="AA1920" t="s">
        <v>1062</v>
      </c>
      <c r="AB1920" t="s">
        <v>51</v>
      </c>
      <c r="AC1920" t="s">
        <v>51</v>
      </c>
      <c r="AD1920" t="s">
        <v>51</v>
      </c>
      <c r="AE1920" t="s">
        <v>1621</v>
      </c>
      <c r="AF1920" t="s">
        <v>281</v>
      </c>
    </row>
    <row r="1921" spans="1:32" ht="14.5" customHeight="1" x14ac:dyDescent="0.35">
      <c r="A1921" t="s">
        <v>1593</v>
      </c>
      <c r="B1921" t="s">
        <v>46</v>
      </c>
      <c r="C1921" t="s">
        <v>60</v>
      </c>
      <c r="D1921">
        <v>3001537</v>
      </c>
      <c r="E1921">
        <v>3100694</v>
      </c>
      <c r="F1921" t="s">
        <v>1594</v>
      </c>
      <c r="G1921" t="s">
        <v>1594</v>
      </c>
      <c r="H1921" t="s">
        <v>54</v>
      </c>
      <c r="I1921">
        <v>9927295</v>
      </c>
      <c r="J1921" s="12">
        <v>46130</v>
      </c>
      <c r="K1921" s="12">
        <v>46130</v>
      </c>
      <c r="L1921" s="12">
        <v>46162</v>
      </c>
      <c r="M1921">
        <v>-30</v>
      </c>
      <c r="N1921">
        <v>194254937</v>
      </c>
      <c r="O1921">
        <v>0</v>
      </c>
      <c r="P1921">
        <v>194254937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 t="s">
        <v>60</v>
      </c>
      <c r="AA1921" t="s">
        <v>1062</v>
      </c>
      <c r="AB1921" t="s">
        <v>51</v>
      </c>
      <c r="AC1921" t="s">
        <v>51</v>
      </c>
      <c r="AD1921" t="s">
        <v>51</v>
      </c>
      <c r="AE1921" t="s">
        <v>1622</v>
      </c>
      <c r="AF1921" t="s">
        <v>354</v>
      </c>
    </row>
    <row r="1922" spans="1:32" ht="14.5" customHeight="1" x14ac:dyDescent="0.35">
      <c r="A1922" t="s">
        <v>498</v>
      </c>
      <c r="B1922" t="s">
        <v>968</v>
      </c>
      <c r="C1922" t="s">
        <v>47</v>
      </c>
      <c r="D1922">
        <v>3001539</v>
      </c>
      <c r="E1922">
        <v>3001539</v>
      </c>
      <c r="F1922" t="s">
        <v>1623</v>
      </c>
      <c r="G1922" t="s">
        <v>1623</v>
      </c>
      <c r="H1922" t="s">
        <v>54</v>
      </c>
      <c r="I1922">
        <v>6960165</v>
      </c>
      <c r="J1922" s="12">
        <v>46130</v>
      </c>
      <c r="K1922" s="12">
        <v>46130</v>
      </c>
      <c r="L1922" s="12">
        <v>46130</v>
      </c>
      <c r="M1922">
        <v>2</v>
      </c>
      <c r="N1922">
        <v>-16980777</v>
      </c>
      <c r="O1922">
        <v>-16980777</v>
      </c>
      <c r="P1922">
        <v>0</v>
      </c>
      <c r="Q1922">
        <v>-16980777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 t="s">
        <v>846</v>
      </c>
      <c r="AA1922" t="s">
        <v>55</v>
      </c>
      <c r="AB1922" t="s">
        <v>51</v>
      </c>
      <c r="AC1922" t="s">
        <v>51</v>
      </c>
      <c r="AD1922" t="s">
        <v>51</v>
      </c>
      <c r="AE1922" t="s">
        <v>51</v>
      </c>
      <c r="AF1922" t="s">
        <v>106</v>
      </c>
    </row>
    <row r="1923" spans="1:32" ht="14.5" customHeight="1" x14ac:dyDescent="0.35">
      <c r="A1923" t="s">
        <v>498</v>
      </c>
      <c r="B1923" t="s">
        <v>968</v>
      </c>
      <c r="C1923" t="s">
        <v>846</v>
      </c>
      <c r="D1923">
        <v>3001539</v>
      </c>
      <c r="E1923">
        <v>3001516</v>
      </c>
      <c r="F1923" t="s">
        <v>1623</v>
      </c>
      <c r="G1923" t="s">
        <v>1623</v>
      </c>
      <c r="H1923" t="s">
        <v>54</v>
      </c>
      <c r="I1923">
        <v>9914905</v>
      </c>
      <c r="J1923" s="12">
        <v>46095</v>
      </c>
      <c r="K1923" s="12">
        <v>46095</v>
      </c>
      <c r="L1923" s="12">
        <v>46155</v>
      </c>
      <c r="M1923">
        <v>-23</v>
      </c>
      <c r="N1923">
        <v>92783180</v>
      </c>
      <c r="O1923">
        <v>0</v>
      </c>
      <c r="P1923">
        <v>92783180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 t="s">
        <v>548</v>
      </c>
      <c r="AA1923" t="s">
        <v>55</v>
      </c>
      <c r="AB1923" t="s">
        <v>51</v>
      </c>
      <c r="AC1923" t="s">
        <v>51</v>
      </c>
      <c r="AD1923" t="s">
        <v>51</v>
      </c>
      <c r="AE1923" t="s">
        <v>1624</v>
      </c>
      <c r="AF1923" t="s">
        <v>195</v>
      </c>
    </row>
    <row r="1924" spans="1:32" ht="14.5" customHeight="1" x14ac:dyDescent="0.35">
      <c r="A1924" t="s">
        <v>498</v>
      </c>
      <c r="B1924" t="s">
        <v>968</v>
      </c>
      <c r="C1924" t="s">
        <v>846</v>
      </c>
      <c r="D1924">
        <v>3001539</v>
      </c>
      <c r="E1924">
        <v>3001516</v>
      </c>
      <c r="F1924" t="s">
        <v>1623</v>
      </c>
      <c r="G1924" t="s">
        <v>1623</v>
      </c>
      <c r="H1924" t="s">
        <v>54</v>
      </c>
      <c r="I1924">
        <v>9914984</v>
      </c>
      <c r="J1924" s="12">
        <v>46095</v>
      </c>
      <c r="K1924" s="12">
        <v>46095</v>
      </c>
      <c r="L1924" s="12">
        <v>46155</v>
      </c>
      <c r="M1924">
        <v>-23</v>
      </c>
      <c r="N1924">
        <v>35344153</v>
      </c>
      <c r="O1924">
        <v>0</v>
      </c>
      <c r="P1924">
        <v>35344153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 t="s">
        <v>548</v>
      </c>
      <c r="AA1924" t="s">
        <v>55</v>
      </c>
      <c r="AB1924" t="s">
        <v>51</v>
      </c>
      <c r="AC1924" t="s">
        <v>51</v>
      </c>
      <c r="AD1924" t="s">
        <v>51</v>
      </c>
      <c r="AE1924" t="s">
        <v>1625</v>
      </c>
      <c r="AF1924" t="s">
        <v>153</v>
      </c>
    </row>
    <row r="1925" spans="1:32" ht="14.5" customHeight="1" x14ac:dyDescent="0.35">
      <c r="A1925" t="s">
        <v>498</v>
      </c>
      <c r="B1925" t="s">
        <v>968</v>
      </c>
      <c r="C1925" t="s">
        <v>846</v>
      </c>
      <c r="D1925">
        <v>3001539</v>
      </c>
      <c r="E1925">
        <v>3001516</v>
      </c>
      <c r="F1925" t="s">
        <v>1623</v>
      </c>
      <c r="G1925" t="s">
        <v>1623</v>
      </c>
      <c r="H1925" t="s">
        <v>54</v>
      </c>
      <c r="I1925">
        <v>9914985</v>
      </c>
      <c r="J1925" s="12">
        <v>46095</v>
      </c>
      <c r="K1925" s="12">
        <v>46095</v>
      </c>
      <c r="L1925" s="12">
        <v>46155</v>
      </c>
      <c r="M1925">
        <v>-23</v>
      </c>
      <c r="N1925">
        <v>1637496</v>
      </c>
      <c r="O1925">
        <v>0</v>
      </c>
      <c r="P1925">
        <v>1637496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 t="s">
        <v>548</v>
      </c>
      <c r="AA1925" t="s">
        <v>55</v>
      </c>
      <c r="AB1925" t="s">
        <v>51</v>
      </c>
      <c r="AC1925" t="s">
        <v>51</v>
      </c>
      <c r="AD1925" t="s">
        <v>51</v>
      </c>
      <c r="AE1925" t="s">
        <v>1626</v>
      </c>
      <c r="AF1925" t="s">
        <v>320</v>
      </c>
    </row>
    <row r="1926" spans="1:32" ht="14.5" customHeight="1" x14ac:dyDescent="0.35">
      <c r="A1926" t="s">
        <v>498</v>
      </c>
      <c r="B1926" t="s">
        <v>968</v>
      </c>
      <c r="C1926" t="s">
        <v>846</v>
      </c>
      <c r="D1926">
        <v>3001539</v>
      </c>
      <c r="E1926">
        <v>3001516</v>
      </c>
      <c r="F1926" t="s">
        <v>1623</v>
      </c>
      <c r="G1926" t="s">
        <v>1623</v>
      </c>
      <c r="H1926" t="s">
        <v>54</v>
      </c>
      <c r="I1926">
        <v>9925433</v>
      </c>
      <c r="J1926" s="12">
        <v>46126</v>
      </c>
      <c r="K1926" s="12">
        <v>46126</v>
      </c>
      <c r="L1926" s="12">
        <v>46186</v>
      </c>
      <c r="M1926">
        <v>-54</v>
      </c>
      <c r="N1926">
        <v>164242377</v>
      </c>
      <c r="O1926">
        <v>0</v>
      </c>
      <c r="P1926">
        <v>164242377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 t="s">
        <v>548</v>
      </c>
      <c r="AA1926" t="s">
        <v>55</v>
      </c>
      <c r="AB1926" t="s">
        <v>51</v>
      </c>
      <c r="AC1926" t="s">
        <v>51</v>
      </c>
      <c r="AD1926" t="s">
        <v>51</v>
      </c>
      <c r="AE1926" t="s">
        <v>1627</v>
      </c>
      <c r="AF1926" t="s">
        <v>195</v>
      </c>
    </row>
    <row r="1927" spans="1:32" ht="14.5" customHeight="1" x14ac:dyDescent="0.35">
      <c r="A1927" t="s">
        <v>774</v>
      </c>
      <c r="B1927" t="s">
        <v>1193</v>
      </c>
      <c r="C1927" t="s">
        <v>47</v>
      </c>
      <c r="D1927">
        <v>3001551</v>
      </c>
      <c r="E1927">
        <v>3001550</v>
      </c>
      <c r="F1927" t="s">
        <v>1628</v>
      </c>
      <c r="G1927" t="s">
        <v>1628</v>
      </c>
      <c r="H1927" t="s">
        <v>54</v>
      </c>
      <c r="I1927">
        <v>6956829</v>
      </c>
      <c r="J1927" s="12">
        <v>46106</v>
      </c>
      <c r="K1927" s="12">
        <v>46106</v>
      </c>
      <c r="L1927" s="12">
        <v>46106</v>
      </c>
      <c r="M1927">
        <v>26</v>
      </c>
      <c r="N1927">
        <v>-36360000</v>
      </c>
      <c r="O1927">
        <v>-36360000</v>
      </c>
      <c r="P1927">
        <v>0</v>
      </c>
      <c r="Q1927">
        <v>-36360000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 t="s">
        <v>47</v>
      </c>
      <c r="AA1927" t="s">
        <v>501</v>
      </c>
      <c r="AB1927" t="s">
        <v>51</v>
      </c>
      <c r="AC1927" t="s">
        <v>51</v>
      </c>
      <c r="AD1927" t="s">
        <v>51</v>
      </c>
      <c r="AE1927" t="s">
        <v>51</v>
      </c>
      <c r="AF1927" t="s">
        <v>1629</v>
      </c>
    </row>
    <row r="1928" spans="1:32" ht="14.5" customHeight="1" x14ac:dyDescent="0.35">
      <c r="A1928" t="s">
        <v>774</v>
      </c>
      <c r="B1928" t="s">
        <v>1193</v>
      </c>
      <c r="C1928" t="s">
        <v>47</v>
      </c>
      <c r="D1928">
        <v>3001551</v>
      </c>
      <c r="E1928">
        <v>3001550</v>
      </c>
      <c r="F1928" t="s">
        <v>1628</v>
      </c>
      <c r="G1928" t="s">
        <v>1628</v>
      </c>
      <c r="H1928" t="s">
        <v>54</v>
      </c>
      <c r="I1928">
        <v>6956830</v>
      </c>
      <c r="J1928" s="12">
        <v>46106</v>
      </c>
      <c r="K1928" s="12">
        <v>46106</v>
      </c>
      <c r="L1928" s="12">
        <v>46106</v>
      </c>
      <c r="M1928">
        <v>26</v>
      </c>
      <c r="N1928">
        <v>-4340000</v>
      </c>
      <c r="O1928">
        <v>-4340000</v>
      </c>
      <c r="P1928">
        <v>0</v>
      </c>
      <c r="Q1928">
        <v>-4340000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 t="s">
        <v>47</v>
      </c>
      <c r="AA1928" t="s">
        <v>501</v>
      </c>
      <c r="AB1928" t="s">
        <v>51</v>
      </c>
      <c r="AC1928" t="s">
        <v>51</v>
      </c>
      <c r="AD1928" t="s">
        <v>51</v>
      </c>
      <c r="AE1928" t="s">
        <v>51</v>
      </c>
      <c r="AF1928" t="s">
        <v>1630</v>
      </c>
    </row>
    <row r="1929" spans="1:32" ht="14.5" customHeight="1" x14ac:dyDescent="0.35">
      <c r="A1929" t="s">
        <v>774</v>
      </c>
      <c r="B1929" t="s">
        <v>1193</v>
      </c>
      <c r="C1929" t="s">
        <v>47</v>
      </c>
      <c r="D1929">
        <v>3001551</v>
      </c>
      <c r="E1929">
        <v>3001550</v>
      </c>
      <c r="F1929" t="s">
        <v>1628</v>
      </c>
      <c r="G1929" t="s">
        <v>1628</v>
      </c>
      <c r="H1929" t="s">
        <v>54</v>
      </c>
      <c r="I1929">
        <v>6956831</v>
      </c>
      <c r="J1929" s="12">
        <v>46106</v>
      </c>
      <c r="K1929" s="12">
        <v>46106</v>
      </c>
      <c r="L1929" s="12">
        <v>46106</v>
      </c>
      <c r="M1929">
        <v>26</v>
      </c>
      <c r="N1929">
        <v>-5727000</v>
      </c>
      <c r="O1929">
        <v>-5727000</v>
      </c>
      <c r="P1929">
        <v>0</v>
      </c>
      <c r="Q1929">
        <v>-5727000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 t="s">
        <v>47</v>
      </c>
      <c r="AA1929" t="s">
        <v>501</v>
      </c>
      <c r="AB1929" t="s">
        <v>51</v>
      </c>
      <c r="AC1929" t="s">
        <v>51</v>
      </c>
      <c r="AD1929" t="s">
        <v>51</v>
      </c>
      <c r="AE1929" t="s">
        <v>51</v>
      </c>
      <c r="AF1929" t="s">
        <v>1630</v>
      </c>
    </row>
    <row r="1930" spans="1:32" ht="14.5" customHeight="1" x14ac:dyDescent="0.35">
      <c r="A1930" t="s">
        <v>774</v>
      </c>
      <c r="B1930" t="s">
        <v>1193</v>
      </c>
      <c r="C1930" t="s">
        <v>47</v>
      </c>
      <c r="D1930">
        <v>3001551</v>
      </c>
      <c r="E1930">
        <v>3001550</v>
      </c>
      <c r="F1930" t="s">
        <v>1628</v>
      </c>
      <c r="G1930" t="s">
        <v>1628</v>
      </c>
      <c r="H1930" t="s">
        <v>54</v>
      </c>
      <c r="I1930">
        <v>6956858</v>
      </c>
      <c r="J1930" s="12">
        <v>46106</v>
      </c>
      <c r="K1930" s="12">
        <v>46106</v>
      </c>
      <c r="L1930" s="12">
        <v>46106</v>
      </c>
      <c r="M1930">
        <v>26</v>
      </c>
      <c r="N1930">
        <v>-8320400</v>
      </c>
      <c r="O1930">
        <v>-8320400</v>
      </c>
      <c r="P1930">
        <v>0</v>
      </c>
      <c r="Q1930">
        <v>-8320400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 t="s">
        <v>47</v>
      </c>
      <c r="AA1930" t="s">
        <v>501</v>
      </c>
      <c r="AB1930" t="s">
        <v>51</v>
      </c>
      <c r="AC1930" t="s">
        <v>51</v>
      </c>
      <c r="AD1930" t="s">
        <v>51</v>
      </c>
      <c r="AE1930" t="s">
        <v>51</v>
      </c>
      <c r="AF1930" t="s">
        <v>1630</v>
      </c>
    </row>
    <row r="1931" spans="1:32" ht="14.5" customHeight="1" x14ac:dyDescent="0.35">
      <c r="A1931" t="s">
        <v>774</v>
      </c>
      <c r="B1931" t="s">
        <v>1193</v>
      </c>
      <c r="C1931" t="s">
        <v>47</v>
      </c>
      <c r="D1931">
        <v>3001551</v>
      </c>
      <c r="E1931">
        <v>3001550</v>
      </c>
      <c r="F1931" t="s">
        <v>1628</v>
      </c>
      <c r="G1931" t="s">
        <v>1628</v>
      </c>
      <c r="H1931" t="s">
        <v>54</v>
      </c>
      <c r="I1931">
        <v>6956859</v>
      </c>
      <c r="J1931" s="12">
        <v>46106</v>
      </c>
      <c r="K1931" s="12">
        <v>46106</v>
      </c>
      <c r="L1931" s="12">
        <v>46106</v>
      </c>
      <c r="M1931">
        <v>26</v>
      </c>
      <c r="N1931">
        <v>-3887200</v>
      </c>
      <c r="O1931">
        <v>-3887200</v>
      </c>
      <c r="P1931">
        <v>0</v>
      </c>
      <c r="Q1931">
        <v>-3887200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 t="s">
        <v>47</v>
      </c>
      <c r="AA1931" t="s">
        <v>501</v>
      </c>
      <c r="AB1931" t="s">
        <v>51</v>
      </c>
      <c r="AC1931" t="s">
        <v>51</v>
      </c>
      <c r="AD1931" t="s">
        <v>51</v>
      </c>
      <c r="AE1931" t="s">
        <v>51</v>
      </c>
      <c r="AF1931" t="s">
        <v>1630</v>
      </c>
    </row>
    <row r="1932" spans="1:32" ht="14.5" customHeight="1" x14ac:dyDescent="0.35">
      <c r="A1932" t="s">
        <v>774</v>
      </c>
      <c r="B1932" t="s">
        <v>1193</v>
      </c>
      <c r="C1932" t="s">
        <v>47</v>
      </c>
      <c r="D1932">
        <v>3001551</v>
      </c>
      <c r="E1932">
        <v>3001550</v>
      </c>
      <c r="F1932" t="s">
        <v>1628</v>
      </c>
      <c r="G1932" t="s">
        <v>1628</v>
      </c>
      <c r="H1932" t="s">
        <v>54</v>
      </c>
      <c r="I1932">
        <v>6956923</v>
      </c>
      <c r="J1932" s="12">
        <v>46106</v>
      </c>
      <c r="K1932" s="12">
        <v>46106</v>
      </c>
      <c r="L1932" s="12">
        <v>46106</v>
      </c>
      <c r="M1932">
        <v>26</v>
      </c>
      <c r="N1932">
        <v>-14202766</v>
      </c>
      <c r="O1932">
        <v>-14202766</v>
      </c>
      <c r="P1932">
        <v>0</v>
      </c>
      <c r="Q1932">
        <v>-14202766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 t="s">
        <v>47</v>
      </c>
      <c r="AA1932" t="s">
        <v>501</v>
      </c>
      <c r="AB1932" t="s">
        <v>51</v>
      </c>
      <c r="AC1932" t="s">
        <v>51</v>
      </c>
      <c r="AD1932" t="s">
        <v>51</v>
      </c>
      <c r="AE1932" t="s">
        <v>51</v>
      </c>
      <c r="AF1932" t="s">
        <v>1631</v>
      </c>
    </row>
    <row r="1933" spans="1:32" ht="14.5" customHeight="1" x14ac:dyDescent="0.35">
      <c r="A1933" t="s">
        <v>774</v>
      </c>
      <c r="B1933" t="s">
        <v>1193</v>
      </c>
      <c r="C1933" t="s">
        <v>47</v>
      </c>
      <c r="D1933">
        <v>3001551</v>
      </c>
      <c r="E1933">
        <v>3001550</v>
      </c>
      <c r="F1933" t="s">
        <v>1628</v>
      </c>
      <c r="G1933" t="s">
        <v>1628</v>
      </c>
      <c r="H1933" t="s">
        <v>54</v>
      </c>
      <c r="I1933">
        <v>6956977</v>
      </c>
      <c r="J1933" s="12">
        <v>46106</v>
      </c>
      <c r="K1933" s="12">
        <v>46106</v>
      </c>
      <c r="L1933" s="12">
        <v>46106</v>
      </c>
      <c r="M1933">
        <v>26</v>
      </c>
      <c r="N1933">
        <v>-36360000</v>
      </c>
      <c r="O1933">
        <v>-36360000</v>
      </c>
      <c r="P1933">
        <v>0</v>
      </c>
      <c r="Q1933">
        <v>-36360000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 t="s">
        <v>47</v>
      </c>
      <c r="AA1933" t="s">
        <v>501</v>
      </c>
      <c r="AB1933" t="s">
        <v>51</v>
      </c>
      <c r="AC1933" t="s">
        <v>51</v>
      </c>
      <c r="AD1933" t="s">
        <v>51</v>
      </c>
      <c r="AE1933" t="s">
        <v>51</v>
      </c>
      <c r="AF1933" t="s">
        <v>1629</v>
      </c>
    </row>
    <row r="1934" spans="1:32" ht="14.5" customHeight="1" x14ac:dyDescent="0.35">
      <c r="A1934" t="s">
        <v>774</v>
      </c>
      <c r="B1934" t="s">
        <v>1193</v>
      </c>
      <c r="C1934" t="s">
        <v>47</v>
      </c>
      <c r="D1934">
        <v>3001551</v>
      </c>
      <c r="E1934">
        <v>3001550</v>
      </c>
      <c r="F1934" t="s">
        <v>1628</v>
      </c>
      <c r="G1934" t="s">
        <v>1628</v>
      </c>
      <c r="H1934" t="s">
        <v>54</v>
      </c>
      <c r="I1934">
        <v>6956978</v>
      </c>
      <c r="J1934" s="12">
        <v>46106</v>
      </c>
      <c r="K1934" s="12">
        <v>46106</v>
      </c>
      <c r="L1934" s="12">
        <v>46106</v>
      </c>
      <c r="M1934">
        <v>26</v>
      </c>
      <c r="N1934">
        <v>-36360000</v>
      </c>
      <c r="O1934">
        <v>-36360000</v>
      </c>
      <c r="P1934">
        <v>0</v>
      </c>
      <c r="Q1934">
        <v>-36360000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 t="s">
        <v>47</v>
      </c>
      <c r="AA1934" t="s">
        <v>501</v>
      </c>
      <c r="AB1934" t="s">
        <v>51</v>
      </c>
      <c r="AC1934" t="s">
        <v>51</v>
      </c>
      <c r="AD1934" t="s">
        <v>51</v>
      </c>
      <c r="AE1934" t="s">
        <v>51</v>
      </c>
      <c r="AF1934" t="s">
        <v>1629</v>
      </c>
    </row>
    <row r="1935" spans="1:32" ht="14.5" customHeight="1" x14ac:dyDescent="0.35">
      <c r="A1935" t="s">
        <v>774</v>
      </c>
      <c r="B1935" t="s">
        <v>1193</v>
      </c>
      <c r="C1935" t="s">
        <v>47</v>
      </c>
      <c r="D1935">
        <v>3001551</v>
      </c>
      <c r="E1935">
        <v>3001550</v>
      </c>
      <c r="F1935" t="s">
        <v>1628</v>
      </c>
      <c r="G1935" t="s">
        <v>1628</v>
      </c>
      <c r="H1935" t="s">
        <v>54</v>
      </c>
      <c r="I1935">
        <v>6958892</v>
      </c>
      <c r="J1935" s="12">
        <v>46125</v>
      </c>
      <c r="K1935" s="12">
        <v>46125</v>
      </c>
      <c r="L1935" s="12">
        <v>46125</v>
      </c>
      <c r="M1935">
        <v>7</v>
      </c>
      <c r="N1935">
        <v>-30411206</v>
      </c>
      <c r="O1935">
        <v>-30411206</v>
      </c>
      <c r="P1935">
        <v>0</v>
      </c>
      <c r="Q1935">
        <v>-30411206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 t="s">
        <v>47</v>
      </c>
      <c r="AA1935" t="s">
        <v>501</v>
      </c>
      <c r="AB1935" t="s">
        <v>51</v>
      </c>
      <c r="AC1935" t="s">
        <v>51</v>
      </c>
      <c r="AD1935" t="s">
        <v>51</v>
      </c>
      <c r="AE1935" t="s">
        <v>51</v>
      </c>
      <c r="AF1935" t="s">
        <v>56</v>
      </c>
    </row>
    <row r="1936" spans="1:32" ht="14.5" customHeight="1" x14ac:dyDescent="0.35">
      <c r="A1936" t="s">
        <v>774</v>
      </c>
      <c r="B1936" t="s">
        <v>1193</v>
      </c>
      <c r="C1936" t="s">
        <v>47</v>
      </c>
      <c r="D1936">
        <v>3001551</v>
      </c>
      <c r="E1936">
        <v>3001550</v>
      </c>
      <c r="F1936" t="s">
        <v>1628</v>
      </c>
      <c r="G1936" t="s">
        <v>1628</v>
      </c>
      <c r="H1936" t="s">
        <v>54</v>
      </c>
      <c r="I1936">
        <v>6959170</v>
      </c>
      <c r="J1936" s="12">
        <v>46125</v>
      </c>
      <c r="K1936" s="12">
        <v>46125</v>
      </c>
      <c r="L1936" s="12">
        <v>46125</v>
      </c>
      <c r="M1936">
        <v>7</v>
      </c>
      <c r="N1936">
        <v>-12701</v>
      </c>
      <c r="O1936">
        <v>-12701</v>
      </c>
      <c r="P1936">
        <v>0</v>
      </c>
      <c r="Q1936">
        <v>-12701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 t="s">
        <v>47</v>
      </c>
      <c r="AA1936" t="s">
        <v>501</v>
      </c>
      <c r="AB1936" t="s">
        <v>51</v>
      </c>
      <c r="AC1936" t="s">
        <v>51</v>
      </c>
      <c r="AD1936" t="s">
        <v>51</v>
      </c>
      <c r="AE1936" t="s">
        <v>51</v>
      </c>
      <c r="AF1936" t="s">
        <v>1632</v>
      </c>
    </row>
    <row r="1937" spans="1:32" ht="14.5" customHeight="1" x14ac:dyDescent="0.35">
      <c r="A1937" t="s">
        <v>774</v>
      </c>
      <c r="B1937" t="s">
        <v>1193</v>
      </c>
      <c r="C1937" t="s">
        <v>47</v>
      </c>
      <c r="D1937">
        <v>3001551</v>
      </c>
      <c r="E1937">
        <v>3001550</v>
      </c>
      <c r="F1937" t="s">
        <v>1628</v>
      </c>
      <c r="G1937" t="s">
        <v>1628</v>
      </c>
      <c r="H1937" t="s">
        <v>54</v>
      </c>
      <c r="I1937">
        <v>6959178</v>
      </c>
      <c r="J1937" s="12">
        <v>46126</v>
      </c>
      <c r="K1937" s="12">
        <v>46126</v>
      </c>
      <c r="L1937" s="12">
        <v>46126</v>
      </c>
      <c r="M1937">
        <v>6</v>
      </c>
      <c r="N1937">
        <v>-147442495</v>
      </c>
      <c r="O1937">
        <v>-147442495</v>
      </c>
      <c r="P1937">
        <v>0</v>
      </c>
      <c r="Q1937">
        <v>-147442495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 t="s">
        <v>47</v>
      </c>
      <c r="AA1937" t="s">
        <v>501</v>
      </c>
      <c r="AB1937" t="s">
        <v>51</v>
      </c>
      <c r="AC1937" t="s">
        <v>51</v>
      </c>
      <c r="AD1937" t="s">
        <v>51</v>
      </c>
      <c r="AE1937" t="s">
        <v>51</v>
      </c>
      <c r="AF1937" t="s">
        <v>642</v>
      </c>
    </row>
    <row r="1938" spans="1:32" ht="14.5" customHeight="1" x14ac:dyDescent="0.35">
      <c r="A1938" t="s">
        <v>774</v>
      </c>
      <c r="B1938" t="s">
        <v>1193</v>
      </c>
      <c r="C1938" t="s">
        <v>47</v>
      </c>
      <c r="D1938">
        <v>3001551</v>
      </c>
      <c r="E1938">
        <v>3001550</v>
      </c>
      <c r="F1938" t="s">
        <v>1628</v>
      </c>
      <c r="G1938" t="s">
        <v>1628</v>
      </c>
      <c r="H1938" t="s">
        <v>54</v>
      </c>
      <c r="I1938">
        <v>6959179</v>
      </c>
      <c r="J1938" s="12">
        <v>46126</v>
      </c>
      <c r="K1938" s="12">
        <v>46126</v>
      </c>
      <c r="L1938" s="12">
        <v>46126</v>
      </c>
      <c r="M1938">
        <v>6</v>
      </c>
      <c r="N1938">
        <v>-27009404</v>
      </c>
      <c r="O1938">
        <v>-27009404</v>
      </c>
      <c r="P1938">
        <v>0</v>
      </c>
      <c r="Q1938">
        <v>-27009404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 t="s">
        <v>47</v>
      </c>
      <c r="AA1938" t="s">
        <v>501</v>
      </c>
      <c r="AB1938" t="s">
        <v>51</v>
      </c>
      <c r="AC1938" t="s">
        <v>51</v>
      </c>
      <c r="AD1938" t="s">
        <v>51</v>
      </c>
      <c r="AE1938" t="s">
        <v>51</v>
      </c>
      <c r="AF1938" t="s">
        <v>334</v>
      </c>
    </row>
    <row r="1939" spans="1:32" ht="14.5" customHeight="1" x14ac:dyDescent="0.35">
      <c r="A1939" t="s">
        <v>774</v>
      </c>
      <c r="B1939" t="s">
        <v>1193</v>
      </c>
      <c r="C1939" t="s">
        <v>47</v>
      </c>
      <c r="D1939">
        <v>3001551</v>
      </c>
      <c r="E1939">
        <v>3001550</v>
      </c>
      <c r="F1939" t="s">
        <v>1628</v>
      </c>
      <c r="G1939" t="s">
        <v>1628</v>
      </c>
      <c r="H1939" t="s">
        <v>54</v>
      </c>
      <c r="I1939">
        <v>6959327</v>
      </c>
      <c r="J1939" s="12">
        <v>46126</v>
      </c>
      <c r="K1939" s="12">
        <v>46126</v>
      </c>
      <c r="L1939" s="12">
        <v>46126</v>
      </c>
      <c r="M1939">
        <v>6</v>
      </c>
      <c r="N1939">
        <v>-3270000</v>
      </c>
      <c r="O1939">
        <v>-3270000</v>
      </c>
      <c r="P1939">
        <v>0</v>
      </c>
      <c r="Q1939">
        <v>-3270000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 t="s">
        <v>47</v>
      </c>
      <c r="AA1939" t="s">
        <v>501</v>
      </c>
      <c r="AB1939" t="s">
        <v>51</v>
      </c>
      <c r="AC1939" t="s">
        <v>51</v>
      </c>
      <c r="AD1939" t="s">
        <v>51</v>
      </c>
      <c r="AE1939" t="s">
        <v>51</v>
      </c>
      <c r="AF1939" t="s">
        <v>1633</v>
      </c>
    </row>
    <row r="1940" spans="1:32" ht="14.5" customHeight="1" x14ac:dyDescent="0.35">
      <c r="A1940" t="s">
        <v>774</v>
      </c>
      <c r="B1940" t="s">
        <v>1193</v>
      </c>
      <c r="C1940" t="s">
        <v>47</v>
      </c>
      <c r="D1940">
        <v>3001551</v>
      </c>
      <c r="E1940">
        <v>3001550</v>
      </c>
      <c r="F1940" t="s">
        <v>1628</v>
      </c>
      <c r="G1940" t="s">
        <v>1628</v>
      </c>
      <c r="H1940" t="s">
        <v>54</v>
      </c>
      <c r="I1940">
        <v>6959328</v>
      </c>
      <c r="J1940" s="12">
        <v>46126</v>
      </c>
      <c r="K1940" s="12">
        <v>46126</v>
      </c>
      <c r="L1940" s="12">
        <v>46126</v>
      </c>
      <c r="M1940">
        <v>6</v>
      </c>
      <c r="N1940">
        <v>-441000</v>
      </c>
      <c r="O1940">
        <v>-441000</v>
      </c>
      <c r="P1940">
        <v>0</v>
      </c>
      <c r="Q1940">
        <v>-441000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 t="s">
        <v>47</v>
      </c>
      <c r="AA1940" t="s">
        <v>501</v>
      </c>
      <c r="AB1940" t="s">
        <v>51</v>
      </c>
      <c r="AC1940" t="s">
        <v>51</v>
      </c>
      <c r="AD1940" t="s">
        <v>51</v>
      </c>
      <c r="AE1940" t="s">
        <v>51</v>
      </c>
      <c r="AF1940" t="s">
        <v>1634</v>
      </c>
    </row>
    <row r="1941" spans="1:32" ht="14.5" customHeight="1" x14ac:dyDescent="0.35">
      <c r="A1941" t="s">
        <v>774</v>
      </c>
      <c r="B1941" t="s">
        <v>1193</v>
      </c>
      <c r="C1941" t="s">
        <v>47</v>
      </c>
      <c r="D1941">
        <v>3001551</v>
      </c>
      <c r="E1941">
        <v>3001550</v>
      </c>
      <c r="F1941" t="s">
        <v>1628</v>
      </c>
      <c r="G1941" t="s">
        <v>1628</v>
      </c>
      <c r="H1941" t="s">
        <v>54</v>
      </c>
      <c r="I1941">
        <v>6959329</v>
      </c>
      <c r="J1941" s="12">
        <v>46126</v>
      </c>
      <c r="K1941" s="12">
        <v>46126</v>
      </c>
      <c r="L1941" s="12">
        <v>46126</v>
      </c>
      <c r="M1941">
        <v>6</v>
      </c>
      <c r="N1941">
        <v>-441000</v>
      </c>
      <c r="O1941">
        <v>-441000</v>
      </c>
      <c r="P1941">
        <v>0</v>
      </c>
      <c r="Q1941">
        <v>-441000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 t="s">
        <v>47</v>
      </c>
      <c r="AA1941" t="s">
        <v>501</v>
      </c>
      <c r="AB1941" t="s">
        <v>51</v>
      </c>
      <c r="AC1941" t="s">
        <v>51</v>
      </c>
      <c r="AD1941" t="s">
        <v>51</v>
      </c>
      <c r="AE1941" t="s">
        <v>51</v>
      </c>
      <c r="AF1941" t="s">
        <v>1635</v>
      </c>
    </row>
    <row r="1942" spans="1:32" ht="14.5" customHeight="1" x14ac:dyDescent="0.35">
      <c r="A1942" t="s">
        <v>774</v>
      </c>
      <c r="B1942" t="s">
        <v>1193</v>
      </c>
      <c r="C1942" t="s">
        <v>47</v>
      </c>
      <c r="D1942">
        <v>3001551</v>
      </c>
      <c r="E1942">
        <v>3001550</v>
      </c>
      <c r="F1942" t="s">
        <v>1628</v>
      </c>
      <c r="G1942" t="s">
        <v>1628</v>
      </c>
      <c r="H1942" t="s">
        <v>54</v>
      </c>
      <c r="I1942">
        <v>6959330</v>
      </c>
      <c r="J1942" s="12">
        <v>46126</v>
      </c>
      <c r="K1942" s="12">
        <v>46126</v>
      </c>
      <c r="L1942" s="12">
        <v>46126</v>
      </c>
      <c r="M1942">
        <v>6</v>
      </c>
      <c r="N1942">
        <v>-441000</v>
      </c>
      <c r="O1942">
        <v>-441000</v>
      </c>
      <c r="P1942">
        <v>0</v>
      </c>
      <c r="Q1942">
        <v>-441000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 t="s">
        <v>47</v>
      </c>
      <c r="AA1942" t="s">
        <v>501</v>
      </c>
      <c r="AB1942" t="s">
        <v>51</v>
      </c>
      <c r="AC1942" t="s">
        <v>51</v>
      </c>
      <c r="AD1942" t="s">
        <v>51</v>
      </c>
      <c r="AE1942" t="s">
        <v>51</v>
      </c>
      <c r="AF1942" t="s">
        <v>1636</v>
      </c>
    </row>
    <row r="1943" spans="1:32" ht="14.5" customHeight="1" x14ac:dyDescent="0.35">
      <c r="A1943" t="s">
        <v>774</v>
      </c>
      <c r="B1943" t="s">
        <v>1193</v>
      </c>
      <c r="C1943" t="s">
        <v>47</v>
      </c>
      <c r="D1943">
        <v>3001551</v>
      </c>
      <c r="E1943">
        <v>3001550</v>
      </c>
      <c r="F1943" t="s">
        <v>1628</v>
      </c>
      <c r="G1943" t="s">
        <v>1628</v>
      </c>
      <c r="H1943" t="s">
        <v>54</v>
      </c>
      <c r="I1943">
        <v>6959331</v>
      </c>
      <c r="J1943" s="12">
        <v>46126</v>
      </c>
      <c r="K1943" s="12">
        <v>46126</v>
      </c>
      <c r="L1943" s="12">
        <v>46126</v>
      </c>
      <c r="M1943">
        <v>6</v>
      </c>
      <c r="N1943">
        <v>-441000</v>
      </c>
      <c r="O1943">
        <v>-441000</v>
      </c>
      <c r="P1943">
        <v>0</v>
      </c>
      <c r="Q1943">
        <v>-441000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 t="s">
        <v>47</v>
      </c>
      <c r="AA1943" t="s">
        <v>501</v>
      </c>
      <c r="AB1943" t="s">
        <v>51</v>
      </c>
      <c r="AC1943" t="s">
        <v>51</v>
      </c>
      <c r="AD1943" t="s">
        <v>51</v>
      </c>
      <c r="AE1943" t="s">
        <v>51</v>
      </c>
      <c r="AF1943" t="s">
        <v>1637</v>
      </c>
    </row>
    <row r="1944" spans="1:32" ht="14.5" customHeight="1" x14ac:dyDescent="0.35">
      <c r="A1944" t="s">
        <v>774</v>
      </c>
      <c r="B1944" t="s">
        <v>1193</v>
      </c>
      <c r="C1944" t="s">
        <v>47</v>
      </c>
      <c r="D1944">
        <v>3001551</v>
      </c>
      <c r="E1944">
        <v>3001550</v>
      </c>
      <c r="F1944" t="s">
        <v>1628</v>
      </c>
      <c r="G1944" t="s">
        <v>1628</v>
      </c>
      <c r="H1944" t="s">
        <v>54</v>
      </c>
      <c r="I1944">
        <v>6959332</v>
      </c>
      <c r="J1944" s="12">
        <v>46126</v>
      </c>
      <c r="K1944" s="12">
        <v>46126</v>
      </c>
      <c r="L1944" s="12">
        <v>46126</v>
      </c>
      <c r="M1944">
        <v>6</v>
      </c>
      <c r="N1944">
        <v>-441000</v>
      </c>
      <c r="O1944">
        <v>-441000</v>
      </c>
      <c r="P1944">
        <v>0</v>
      </c>
      <c r="Q1944">
        <v>-441000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 t="s">
        <v>47</v>
      </c>
      <c r="AA1944" t="s">
        <v>501</v>
      </c>
      <c r="AB1944" t="s">
        <v>51</v>
      </c>
      <c r="AC1944" t="s">
        <v>51</v>
      </c>
      <c r="AD1944" t="s">
        <v>51</v>
      </c>
      <c r="AE1944" t="s">
        <v>51</v>
      </c>
      <c r="AF1944" t="s">
        <v>1638</v>
      </c>
    </row>
    <row r="1945" spans="1:32" ht="14.5" customHeight="1" x14ac:dyDescent="0.35">
      <c r="A1945" t="s">
        <v>774</v>
      </c>
      <c r="B1945" t="s">
        <v>1193</v>
      </c>
      <c r="C1945" t="s">
        <v>47</v>
      </c>
      <c r="D1945">
        <v>3001551</v>
      </c>
      <c r="E1945">
        <v>3001550</v>
      </c>
      <c r="F1945" t="s">
        <v>1628</v>
      </c>
      <c r="G1945" t="s">
        <v>1628</v>
      </c>
      <c r="H1945" t="s">
        <v>54</v>
      </c>
      <c r="I1945">
        <v>6959333</v>
      </c>
      <c r="J1945" s="12">
        <v>46126</v>
      </c>
      <c r="K1945" s="12">
        <v>46126</v>
      </c>
      <c r="L1945" s="12">
        <v>46126</v>
      </c>
      <c r="M1945">
        <v>6</v>
      </c>
      <c r="N1945">
        <v>-441000</v>
      </c>
      <c r="O1945">
        <v>-441000</v>
      </c>
      <c r="P1945">
        <v>0</v>
      </c>
      <c r="Q1945">
        <v>-441000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 t="s">
        <v>47</v>
      </c>
      <c r="AA1945" t="s">
        <v>501</v>
      </c>
      <c r="AB1945" t="s">
        <v>51</v>
      </c>
      <c r="AC1945" t="s">
        <v>51</v>
      </c>
      <c r="AD1945" t="s">
        <v>51</v>
      </c>
      <c r="AE1945" t="s">
        <v>51</v>
      </c>
      <c r="AF1945" t="s">
        <v>1639</v>
      </c>
    </row>
    <row r="1946" spans="1:32" ht="14.5" customHeight="1" x14ac:dyDescent="0.35">
      <c r="A1946" t="s">
        <v>774</v>
      </c>
      <c r="B1946" t="s">
        <v>1193</v>
      </c>
      <c r="C1946" t="s">
        <v>47</v>
      </c>
      <c r="D1946">
        <v>3001551</v>
      </c>
      <c r="E1946">
        <v>3001550</v>
      </c>
      <c r="F1946" t="s">
        <v>1628</v>
      </c>
      <c r="G1946" t="s">
        <v>1628</v>
      </c>
      <c r="H1946" t="s">
        <v>54</v>
      </c>
      <c r="I1946">
        <v>6959336</v>
      </c>
      <c r="J1946" s="12">
        <v>46126</v>
      </c>
      <c r="K1946" s="12">
        <v>46126</v>
      </c>
      <c r="L1946" s="12">
        <v>46126</v>
      </c>
      <c r="M1946">
        <v>6</v>
      </c>
      <c r="N1946">
        <v>-375464</v>
      </c>
      <c r="O1946">
        <v>-375464</v>
      </c>
      <c r="P1946">
        <v>0</v>
      </c>
      <c r="Q1946">
        <v>-375464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 t="s">
        <v>47</v>
      </c>
      <c r="AA1946" t="s">
        <v>501</v>
      </c>
      <c r="AB1946" t="s">
        <v>51</v>
      </c>
      <c r="AC1946" t="s">
        <v>51</v>
      </c>
      <c r="AD1946" t="s">
        <v>51</v>
      </c>
      <c r="AE1946" t="s">
        <v>51</v>
      </c>
      <c r="AF1946" t="s">
        <v>1640</v>
      </c>
    </row>
    <row r="1947" spans="1:32" ht="14.5" customHeight="1" x14ac:dyDescent="0.35">
      <c r="A1947" t="s">
        <v>774</v>
      </c>
      <c r="B1947" t="s">
        <v>1193</v>
      </c>
      <c r="C1947" t="s">
        <v>47</v>
      </c>
      <c r="D1947">
        <v>3001551</v>
      </c>
      <c r="E1947">
        <v>3001550</v>
      </c>
      <c r="F1947" t="s">
        <v>1628</v>
      </c>
      <c r="G1947" t="s">
        <v>1628</v>
      </c>
      <c r="H1947" t="s">
        <v>54</v>
      </c>
      <c r="I1947">
        <v>6959337</v>
      </c>
      <c r="J1947" s="12">
        <v>46126</v>
      </c>
      <c r="K1947" s="12">
        <v>46126</v>
      </c>
      <c r="L1947" s="12">
        <v>46126</v>
      </c>
      <c r="M1947">
        <v>6</v>
      </c>
      <c r="N1947">
        <v>-750741</v>
      </c>
      <c r="O1947">
        <v>-750741</v>
      </c>
      <c r="P1947">
        <v>0</v>
      </c>
      <c r="Q1947">
        <v>-750741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 t="s">
        <v>47</v>
      </c>
      <c r="AA1947" t="s">
        <v>501</v>
      </c>
      <c r="AB1947" t="s">
        <v>51</v>
      </c>
      <c r="AC1947" t="s">
        <v>51</v>
      </c>
      <c r="AD1947" t="s">
        <v>51</v>
      </c>
      <c r="AE1947" t="s">
        <v>51</v>
      </c>
      <c r="AF1947" t="s">
        <v>1640</v>
      </c>
    </row>
    <row r="1948" spans="1:32" ht="14.5" customHeight="1" x14ac:dyDescent="0.35">
      <c r="A1948" t="s">
        <v>774</v>
      </c>
      <c r="B1948" t="s">
        <v>1193</v>
      </c>
      <c r="C1948" t="s">
        <v>47</v>
      </c>
      <c r="D1948">
        <v>3001551</v>
      </c>
      <c r="E1948">
        <v>3001550</v>
      </c>
      <c r="F1948" t="s">
        <v>1628</v>
      </c>
      <c r="G1948" t="s">
        <v>1628</v>
      </c>
      <c r="H1948" t="s">
        <v>54</v>
      </c>
      <c r="I1948">
        <v>6959338</v>
      </c>
      <c r="J1948" s="12">
        <v>46126</v>
      </c>
      <c r="K1948" s="12">
        <v>46126</v>
      </c>
      <c r="L1948" s="12">
        <v>46126</v>
      </c>
      <c r="M1948">
        <v>6</v>
      </c>
      <c r="N1948">
        <v>-180832</v>
      </c>
      <c r="O1948">
        <v>-180832</v>
      </c>
      <c r="P1948">
        <v>0</v>
      </c>
      <c r="Q1948">
        <v>-180832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 t="s">
        <v>47</v>
      </c>
      <c r="AA1948" t="s">
        <v>501</v>
      </c>
      <c r="AB1948" t="s">
        <v>51</v>
      </c>
      <c r="AC1948" t="s">
        <v>51</v>
      </c>
      <c r="AD1948" t="s">
        <v>51</v>
      </c>
      <c r="AE1948" t="s">
        <v>51</v>
      </c>
      <c r="AF1948" t="s">
        <v>1641</v>
      </c>
    </row>
    <row r="1949" spans="1:32" ht="14.5" customHeight="1" x14ac:dyDescent="0.35">
      <c r="A1949" t="s">
        <v>774</v>
      </c>
      <c r="B1949" t="s">
        <v>1193</v>
      </c>
      <c r="C1949" t="s">
        <v>47</v>
      </c>
      <c r="D1949">
        <v>3001551</v>
      </c>
      <c r="E1949">
        <v>3001550</v>
      </c>
      <c r="F1949" t="s">
        <v>1628</v>
      </c>
      <c r="G1949" t="s">
        <v>1628</v>
      </c>
      <c r="H1949" t="s">
        <v>54</v>
      </c>
      <c r="I1949">
        <v>6959339</v>
      </c>
      <c r="J1949" s="12">
        <v>46126</v>
      </c>
      <c r="K1949" s="12">
        <v>46126</v>
      </c>
      <c r="L1949" s="12">
        <v>46126</v>
      </c>
      <c r="M1949">
        <v>6</v>
      </c>
      <c r="N1949">
        <v>-446735</v>
      </c>
      <c r="O1949">
        <v>-446735</v>
      </c>
      <c r="P1949">
        <v>0</v>
      </c>
      <c r="Q1949">
        <v>-446735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 t="s">
        <v>47</v>
      </c>
      <c r="AA1949" t="s">
        <v>501</v>
      </c>
      <c r="AB1949" t="s">
        <v>51</v>
      </c>
      <c r="AC1949" t="s">
        <v>51</v>
      </c>
      <c r="AD1949" t="s">
        <v>51</v>
      </c>
      <c r="AE1949" t="s">
        <v>51</v>
      </c>
      <c r="AF1949" t="s">
        <v>1631</v>
      </c>
    </row>
    <row r="1950" spans="1:32" ht="14.5" customHeight="1" x14ac:dyDescent="0.35">
      <c r="A1950" t="s">
        <v>774</v>
      </c>
      <c r="B1950" t="s">
        <v>1193</v>
      </c>
      <c r="C1950" t="s">
        <v>47</v>
      </c>
      <c r="D1950">
        <v>3001551</v>
      </c>
      <c r="E1950">
        <v>3001550</v>
      </c>
      <c r="F1950" t="s">
        <v>1628</v>
      </c>
      <c r="G1950" t="s">
        <v>1628</v>
      </c>
      <c r="H1950" t="s">
        <v>54</v>
      </c>
      <c r="I1950">
        <v>6959340</v>
      </c>
      <c r="J1950" s="12">
        <v>46126</v>
      </c>
      <c r="K1950" s="12">
        <v>46126</v>
      </c>
      <c r="L1950" s="12">
        <v>46126</v>
      </c>
      <c r="M1950">
        <v>6</v>
      </c>
      <c r="N1950">
        <v>-545000</v>
      </c>
      <c r="O1950">
        <v>-545000</v>
      </c>
      <c r="P1950">
        <v>0</v>
      </c>
      <c r="Q1950">
        <v>-545000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 t="s">
        <v>47</v>
      </c>
      <c r="AA1950" t="s">
        <v>501</v>
      </c>
      <c r="AB1950" t="s">
        <v>51</v>
      </c>
      <c r="AC1950" t="s">
        <v>51</v>
      </c>
      <c r="AD1950" t="s">
        <v>51</v>
      </c>
      <c r="AE1950" t="s">
        <v>51</v>
      </c>
      <c r="AF1950" t="s">
        <v>1642</v>
      </c>
    </row>
    <row r="1951" spans="1:32" ht="14.5" customHeight="1" x14ac:dyDescent="0.35">
      <c r="A1951" t="s">
        <v>774</v>
      </c>
      <c r="B1951" t="s">
        <v>1193</v>
      </c>
      <c r="C1951" t="s">
        <v>47</v>
      </c>
      <c r="D1951">
        <v>3001551</v>
      </c>
      <c r="E1951">
        <v>3001550</v>
      </c>
      <c r="F1951" t="s">
        <v>1628</v>
      </c>
      <c r="G1951" t="s">
        <v>1628</v>
      </c>
      <c r="H1951" t="s">
        <v>54</v>
      </c>
      <c r="I1951">
        <v>6959341</v>
      </c>
      <c r="J1951" s="12">
        <v>46126</v>
      </c>
      <c r="K1951" s="12">
        <v>46126</v>
      </c>
      <c r="L1951" s="12">
        <v>46126</v>
      </c>
      <c r="M1951">
        <v>6</v>
      </c>
      <c r="N1951">
        <v>-1635000</v>
      </c>
      <c r="O1951">
        <v>-1635000</v>
      </c>
      <c r="P1951">
        <v>0</v>
      </c>
      <c r="Q1951">
        <v>-1635000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 t="s">
        <v>47</v>
      </c>
      <c r="AA1951" t="s">
        <v>501</v>
      </c>
      <c r="AB1951" t="s">
        <v>51</v>
      </c>
      <c r="AC1951" t="s">
        <v>51</v>
      </c>
      <c r="AD1951" t="s">
        <v>51</v>
      </c>
      <c r="AE1951" t="s">
        <v>51</v>
      </c>
      <c r="AF1951" t="s">
        <v>1642</v>
      </c>
    </row>
    <row r="1952" spans="1:32" ht="14.5" customHeight="1" x14ac:dyDescent="0.35">
      <c r="A1952" t="s">
        <v>774</v>
      </c>
      <c r="B1952" t="s">
        <v>1193</v>
      </c>
      <c r="C1952" t="s">
        <v>47</v>
      </c>
      <c r="D1952">
        <v>3001551</v>
      </c>
      <c r="E1952">
        <v>3001550</v>
      </c>
      <c r="F1952" t="s">
        <v>1628</v>
      </c>
      <c r="G1952" t="s">
        <v>1628</v>
      </c>
      <c r="H1952" t="s">
        <v>54</v>
      </c>
      <c r="I1952">
        <v>6960052</v>
      </c>
      <c r="J1952" s="12">
        <v>46130</v>
      </c>
      <c r="K1952" s="12">
        <v>46130</v>
      </c>
      <c r="L1952" s="12">
        <v>46130</v>
      </c>
      <c r="M1952">
        <v>2</v>
      </c>
      <c r="N1952">
        <v>-441000</v>
      </c>
      <c r="O1952">
        <v>-441000</v>
      </c>
      <c r="P1952">
        <v>0</v>
      </c>
      <c r="Q1952">
        <v>-441000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 t="s">
        <v>47</v>
      </c>
      <c r="AA1952" t="s">
        <v>501</v>
      </c>
      <c r="AB1952" t="s">
        <v>51</v>
      </c>
      <c r="AC1952" t="s">
        <v>51</v>
      </c>
      <c r="AD1952" t="s">
        <v>51</v>
      </c>
      <c r="AE1952" t="s">
        <v>51</v>
      </c>
      <c r="AF1952" t="s">
        <v>1643</v>
      </c>
    </row>
    <row r="1953" spans="1:32" ht="14.5" customHeight="1" x14ac:dyDescent="0.35">
      <c r="A1953" t="s">
        <v>774</v>
      </c>
      <c r="B1953" t="s">
        <v>1193</v>
      </c>
      <c r="C1953" t="s">
        <v>47</v>
      </c>
      <c r="D1953">
        <v>3001551</v>
      </c>
      <c r="E1953">
        <v>3001550</v>
      </c>
      <c r="F1953" t="s">
        <v>1628</v>
      </c>
      <c r="G1953" t="s">
        <v>1628</v>
      </c>
      <c r="H1953" t="s">
        <v>54</v>
      </c>
      <c r="I1953">
        <v>9918601</v>
      </c>
      <c r="J1953" s="12">
        <v>46107</v>
      </c>
      <c r="K1953" s="12">
        <v>46107</v>
      </c>
      <c r="L1953" s="12">
        <v>46138</v>
      </c>
      <c r="M1953">
        <v>-6</v>
      </c>
      <c r="N1953">
        <v>676707356</v>
      </c>
      <c r="O1953">
        <v>0</v>
      </c>
      <c r="P1953">
        <v>676707356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 t="s">
        <v>47</v>
      </c>
      <c r="AA1953" t="s">
        <v>501</v>
      </c>
      <c r="AB1953" t="s">
        <v>51</v>
      </c>
      <c r="AC1953" t="s">
        <v>1644</v>
      </c>
      <c r="AD1953" t="s">
        <v>51</v>
      </c>
      <c r="AE1953" t="s">
        <v>51</v>
      </c>
      <c r="AF1953" t="s">
        <v>62</v>
      </c>
    </row>
    <row r="1954" spans="1:32" ht="14.5" customHeight="1" x14ac:dyDescent="0.35">
      <c r="A1954" t="s">
        <v>774</v>
      </c>
      <c r="B1954" t="s">
        <v>1193</v>
      </c>
      <c r="C1954" t="s">
        <v>47</v>
      </c>
      <c r="D1954">
        <v>3001551</v>
      </c>
      <c r="E1954">
        <v>3001550</v>
      </c>
      <c r="F1954" t="s">
        <v>1628</v>
      </c>
      <c r="G1954" t="s">
        <v>1628</v>
      </c>
      <c r="H1954" t="s">
        <v>54</v>
      </c>
      <c r="I1954">
        <v>9919044</v>
      </c>
      <c r="J1954" s="12">
        <v>46109</v>
      </c>
      <c r="K1954" s="12">
        <v>46109</v>
      </c>
      <c r="L1954" s="12">
        <v>46140</v>
      </c>
      <c r="M1954">
        <v>-8</v>
      </c>
      <c r="N1954">
        <v>800168617</v>
      </c>
      <c r="O1954">
        <v>0</v>
      </c>
      <c r="P1954">
        <v>800168617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 t="s">
        <v>47</v>
      </c>
      <c r="AA1954" t="s">
        <v>501</v>
      </c>
      <c r="AB1954" t="s">
        <v>51</v>
      </c>
      <c r="AC1954" t="s">
        <v>51</v>
      </c>
      <c r="AD1954" t="s">
        <v>1645</v>
      </c>
      <c r="AE1954" t="s">
        <v>51</v>
      </c>
      <c r="AF1954" t="s">
        <v>408</v>
      </c>
    </row>
    <row r="1955" spans="1:32" ht="14.5" customHeight="1" x14ac:dyDescent="0.35">
      <c r="A1955" t="s">
        <v>774</v>
      </c>
      <c r="B1955" t="s">
        <v>1193</v>
      </c>
      <c r="C1955" t="s">
        <v>47</v>
      </c>
      <c r="D1955">
        <v>3001551</v>
      </c>
      <c r="E1955">
        <v>3001550</v>
      </c>
      <c r="F1955" t="s">
        <v>1628</v>
      </c>
      <c r="G1955" t="s">
        <v>1628</v>
      </c>
      <c r="H1955" t="s">
        <v>54</v>
      </c>
      <c r="I1955">
        <v>9919045</v>
      </c>
      <c r="J1955" s="12">
        <v>46109</v>
      </c>
      <c r="K1955" s="12">
        <v>46109</v>
      </c>
      <c r="L1955" s="12">
        <v>46140</v>
      </c>
      <c r="M1955">
        <v>-8</v>
      </c>
      <c r="N1955">
        <v>4495234</v>
      </c>
      <c r="O1955">
        <v>0</v>
      </c>
      <c r="P1955">
        <v>4495234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 t="s">
        <v>47</v>
      </c>
      <c r="AA1955" t="s">
        <v>501</v>
      </c>
      <c r="AB1955" t="s">
        <v>51</v>
      </c>
      <c r="AC1955" t="s">
        <v>51</v>
      </c>
      <c r="AD1955" t="s">
        <v>1646</v>
      </c>
      <c r="AE1955" t="s">
        <v>51</v>
      </c>
      <c r="AF1955" t="s">
        <v>163</v>
      </c>
    </row>
    <row r="1956" spans="1:32" ht="14.5" customHeight="1" x14ac:dyDescent="0.35">
      <c r="A1956" t="s">
        <v>774</v>
      </c>
      <c r="B1956" t="s">
        <v>1193</v>
      </c>
      <c r="C1956" t="s">
        <v>47</v>
      </c>
      <c r="D1956">
        <v>3001551</v>
      </c>
      <c r="E1956">
        <v>3001550</v>
      </c>
      <c r="F1956" t="s">
        <v>1628</v>
      </c>
      <c r="G1956" t="s">
        <v>1628</v>
      </c>
      <c r="H1956" t="s">
        <v>54</v>
      </c>
      <c r="I1956">
        <v>9920315</v>
      </c>
      <c r="J1956" s="12">
        <v>46111</v>
      </c>
      <c r="K1956" s="12">
        <v>46111</v>
      </c>
      <c r="L1956" s="12">
        <v>46142</v>
      </c>
      <c r="M1956">
        <v>-10</v>
      </c>
      <c r="N1956">
        <v>644208360</v>
      </c>
      <c r="O1956">
        <v>0</v>
      </c>
      <c r="P1956">
        <v>644208360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 t="s">
        <v>47</v>
      </c>
      <c r="AA1956" t="s">
        <v>501</v>
      </c>
      <c r="AB1956" t="s">
        <v>51</v>
      </c>
      <c r="AC1956" t="s">
        <v>51</v>
      </c>
      <c r="AD1956" t="s">
        <v>1647</v>
      </c>
      <c r="AE1956" t="s">
        <v>51</v>
      </c>
      <c r="AF1956" t="s">
        <v>287</v>
      </c>
    </row>
    <row r="1957" spans="1:32" ht="14.5" customHeight="1" x14ac:dyDescent="0.35">
      <c r="A1957" t="s">
        <v>774</v>
      </c>
      <c r="B1957" t="s">
        <v>1193</v>
      </c>
      <c r="C1957" t="s">
        <v>47</v>
      </c>
      <c r="D1957">
        <v>3001551</v>
      </c>
      <c r="E1957">
        <v>3001550</v>
      </c>
      <c r="F1957" t="s">
        <v>1628</v>
      </c>
      <c r="G1957" t="s">
        <v>1628</v>
      </c>
      <c r="H1957" t="s">
        <v>54</v>
      </c>
      <c r="I1957">
        <v>9920340</v>
      </c>
      <c r="J1957" s="12">
        <v>46111</v>
      </c>
      <c r="K1957" s="12">
        <v>46111</v>
      </c>
      <c r="L1957" s="12">
        <v>46142</v>
      </c>
      <c r="M1957">
        <v>-10</v>
      </c>
      <c r="N1957">
        <v>4636585</v>
      </c>
      <c r="O1957">
        <v>0</v>
      </c>
      <c r="P1957">
        <v>4636585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 t="s">
        <v>47</v>
      </c>
      <c r="AA1957" t="s">
        <v>501</v>
      </c>
      <c r="AB1957" t="s">
        <v>51</v>
      </c>
      <c r="AC1957" t="s">
        <v>51</v>
      </c>
      <c r="AD1957" t="s">
        <v>1648</v>
      </c>
      <c r="AE1957" t="s">
        <v>51</v>
      </c>
      <c r="AF1957" t="s">
        <v>77</v>
      </c>
    </row>
    <row r="1958" spans="1:32" ht="14.5" customHeight="1" x14ac:dyDescent="0.35">
      <c r="A1958" t="s">
        <v>774</v>
      </c>
      <c r="B1958" t="s">
        <v>1193</v>
      </c>
      <c r="C1958" t="s">
        <v>47</v>
      </c>
      <c r="D1958">
        <v>3001551</v>
      </c>
      <c r="E1958">
        <v>3001550</v>
      </c>
      <c r="F1958" t="s">
        <v>1628</v>
      </c>
      <c r="G1958" t="s">
        <v>1628</v>
      </c>
      <c r="H1958" t="s">
        <v>54</v>
      </c>
      <c r="I1958">
        <v>9923433</v>
      </c>
      <c r="J1958" s="12">
        <v>46121</v>
      </c>
      <c r="K1958" s="12">
        <v>46121</v>
      </c>
      <c r="L1958" s="12">
        <v>46152</v>
      </c>
      <c r="M1958">
        <v>-20</v>
      </c>
      <c r="N1958">
        <v>189124686</v>
      </c>
      <c r="O1958">
        <v>0</v>
      </c>
      <c r="P1958">
        <v>189124686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 t="s">
        <v>47</v>
      </c>
      <c r="AA1958" t="s">
        <v>501</v>
      </c>
      <c r="AB1958" t="s">
        <v>51</v>
      </c>
      <c r="AC1958" t="s">
        <v>51</v>
      </c>
      <c r="AD1958" t="s">
        <v>51</v>
      </c>
      <c r="AE1958" t="s">
        <v>1649</v>
      </c>
      <c r="AF1958" t="s">
        <v>107</v>
      </c>
    </row>
    <row r="1959" spans="1:32" ht="14.5" customHeight="1" x14ac:dyDescent="0.35">
      <c r="A1959" t="s">
        <v>774</v>
      </c>
      <c r="B1959" t="s">
        <v>1193</v>
      </c>
      <c r="C1959" t="s">
        <v>47</v>
      </c>
      <c r="D1959">
        <v>3001551</v>
      </c>
      <c r="E1959">
        <v>3001550</v>
      </c>
      <c r="F1959" t="s">
        <v>1628</v>
      </c>
      <c r="G1959" t="s">
        <v>1628</v>
      </c>
      <c r="H1959" t="s">
        <v>54</v>
      </c>
      <c r="I1959">
        <v>9923435</v>
      </c>
      <c r="J1959" s="12">
        <v>46121</v>
      </c>
      <c r="K1959" s="12">
        <v>46121</v>
      </c>
      <c r="L1959" s="12">
        <v>46152</v>
      </c>
      <c r="M1959">
        <v>-20</v>
      </c>
      <c r="N1959">
        <v>894254006</v>
      </c>
      <c r="O1959">
        <v>0</v>
      </c>
      <c r="P1959">
        <v>894254006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 t="s">
        <v>47</v>
      </c>
      <c r="AA1959" t="s">
        <v>501</v>
      </c>
      <c r="AB1959" t="s">
        <v>51</v>
      </c>
      <c r="AC1959" t="s">
        <v>51</v>
      </c>
      <c r="AD1959" t="s">
        <v>51</v>
      </c>
      <c r="AE1959" t="s">
        <v>1650</v>
      </c>
      <c r="AF1959" t="s">
        <v>1134</v>
      </c>
    </row>
    <row r="1960" spans="1:32" ht="14.5" customHeight="1" x14ac:dyDescent="0.35">
      <c r="A1960" t="s">
        <v>774</v>
      </c>
      <c r="B1960" t="s">
        <v>1193</v>
      </c>
      <c r="C1960" t="s">
        <v>47</v>
      </c>
      <c r="D1960">
        <v>3001551</v>
      </c>
      <c r="E1960">
        <v>3001550</v>
      </c>
      <c r="F1960" t="s">
        <v>1628</v>
      </c>
      <c r="G1960" t="s">
        <v>1628</v>
      </c>
      <c r="H1960" t="s">
        <v>54</v>
      </c>
      <c r="I1960">
        <v>9923437</v>
      </c>
      <c r="J1960" s="12">
        <v>46121</v>
      </c>
      <c r="K1960" s="12">
        <v>46121</v>
      </c>
      <c r="L1960" s="12">
        <v>46152</v>
      </c>
      <c r="M1960">
        <v>-20</v>
      </c>
      <c r="N1960">
        <v>14999026</v>
      </c>
      <c r="O1960">
        <v>0</v>
      </c>
      <c r="P1960">
        <v>14999026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 t="s">
        <v>47</v>
      </c>
      <c r="AA1960" t="s">
        <v>501</v>
      </c>
      <c r="AB1960" t="s">
        <v>51</v>
      </c>
      <c r="AC1960" t="s">
        <v>51</v>
      </c>
      <c r="AD1960" t="s">
        <v>51</v>
      </c>
      <c r="AE1960" t="s">
        <v>1651</v>
      </c>
      <c r="AF1960" t="s">
        <v>320</v>
      </c>
    </row>
    <row r="1961" spans="1:32" ht="14.5" customHeight="1" x14ac:dyDescent="0.35">
      <c r="A1961" t="s">
        <v>774</v>
      </c>
      <c r="B1961" t="s">
        <v>1193</v>
      </c>
      <c r="C1961" t="s">
        <v>47</v>
      </c>
      <c r="D1961">
        <v>3001551</v>
      </c>
      <c r="E1961">
        <v>3001550</v>
      </c>
      <c r="F1961" t="s">
        <v>1628</v>
      </c>
      <c r="G1961" t="s">
        <v>1628</v>
      </c>
      <c r="H1961" t="s">
        <v>54</v>
      </c>
      <c r="I1961">
        <v>9924067</v>
      </c>
      <c r="J1961" s="12">
        <v>46122</v>
      </c>
      <c r="K1961" s="12">
        <v>46122</v>
      </c>
      <c r="L1961" s="12">
        <v>46153</v>
      </c>
      <c r="M1961">
        <v>-21</v>
      </c>
      <c r="N1961">
        <v>482088203</v>
      </c>
      <c r="O1961">
        <v>0</v>
      </c>
      <c r="P1961">
        <v>482088203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 t="s">
        <v>47</v>
      </c>
      <c r="AA1961" t="s">
        <v>501</v>
      </c>
      <c r="AB1961" t="s">
        <v>51</v>
      </c>
      <c r="AC1961" t="s">
        <v>51</v>
      </c>
      <c r="AD1961" t="s">
        <v>51</v>
      </c>
      <c r="AE1961" t="s">
        <v>1652</v>
      </c>
      <c r="AF1961" t="s">
        <v>1653</v>
      </c>
    </row>
    <row r="1962" spans="1:32" ht="14.5" customHeight="1" x14ac:dyDescent="0.35">
      <c r="A1962" t="s">
        <v>774</v>
      </c>
      <c r="B1962" t="s">
        <v>1193</v>
      </c>
      <c r="C1962" t="s">
        <v>47</v>
      </c>
      <c r="D1962">
        <v>3001551</v>
      </c>
      <c r="E1962">
        <v>3001550</v>
      </c>
      <c r="F1962" t="s">
        <v>1628</v>
      </c>
      <c r="G1962" t="s">
        <v>1628</v>
      </c>
      <c r="H1962" t="s">
        <v>140</v>
      </c>
      <c r="I1962">
        <v>9924612</v>
      </c>
      <c r="J1962" s="12">
        <v>46125</v>
      </c>
      <c r="K1962" s="12">
        <v>46125</v>
      </c>
      <c r="L1962" s="12">
        <v>46155</v>
      </c>
      <c r="M1962">
        <v>-23</v>
      </c>
      <c r="N1962">
        <v>39119</v>
      </c>
      <c r="O1962">
        <v>0</v>
      </c>
      <c r="P1962">
        <v>39119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 t="s">
        <v>47</v>
      </c>
      <c r="AA1962" t="s">
        <v>501</v>
      </c>
      <c r="AB1962" t="s">
        <v>51</v>
      </c>
      <c r="AC1962" t="s">
        <v>51</v>
      </c>
      <c r="AD1962" t="s">
        <v>51</v>
      </c>
      <c r="AE1962" t="s">
        <v>1654</v>
      </c>
      <c r="AF1962" t="s">
        <v>309</v>
      </c>
    </row>
    <row r="1963" spans="1:32" ht="14.5" customHeight="1" x14ac:dyDescent="0.35">
      <c r="A1963" t="s">
        <v>774</v>
      </c>
      <c r="B1963" t="s">
        <v>1193</v>
      </c>
      <c r="C1963" t="s">
        <v>47</v>
      </c>
      <c r="D1963">
        <v>3001551</v>
      </c>
      <c r="E1963">
        <v>3001550</v>
      </c>
      <c r="F1963" t="s">
        <v>1628</v>
      </c>
      <c r="G1963" t="s">
        <v>1628</v>
      </c>
      <c r="H1963" t="s">
        <v>54</v>
      </c>
      <c r="I1963">
        <v>9926462</v>
      </c>
      <c r="J1963" s="12">
        <v>46128</v>
      </c>
      <c r="K1963" s="12">
        <v>46128</v>
      </c>
      <c r="L1963" s="12">
        <v>46159</v>
      </c>
      <c r="M1963">
        <v>-27</v>
      </c>
      <c r="N1963">
        <v>443607082</v>
      </c>
      <c r="O1963">
        <v>0</v>
      </c>
      <c r="P1963">
        <v>443607082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 t="s">
        <v>47</v>
      </c>
      <c r="AA1963" t="s">
        <v>501</v>
      </c>
      <c r="AB1963" t="s">
        <v>51</v>
      </c>
      <c r="AC1963" t="s">
        <v>51</v>
      </c>
      <c r="AD1963" t="s">
        <v>51</v>
      </c>
      <c r="AE1963" t="s">
        <v>1655</v>
      </c>
      <c r="AF1963" t="s">
        <v>62</v>
      </c>
    </row>
    <row r="1964" spans="1:32" ht="14.5" customHeight="1" x14ac:dyDescent="0.35">
      <c r="A1964" t="s">
        <v>774</v>
      </c>
      <c r="B1964" t="s">
        <v>1193</v>
      </c>
      <c r="C1964" t="s">
        <v>47</v>
      </c>
      <c r="D1964">
        <v>3001551</v>
      </c>
      <c r="E1964">
        <v>3001550</v>
      </c>
      <c r="F1964" t="s">
        <v>1628</v>
      </c>
      <c r="G1964" t="s">
        <v>1628</v>
      </c>
      <c r="H1964" t="s">
        <v>54</v>
      </c>
      <c r="I1964">
        <v>9926463</v>
      </c>
      <c r="J1964" s="12">
        <v>46128</v>
      </c>
      <c r="K1964" s="12">
        <v>46128</v>
      </c>
      <c r="L1964" s="12">
        <v>46159</v>
      </c>
      <c r="M1964">
        <v>-27</v>
      </c>
      <c r="N1964">
        <v>2573810</v>
      </c>
      <c r="O1964">
        <v>0</v>
      </c>
      <c r="P1964">
        <v>2573810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 t="s">
        <v>47</v>
      </c>
      <c r="AA1964" t="s">
        <v>501</v>
      </c>
      <c r="AB1964" t="s">
        <v>51</v>
      </c>
      <c r="AC1964" t="s">
        <v>51</v>
      </c>
      <c r="AD1964" t="s">
        <v>51</v>
      </c>
      <c r="AE1964" t="s">
        <v>1656</v>
      </c>
      <c r="AF1964" t="s">
        <v>320</v>
      </c>
    </row>
    <row r="1965" spans="1:32" ht="14.5" customHeight="1" x14ac:dyDescent="0.35">
      <c r="A1965" t="s">
        <v>774</v>
      </c>
      <c r="B1965" t="s">
        <v>1193</v>
      </c>
      <c r="C1965" t="s">
        <v>47</v>
      </c>
      <c r="D1965">
        <v>3001551</v>
      </c>
      <c r="E1965">
        <v>3001550</v>
      </c>
      <c r="F1965" t="s">
        <v>1628</v>
      </c>
      <c r="G1965" t="s">
        <v>1628</v>
      </c>
      <c r="H1965" t="s">
        <v>54</v>
      </c>
      <c r="I1965">
        <v>9926541</v>
      </c>
      <c r="J1965" s="12">
        <v>46128</v>
      </c>
      <c r="K1965" s="12">
        <v>46128</v>
      </c>
      <c r="L1965" s="12">
        <v>46159</v>
      </c>
      <c r="M1965">
        <v>-27</v>
      </c>
      <c r="N1965">
        <v>341760018</v>
      </c>
      <c r="O1965">
        <v>0</v>
      </c>
      <c r="P1965">
        <v>341760018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 t="s">
        <v>47</v>
      </c>
      <c r="AA1965" t="s">
        <v>501</v>
      </c>
      <c r="AB1965" t="s">
        <v>51</v>
      </c>
      <c r="AC1965" t="s">
        <v>51</v>
      </c>
      <c r="AD1965" t="s">
        <v>51</v>
      </c>
      <c r="AE1965" t="s">
        <v>1657</v>
      </c>
      <c r="AF1965" t="s">
        <v>356</v>
      </c>
    </row>
    <row r="1966" spans="1:32" ht="14.5" customHeight="1" x14ac:dyDescent="0.35">
      <c r="A1966" t="s">
        <v>84</v>
      </c>
      <c r="B1966" t="s">
        <v>85</v>
      </c>
      <c r="C1966" t="s">
        <v>846</v>
      </c>
      <c r="D1966">
        <v>3001558</v>
      </c>
      <c r="E1966">
        <v>3100641</v>
      </c>
      <c r="F1966" t="s">
        <v>12</v>
      </c>
      <c r="G1966" t="s">
        <v>12</v>
      </c>
      <c r="H1966" t="s">
        <v>111</v>
      </c>
      <c r="I1966">
        <v>6958259</v>
      </c>
      <c r="J1966" s="12">
        <v>46120</v>
      </c>
      <c r="K1966" s="12">
        <v>46120</v>
      </c>
      <c r="L1966" s="12">
        <v>46120</v>
      </c>
      <c r="M1966">
        <v>12</v>
      </c>
      <c r="N1966">
        <v>-1957880</v>
      </c>
      <c r="O1966">
        <v>-1957880</v>
      </c>
      <c r="P1966">
        <v>0</v>
      </c>
      <c r="Q1966">
        <v>-1957880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 t="s">
        <v>846</v>
      </c>
      <c r="AA1966" t="s">
        <v>501</v>
      </c>
      <c r="AB1966" t="s">
        <v>51</v>
      </c>
      <c r="AC1966" t="s">
        <v>51</v>
      </c>
      <c r="AD1966" t="s">
        <v>51</v>
      </c>
      <c r="AE1966" t="s">
        <v>51</v>
      </c>
      <c r="AF1966" t="s">
        <v>341</v>
      </c>
    </row>
    <row r="1967" spans="1:32" ht="14.5" customHeight="1" x14ac:dyDescent="0.35">
      <c r="A1967" t="s">
        <v>84</v>
      </c>
      <c r="B1967" t="s">
        <v>85</v>
      </c>
      <c r="C1967" t="s">
        <v>47</v>
      </c>
      <c r="D1967">
        <v>3001558</v>
      </c>
      <c r="E1967">
        <v>3001557</v>
      </c>
      <c r="F1967" t="s">
        <v>12</v>
      </c>
      <c r="G1967" t="s">
        <v>12</v>
      </c>
      <c r="H1967" t="s">
        <v>54</v>
      </c>
      <c r="I1967">
        <v>6958893</v>
      </c>
      <c r="J1967" s="12">
        <v>46125</v>
      </c>
      <c r="K1967" s="12">
        <v>46125</v>
      </c>
      <c r="L1967" s="12">
        <v>46125</v>
      </c>
      <c r="M1967">
        <v>7</v>
      </c>
      <c r="N1967">
        <v>-55156947</v>
      </c>
      <c r="O1967">
        <v>-55156947</v>
      </c>
      <c r="P1967">
        <v>0</v>
      </c>
      <c r="Q1967">
        <v>-55156947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 t="s">
        <v>548</v>
      </c>
      <c r="AA1967" t="s">
        <v>501</v>
      </c>
      <c r="AB1967" t="s">
        <v>51</v>
      </c>
      <c r="AC1967" t="s">
        <v>51</v>
      </c>
      <c r="AD1967" t="s">
        <v>51</v>
      </c>
      <c r="AE1967" t="s">
        <v>51</v>
      </c>
      <c r="AF1967" t="s">
        <v>910</v>
      </c>
    </row>
    <row r="1968" spans="1:32" ht="14.5" customHeight="1" x14ac:dyDescent="0.35">
      <c r="A1968" t="s">
        <v>84</v>
      </c>
      <c r="B1968" t="s">
        <v>85</v>
      </c>
      <c r="C1968" t="s">
        <v>47</v>
      </c>
      <c r="D1968">
        <v>3001558</v>
      </c>
      <c r="E1968">
        <v>3001557</v>
      </c>
      <c r="F1968" t="s">
        <v>12</v>
      </c>
      <c r="G1968" t="s">
        <v>12</v>
      </c>
      <c r="H1968" t="s">
        <v>54</v>
      </c>
      <c r="I1968">
        <v>6958894</v>
      </c>
      <c r="J1968" s="12">
        <v>46125</v>
      </c>
      <c r="K1968" s="12">
        <v>46125</v>
      </c>
      <c r="L1968" s="12">
        <v>46125</v>
      </c>
      <c r="M1968">
        <v>7</v>
      </c>
      <c r="N1968">
        <v>-53032551</v>
      </c>
      <c r="O1968">
        <v>-53032551</v>
      </c>
      <c r="P1968">
        <v>0</v>
      </c>
      <c r="Q1968">
        <v>-53032551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 t="s">
        <v>548</v>
      </c>
      <c r="AA1968" t="s">
        <v>501</v>
      </c>
      <c r="AB1968" t="s">
        <v>51</v>
      </c>
      <c r="AC1968" t="s">
        <v>51</v>
      </c>
      <c r="AD1968" t="s">
        <v>51</v>
      </c>
      <c r="AE1968" t="s">
        <v>51</v>
      </c>
      <c r="AF1968" t="s">
        <v>56</v>
      </c>
    </row>
    <row r="1969" spans="1:32" ht="14.5" customHeight="1" x14ac:dyDescent="0.35">
      <c r="A1969" t="s">
        <v>84</v>
      </c>
      <c r="B1969" t="s">
        <v>85</v>
      </c>
      <c r="C1969" t="s">
        <v>47</v>
      </c>
      <c r="D1969">
        <v>3001558</v>
      </c>
      <c r="E1969">
        <v>3001558</v>
      </c>
      <c r="F1969" t="s">
        <v>12</v>
      </c>
      <c r="G1969" t="s">
        <v>12</v>
      </c>
      <c r="H1969" t="s">
        <v>54</v>
      </c>
      <c r="I1969">
        <v>6958895</v>
      </c>
      <c r="J1969" s="12">
        <v>46125</v>
      </c>
      <c r="K1969" s="12">
        <v>46125</v>
      </c>
      <c r="L1969" s="12">
        <v>46125</v>
      </c>
      <c r="M1969">
        <v>7</v>
      </c>
      <c r="N1969">
        <v>-46679136</v>
      </c>
      <c r="O1969">
        <v>-46679136</v>
      </c>
      <c r="P1969">
        <v>0</v>
      </c>
      <c r="Q1969">
        <v>-46679136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 t="s">
        <v>548</v>
      </c>
      <c r="AA1969" t="s">
        <v>501</v>
      </c>
      <c r="AB1969" t="s">
        <v>51</v>
      </c>
      <c r="AC1969" t="s">
        <v>51</v>
      </c>
      <c r="AD1969" t="s">
        <v>51</v>
      </c>
      <c r="AE1969" t="s">
        <v>51</v>
      </c>
      <c r="AF1969" t="s">
        <v>285</v>
      </c>
    </row>
    <row r="1970" spans="1:32" ht="14.5" customHeight="1" x14ac:dyDescent="0.35">
      <c r="A1970" t="s">
        <v>84</v>
      </c>
      <c r="B1970" t="s">
        <v>85</v>
      </c>
      <c r="C1970" t="s">
        <v>47</v>
      </c>
      <c r="D1970">
        <v>3001558</v>
      </c>
      <c r="E1970">
        <v>3100640</v>
      </c>
      <c r="F1970" t="s">
        <v>12</v>
      </c>
      <c r="G1970" t="s">
        <v>12</v>
      </c>
      <c r="H1970" t="s">
        <v>54</v>
      </c>
      <c r="I1970">
        <v>6958904</v>
      </c>
      <c r="J1970" s="12">
        <v>46125</v>
      </c>
      <c r="K1970" s="12">
        <v>46125</v>
      </c>
      <c r="L1970" s="12">
        <v>46125</v>
      </c>
      <c r="M1970">
        <v>7</v>
      </c>
      <c r="N1970">
        <v>-59013169</v>
      </c>
      <c r="O1970">
        <v>-59013169</v>
      </c>
      <c r="P1970">
        <v>0</v>
      </c>
      <c r="Q1970">
        <v>-59013169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 t="s">
        <v>47</v>
      </c>
      <c r="AA1970" t="s">
        <v>501</v>
      </c>
      <c r="AB1970" t="s">
        <v>51</v>
      </c>
      <c r="AC1970" t="s">
        <v>51</v>
      </c>
      <c r="AD1970" t="s">
        <v>51</v>
      </c>
      <c r="AE1970" t="s">
        <v>51</v>
      </c>
      <c r="AF1970" t="s">
        <v>325</v>
      </c>
    </row>
    <row r="1971" spans="1:32" ht="14.5" customHeight="1" x14ac:dyDescent="0.35">
      <c r="A1971" t="s">
        <v>84</v>
      </c>
      <c r="B1971" t="s">
        <v>85</v>
      </c>
      <c r="C1971" t="s">
        <v>47</v>
      </c>
      <c r="D1971">
        <v>3001558</v>
      </c>
      <c r="E1971">
        <v>3001558</v>
      </c>
      <c r="F1971" t="s">
        <v>12</v>
      </c>
      <c r="G1971" t="s">
        <v>12</v>
      </c>
      <c r="H1971" t="s">
        <v>54</v>
      </c>
      <c r="I1971">
        <v>6959035</v>
      </c>
      <c r="J1971" s="12">
        <v>46125</v>
      </c>
      <c r="K1971" s="12">
        <v>46125</v>
      </c>
      <c r="L1971" s="12">
        <v>46125</v>
      </c>
      <c r="M1971">
        <v>7</v>
      </c>
      <c r="N1971">
        <v>-15783439</v>
      </c>
      <c r="O1971">
        <v>-15783439</v>
      </c>
      <c r="P1971">
        <v>0</v>
      </c>
      <c r="Q1971">
        <v>-15783439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 t="s">
        <v>548</v>
      </c>
      <c r="AA1971" t="s">
        <v>501</v>
      </c>
      <c r="AB1971" t="s">
        <v>51</v>
      </c>
      <c r="AC1971" t="s">
        <v>51</v>
      </c>
      <c r="AD1971" t="s">
        <v>51</v>
      </c>
      <c r="AE1971" t="s">
        <v>51</v>
      </c>
      <c r="AF1971" t="s">
        <v>1658</v>
      </c>
    </row>
    <row r="1972" spans="1:32" ht="14.5" customHeight="1" x14ac:dyDescent="0.35">
      <c r="A1972" t="s">
        <v>84</v>
      </c>
      <c r="B1972" t="s">
        <v>85</v>
      </c>
      <c r="C1972" t="s">
        <v>47</v>
      </c>
      <c r="D1972">
        <v>3001558</v>
      </c>
      <c r="E1972">
        <v>3100640</v>
      </c>
      <c r="F1972" t="s">
        <v>12</v>
      </c>
      <c r="G1972" t="s">
        <v>12</v>
      </c>
      <c r="H1972" t="s">
        <v>54</v>
      </c>
      <c r="I1972">
        <v>6959172</v>
      </c>
      <c r="J1972" s="12">
        <v>46125</v>
      </c>
      <c r="K1972" s="12">
        <v>46125</v>
      </c>
      <c r="L1972" s="12">
        <v>46125</v>
      </c>
      <c r="M1972">
        <v>7</v>
      </c>
      <c r="N1972">
        <v>-1504100</v>
      </c>
      <c r="O1972">
        <v>-1504100</v>
      </c>
      <c r="P1972">
        <v>0</v>
      </c>
      <c r="Q1972">
        <v>-1504100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 t="s">
        <v>47</v>
      </c>
      <c r="AA1972" t="s">
        <v>501</v>
      </c>
      <c r="AB1972" t="s">
        <v>51</v>
      </c>
      <c r="AC1972" t="s">
        <v>51</v>
      </c>
      <c r="AD1972" t="s">
        <v>51</v>
      </c>
      <c r="AE1972" t="s">
        <v>51</v>
      </c>
      <c r="AF1972" t="s">
        <v>1659</v>
      </c>
    </row>
    <row r="1973" spans="1:32" ht="14.5" customHeight="1" x14ac:dyDescent="0.35">
      <c r="A1973" t="s">
        <v>84</v>
      </c>
      <c r="B1973" t="s">
        <v>85</v>
      </c>
      <c r="C1973" t="s">
        <v>47</v>
      </c>
      <c r="D1973">
        <v>3001558</v>
      </c>
      <c r="E1973">
        <v>3001557</v>
      </c>
      <c r="F1973" t="s">
        <v>12</v>
      </c>
      <c r="G1973" t="s">
        <v>12</v>
      </c>
      <c r="H1973" t="s">
        <v>54</v>
      </c>
      <c r="I1973">
        <v>6959467</v>
      </c>
      <c r="J1973" s="12">
        <v>46127</v>
      </c>
      <c r="K1973" s="12">
        <v>46127</v>
      </c>
      <c r="L1973" s="12">
        <v>46127</v>
      </c>
      <c r="M1973">
        <v>5</v>
      </c>
      <c r="N1973">
        <v>-490500</v>
      </c>
      <c r="O1973">
        <v>-490500</v>
      </c>
      <c r="P1973">
        <v>0</v>
      </c>
      <c r="Q1973">
        <v>-490500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 t="s">
        <v>548</v>
      </c>
      <c r="AA1973" t="s">
        <v>501</v>
      </c>
      <c r="AB1973" t="s">
        <v>51</v>
      </c>
      <c r="AC1973" t="s">
        <v>51</v>
      </c>
      <c r="AD1973" t="s">
        <v>51</v>
      </c>
      <c r="AE1973" t="s">
        <v>51</v>
      </c>
      <c r="AF1973" t="s">
        <v>1660</v>
      </c>
    </row>
    <row r="1974" spans="1:32" ht="14.5" customHeight="1" x14ac:dyDescent="0.35">
      <c r="A1974" t="s">
        <v>84</v>
      </c>
      <c r="B1974" t="s">
        <v>85</v>
      </c>
      <c r="C1974" t="s">
        <v>846</v>
      </c>
      <c r="D1974">
        <v>3001558</v>
      </c>
      <c r="E1974">
        <v>3001557</v>
      </c>
      <c r="F1974" t="s">
        <v>12</v>
      </c>
      <c r="G1974" t="s">
        <v>12</v>
      </c>
      <c r="H1974" t="s">
        <v>111</v>
      </c>
      <c r="I1974">
        <v>6959687</v>
      </c>
      <c r="J1974" s="12">
        <v>46128</v>
      </c>
      <c r="K1974" s="12">
        <v>46128</v>
      </c>
      <c r="L1974" s="12">
        <v>46128</v>
      </c>
      <c r="M1974">
        <v>4</v>
      </c>
      <c r="N1974">
        <v>-19050371</v>
      </c>
      <c r="O1974">
        <v>-19050371</v>
      </c>
      <c r="P1974">
        <v>0</v>
      </c>
      <c r="Q1974">
        <v>-19050371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 t="s">
        <v>548</v>
      </c>
      <c r="AA1974" t="s">
        <v>501</v>
      </c>
      <c r="AB1974" t="s">
        <v>51</v>
      </c>
      <c r="AC1974" t="s">
        <v>51</v>
      </c>
      <c r="AD1974" t="s">
        <v>51</v>
      </c>
      <c r="AE1974" t="s">
        <v>51</v>
      </c>
      <c r="AF1974" t="s">
        <v>1252</v>
      </c>
    </row>
    <row r="1975" spans="1:32" ht="14.5" customHeight="1" x14ac:dyDescent="0.35">
      <c r="A1975" t="s">
        <v>84</v>
      </c>
      <c r="B1975" t="s">
        <v>85</v>
      </c>
      <c r="C1975" t="s">
        <v>47</v>
      </c>
      <c r="D1975">
        <v>3001558</v>
      </c>
      <c r="E1975">
        <v>3100640</v>
      </c>
      <c r="F1975" t="s">
        <v>12</v>
      </c>
      <c r="G1975" t="s">
        <v>12</v>
      </c>
      <c r="H1975" t="s">
        <v>54</v>
      </c>
      <c r="I1975">
        <v>6960152</v>
      </c>
      <c r="J1975" s="12">
        <v>46130</v>
      </c>
      <c r="K1975" s="12">
        <v>46130</v>
      </c>
      <c r="L1975" s="12">
        <v>46130</v>
      </c>
      <c r="M1975">
        <v>2</v>
      </c>
      <c r="N1975">
        <v>-2550000</v>
      </c>
      <c r="O1975">
        <v>-2550000</v>
      </c>
      <c r="P1975">
        <v>0</v>
      </c>
      <c r="Q1975">
        <v>-2550000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 t="s">
        <v>47</v>
      </c>
      <c r="AA1975" t="s">
        <v>501</v>
      </c>
      <c r="AB1975" t="s">
        <v>51</v>
      </c>
      <c r="AC1975" t="s">
        <v>51</v>
      </c>
      <c r="AD1975" t="s">
        <v>51</v>
      </c>
      <c r="AE1975" t="s">
        <v>51</v>
      </c>
      <c r="AF1975" t="s">
        <v>1661</v>
      </c>
    </row>
    <row r="1976" spans="1:32" ht="14.5" customHeight="1" x14ac:dyDescent="0.35">
      <c r="A1976" t="s">
        <v>84</v>
      </c>
      <c r="B1976" t="s">
        <v>85</v>
      </c>
      <c r="C1976" t="s">
        <v>47</v>
      </c>
      <c r="D1976">
        <v>3001558</v>
      </c>
      <c r="E1976">
        <v>3001558</v>
      </c>
      <c r="F1976" t="s">
        <v>12</v>
      </c>
      <c r="G1976" t="s">
        <v>12</v>
      </c>
      <c r="H1976" t="s">
        <v>54</v>
      </c>
      <c r="I1976">
        <v>6960156</v>
      </c>
      <c r="J1976" s="12">
        <v>46130</v>
      </c>
      <c r="K1976" s="12">
        <v>46130</v>
      </c>
      <c r="L1976" s="12">
        <v>46130</v>
      </c>
      <c r="M1976">
        <v>2</v>
      </c>
      <c r="N1976">
        <v>-762437</v>
      </c>
      <c r="O1976">
        <v>-762437</v>
      </c>
      <c r="P1976">
        <v>0</v>
      </c>
      <c r="Q1976">
        <v>-762437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 t="s">
        <v>548</v>
      </c>
      <c r="AA1976" t="s">
        <v>501</v>
      </c>
      <c r="AB1976" t="s">
        <v>51</v>
      </c>
      <c r="AC1976" t="s">
        <v>51</v>
      </c>
      <c r="AD1976" t="s">
        <v>51</v>
      </c>
      <c r="AE1976" t="s">
        <v>51</v>
      </c>
      <c r="AF1976" t="s">
        <v>1134</v>
      </c>
    </row>
    <row r="1977" spans="1:32" ht="14.5" customHeight="1" x14ac:dyDescent="0.35">
      <c r="A1977" t="s">
        <v>84</v>
      </c>
      <c r="B1977" t="s">
        <v>85</v>
      </c>
      <c r="C1977" t="s">
        <v>47</v>
      </c>
      <c r="D1977">
        <v>3001558</v>
      </c>
      <c r="E1977">
        <v>3100640</v>
      </c>
      <c r="F1977" t="s">
        <v>12</v>
      </c>
      <c r="G1977" t="s">
        <v>12</v>
      </c>
      <c r="H1977" t="s">
        <v>54</v>
      </c>
      <c r="I1977">
        <v>6960158</v>
      </c>
      <c r="J1977" s="12">
        <v>46130</v>
      </c>
      <c r="K1977" s="12">
        <v>46130</v>
      </c>
      <c r="L1977" s="12">
        <v>46130</v>
      </c>
      <c r="M1977">
        <v>2</v>
      </c>
      <c r="N1977">
        <v>-232621</v>
      </c>
      <c r="O1977">
        <v>-232621</v>
      </c>
      <c r="P1977">
        <v>0</v>
      </c>
      <c r="Q1977">
        <v>-232621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 t="s">
        <v>47</v>
      </c>
      <c r="AA1977" t="s">
        <v>501</v>
      </c>
      <c r="AB1977" t="s">
        <v>51</v>
      </c>
      <c r="AC1977" t="s">
        <v>51</v>
      </c>
      <c r="AD1977" t="s">
        <v>51</v>
      </c>
      <c r="AE1977" t="s">
        <v>51</v>
      </c>
      <c r="AF1977" t="s">
        <v>1659</v>
      </c>
    </row>
    <row r="1978" spans="1:32" ht="14.5" customHeight="1" x14ac:dyDescent="0.35">
      <c r="A1978" t="s">
        <v>84</v>
      </c>
      <c r="B1978" t="s">
        <v>85</v>
      </c>
      <c r="C1978" t="s">
        <v>47</v>
      </c>
      <c r="D1978">
        <v>3001558</v>
      </c>
      <c r="E1978">
        <v>3100640</v>
      </c>
      <c r="F1978" t="s">
        <v>12</v>
      </c>
      <c r="G1978" t="s">
        <v>12</v>
      </c>
      <c r="H1978" t="s">
        <v>54</v>
      </c>
      <c r="I1978">
        <v>6960166</v>
      </c>
      <c r="J1978" s="12">
        <v>46130</v>
      </c>
      <c r="K1978" s="12">
        <v>46130</v>
      </c>
      <c r="L1978" s="12">
        <v>46130</v>
      </c>
      <c r="M1978">
        <v>2</v>
      </c>
      <c r="N1978">
        <v>-434897</v>
      </c>
      <c r="O1978">
        <v>-434897</v>
      </c>
      <c r="P1978">
        <v>0</v>
      </c>
      <c r="Q1978">
        <v>-434897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 t="s">
        <v>47</v>
      </c>
      <c r="AA1978" t="s">
        <v>501</v>
      </c>
      <c r="AB1978" t="s">
        <v>51</v>
      </c>
      <c r="AC1978" t="s">
        <v>51</v>
      </c>
      <c r="AD1978" t="s">
        <v>51</v>
      </c>
      <c r="AE1978" t="s">
        <v>51</v>
      </c>
      <c r="AF1978" t="s">
        <v>1659</v>
      </c>
    </row>
    <row r="1979" spans="1:32" ht="14.5" customHeight="1" x14ac:dyDescent="0.35">
      <c r="A1979" t="s">
        <v>84</v>
      </c>
      <c r="B1979" t="s">
        <v>85</v>
      </c>
      <c r="C1979" t="s">
        <v>47</v>
      </c>
      <c r="D1979">
        <v>3001558</v>
      </c>
      <c r="E1979">
        <v>3001558</v>
      </c>
      <c r="F1979" t="s">
        <v>12</v>
      </c>
      <c r="G1979" t="s">
        <v>12</v>
      </c>
      <c r="H1979" t="s">
        <v>54</v>
      </c>
      <c r="I1979">
        <v>6960229</v>
      </c>
      <c r="J1979" s="12">
        <v>46130</v>
      </c>
      <c r="K1979" s="12">
        <v>46130</v>
      </c>
      <c r="L1979" s="12">
        <v>46130</v>
      </c>
      <c r="M1979">
        <v>2</v>
      </c>
      <c r="N1979">
        <v>-424006</v>
      </c>
      <c r="O1979">
        <v>-424006</v>
      </c>
      <c r="P1979">
        <v>0</v>
      </c>
      <c r="Q1979">
        <v>-424006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 t="s">
        <v>548</v>
      </c>
      <c r="AA1979" t="s">
        <v>501</v>
      </c>
      <c r="AB1979" t="s">
        <v>51</v>
      </c>
      <c r="AC1979" t="s">
        <v>51</v>
      </c>
      <c r="AD1979" t="s">
        <v>51</v>
      </c>
      <c r="AE1979" t="s">
        <v>51</v>
      </c>
      <c r="AF1979" t="s">
        <v>1662</v>
      </c>
    </row>
    <row r="1980" spans="1:32" ht="14.5" customHeight="1" x14ac:dyDescent="0.35">
      <c r="A1980" t="s">
        <v>84</v>
      </c>
      <c r="B1980" t="s">
        <v>85</v>
      </c>
      <c r="C1980" t="s">
        <v>47</v>
      </c>
      <c r="D1980">
        <v>3001558</v>
      </c>
      <c r="E1980">
        <v>3001557</v>
      </c>
      <c r="F1980" t="s">
        <v>12</v>
      </c>
      <c r="G1980" t="s">
        <v>12</v>
      </c>
      <c r="H1980" t="s">
        <v>54</v>
      </c>
      <c r="I1980">
        <v>6960299</v>
      </c>
      <c r="J1980" s="12">
        <v>46130</v>
      </c>
      <c r="K1980" s="12">
        <v>46130</v>
      </c>
      <c r="L1980" s="12">
        <v>46130</v>
      </c>
      <c r="M1980">
        <v>2</v>
      </c>
      <c r="N1980">
        <v>-447391</v>
      </c>
      <c r="O1980">
        <v>-447391</v>
      </c>
      <c r="P1980">
        <v>0</v>
      </c>
      <c r="Q1980">
        <v>-447391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 t="s">
        <v>548</v>
      </c>
      <c r="AA1980" t="s">
        <v>501</v>
      </c>
      <c r="AB1980" t="s">
        <v>51</v>
      </c>
      <c r="AC1980" t="s">
        <v>51</v>
      </c>
      <c r="AD1980" t="s">
        <v>51</v>
      </c>
      <c r="AE1980" t="s">
        <v>51</v>
      </c>
      <c r="AF1980" t="s">
        <v>1663</v>
      </c>
    </row>
    <row r="1981" spans="1:32" ht="14.5" customHeight="1" x14ac:dyDescent="0.35">
      <c r="A1981" t="s">
        <v>84</v>
      </c>
      <c r="B1981" t="s">
        <v>85</v>
      </c>
      <c r="C1981" t="s">
        <v>47</v>
      </c>
      <c r="D1981">
        <v>3001558</v>
      </c>
      <c r="E1981">
        <v>3001557</v>
      </c>
      <c r="F1981" t="s">
        <v>12</v>
      </c>
      <c r="G1981" t="s">
        <v>12</v>
      </c>
      <c r="H1981" t="s">
        <v>54</v>
      </c>
      <c r="I1981">
        <v>6960300</v>
      </c>
      <c r="J1981" s="12">
        <v>46130</v>
      </c>
      <c r="K1981" s="12">
        <v>46130</v>
      </c>
      <c r="L1981" s="12">
        <v>46130</v>
      </c>
      <c r="M1981">
        <v>2</v>
      </c>
      <c r="N1981">
        <v>-15160055</v>
      </c>
      <c r="O1981">
        <v>-15160055</v>
      </c>
      <c r="P1981">
        <v>0</v>
      </c>
      <c r="Q1981">
        <v>-15160055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 t="s">
        <v>548</v>
      </c>
      <c r="AA1981" t="s">
        <v>501</v>
      </c>
      <c r="AB1981" t="s">
        <v>51</v>
      </c>
      <c r="AC1981" t="s">
        <v>51</v>
      </c>
      <c r="AD1981" t="s">
        <v>51</v>
      </c>
      <c r="AE1981" t="s">
        <v>51</v>
      </c>
      <c r="AF1981" t="s">
        <v>1664</v>
      </c>
    </row>
    <row r="1982" spans="1:32" ht="14.5" customHeight="1" x14ac:dyDescent="0.35">
      <c r="A1982" t="s">
        <v>84</v>
      </c>
      <c r="B1982" t="s">
        <v>85</v>
      </c>
      <c r="C1982" t="s">
        <v>47</v>
      </c>
      <c r="D1982">
        <v>3001558</v>
      </c>
      <c r="E1982">
        <v>3001558</v>
      </c>
      <c r="F1982" t="s">
        <v>12</v>
      </c>
      <c r="G1982" t="s">
        <v>12</v>
      </c>
      <c r="H1982" t="s">
        <v>54</v>
      </c>
      <c r="I1982">
        <v>6960301</v>
      </c>
      <c r="J1982" s="12">
        <v>46130</v>
      </c>
      <c r="K1982" s="12">
        <v>46130</v>
      </c>
      <c r="L1982" s="12">
        <v>46130</v>
      </c>
      <c r="M1982">
        <v>2</v>
      </c>
      <c r="N1982">
        <v>-11152759</v>
      </c>
      <c r="O1982">
        <v>-11152759</v>
      </c>
      <c r="P1982">
        <v>0</v>
      </c>
      <c r="Q1982">
        <v>-11152759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 t="s">
        <v>548</v>
      </c>
      <c r="AA1982" t="s">
        <v>501</v>
      </c>
      <c r="AB1982" t="s">
        <v>51</v>
      </c>
      <c r="AC1982" t="s">
        <v>51</v>
      </c>
      <c r="AD1982" t="s">
        <v>51</v>
      </c>
      <c r="AE1982" t="s">
        <v>51</v>
      </c>
      <c r="AF1982" t="s">
        <v>1664</v>
      </c>
    </row>
    <row r="1983" spans="1:32" ht="14.5" customHeight="1" x14ac:dyDescent="0.35">
      <c r="A1983" t="s">
        <v>84</v>
      </c>
      <c r="B1983" t="s">
        <v>85</v>
      </c>
      <c r="C1983" t="s">
        <v>47</v>
      </c>
      <c r="D1983">
        <v>3001558</v>
      </c>
      <c r="E1983">
        <v>3100640</v>
      </c>
      <c r="F1983" t="s">
        <v>12</v>
      </c>
      <c r="G1983" t="s">
        <v>12</v>
      </c>
      <c r="H1983" t="s">
        <v>54</v>
      </c>
      <c r="I1983">
        <v>6960307</v>
      </c>
      <c r="J1983" s="12">
        <v>46131</v>
      </c>
      <c r="K1983" s="12">
        <v>46131</v>
      </c>
      <c r="L1983" s="12">
        <v>46131</v>
      </c>
      <c r="M1983">
        <v>1</v>
      </c>
      <c r="N1983">
        <v>-886479</v>
      </c>
      <c r="O1983">
        <v>-886479</v>
      </c>
      <c r="P1983">
        <v>0</v>
      </c>
      <c r="Q1983">
        <v>-886479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 t="s">
        <v>47</v>
      </c>
      <c r="AA1983" t="s">
        <v>501</v>
      </c>
      <c r="AB1983" t="s">
        <v>51</v>
      </c>
      <c r="AC1983" t="s">
        <v>51</v>
      </c>
      <c r="AD1983" t="s">
        <v>51</v>
      </c>
      <c r="AE1983" t="s">
        <v>51</v>
      </c>
      <c r="AF1983" t="s">
        <v>1659</v>
      </c>
    </row>
    <row r="1984" spans="1:32" ht="14.5" customHeight="1" x14ac:dyDescent="0.35">
      <c r="A1984" t="s">
        <v>84</v>
      </c>
      <c r="B1984" t="s">
        <v>85</v>
      </c>
      <c r="C1984" t="s">
        <v>47</v>
      </c>
      <c r="D1984">
        <v>3001558</v>
      </c>
      <c r="E1984">
        <v>3001558</v>
      </c>
      <c r="F1984" t="s">
        <v>12</v>
      </c>
      <c r="G1984" t="s">
        <v>12</v>
      </c>
      <c r="H1984" t="s">
        <v>140</v>
      </c>
      <c r="I1984">
        <v>9915836</v>
      </c>
      <c r="J1984" s="12">
        <v>46096</v>
      </c>
      <c r="K1984" s="12">
        <v>46096</v>
      </c>
      <c r="L1984" s="12">
        <v>46156</v>
      </c>
      <c r="M1984">
        <v>-24</v>
      </c>
      <c r="N1984">
        <v>54619153</v>
      </c>
      <c r="O1984">
        <v>0</v>
      </c>
      <c r="P1984">
        <v>54619153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 t="s">
        <v>548</v>
      </c>
      <c r="AA1984" t="s">
        <v>738</v>
      </c>
      <c r="AB1984" t="s">
        <v>51</v>
      </c>
      <c r="AC1984" t="s">
        <v>51</v>
      </c>
      <c r="AD1984" t="s">
        <v>51</v>
      </c>
      <c r="AE1984" t="s">
        <v>1665</v>
      </c>
      <c r="AF1984" t="s">
        <v>1666</v>
      </c>
    </row>
    <row r="1985" spans="1:32" ht="14.5" customHeight="1" x14ac:dyDescent="0.35">
      <c r="A1985" t="s">
        <v>84</v>
      </c>
      <c r="B1985" t="s">
        <v>85</v>
      </c>
      <c r="C1985" t="s">
        <v>47</v>
      </c>
      <c r="D1985">
        <v>3001558</v>
      </c>
      <c r="E1985">
        <v>3001558</v>
      </c>
      <c r="F1985" t="s">
        <v>12</v>
      </c>
      <c r="G1985" t="s">
        <v>12</v>
      </c>
      <c r="H1985" t="s">
        <v>140</v>
      </c>
      <c r="I1985">
        <v>9915837</v>
      </c>
      <c r="J1985" s="12">
        <v>46096</v>
      </c>
      <c r="K1985" s="12">
        <v>46096</v>
      </c>
      <c r="L1985" s="12">
        <v>46186</v>
      </c>
      <c r="M1985">
        <v>-54</v>
      </c>
      <c r="N1985">
        <v>54619153</v>
      </c>
      <c r="O1985">
        <v>0</v>
      </c>
      <c r="P1985">
        <v>54619153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 t="s">
        <v>548</v>
      </c>
      <c r="AA1985" t="s">
        <v>1239</v>
      </c>
      <c r="AB1985" t="s">
        <v>51</v>
      </c>
      <c r="AC1985" t="s">
        <v>51</v>
      </c>
      <c r="AD1985" t="s">
        <v>51</v>
      </c>
      <c r="AE1985" t="s">
        <v>1665</v>
      </c>
      <c r="AF1985" t="s">
        <v>1666</v>
      </c>
    </row>
    <row r="1986" spans="1:32" ht="14.5" customHeight="1" x14ac:dyDescent="0.35">
      <c r="A1986" t="s">
        <v>84</v>
      </c>
      <c r="B1986" t="s">
        <v>85</v>
      </c>
      <c r="C1986" t="s">
        <v>47</v>
      </c>
      <c r="D1986">
        <v>3001558</v>
      </c>
      <c r="E1986">
        <v>3001558</v>
      </c>
      <c r="F1986" t="s">
        <v>12</v>
      </c>
      <c r="G1986" t="s">
        <v>12</v>
      </c>
      <c r="H1986" t="s">
        <v>140</v>
      </c>
      <c r="I1986">
        <v>9915842</v>
      </c>
      <c r="J1986" s="12">
        <v>46096</v>
      </c>
      <c r="K1986" s="12">
        <v>46096</v>
      </c>
      <c r="L1986" s="12">
        <v>46216</v>
      </c>
      <c r="M1986">
        <v>-84</v>
      </c>
      <c r="N1986">
        <v>54619153</v>
      </c>
      <c r="O1986">
        <v>0</v>
      </c>
      <c r="P1986">
        <v>54619153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 t="s">
        <v>548</v>
      </c>
      <c r="AA1986" t="s">
        <v>1240</v>
      </c>
      <c r="AB1986" t="s">
        <v>51</v>
      </c>
      <c r="AC1986" t="s">
        <v>51</v>
      </c>
      <c r="AD1986" t="s">
        <v>51</v>
      </c>
      <c r="AE1986" t="s">
        <v>1665</v>
      </c>
      <c r="AF1986" t="s">
        <v>1666</v>
      </c>
    </row>
    <row r="1987" spans="1:32" ht="14.5" customHeight="1" x14ac:dyDescent="0.35">
      <c r="A1987" t="s">
        <v>84</v>
      </c>
      <c r="B1987" t="s">
        <v>85</v>
      </c>
      <c r="C1987" t="s">
        <v>846</v>
      </c>
      <c r="D1987">
        <v>3001558</v>
      </c>
      <c r="E1987">
        <v>3001557</v>
      </c>
      <c r="F1987" t="s">
        <v>12</v>
      </c>
      <c r="G1987" t="s">
        <v>12</v>
      </c>
      <c r="H1987" t="s">
        <v>54</v>
      </c>
      <c r="I1987">
        <v>9921621</v>
      </c>
      <c r="J1987" s="12">
        <v>46114</v>
      </c>
      <c r="K1987" s="12">
        <v>46114</v>
      </c>
      <c r="L1987" s="12">
        <v>46145</v>
      </c>
      <c r="M1987">
        <v>-13</v>
      </c>
      <c r="N1987">
        <v>426826366</v>
      </c>
      <c r="O1987">
        <v>0</v>
      </c>
      <c r="P1987">
        <v>426826366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 t="s">
        <v>548</v>
      </c>
      <c r="AA1987" t="s">
        <v>501</v>
      </c>
      <c r="AB1987" t="s">
        <v>51</v>
      </c>
      <c r="AC1987" t="s">
        <v>51</v>
      </c>
      <c r="AD1987" t="s">
        <v>1667</v>
      </c>
      <c r="AE1987" t="s">
        <v>51</v>
      </c>
      <c r="AF1987" t="s">
        <v>1169</v>
      </c>
    </row>
    <row r="1988" spans="1:32" ht="14.5" customHeight="1" x14ac:dyDescent="0.35">
      <c r="A1988" t="s">
        <v>84</v>
      </c>
      <c r="B1988" t="s">
        <v>85</v>
      </c>
      <c r="C1988" t="s">
        <v>846</v>
      </c>
      <c r="D1988">
        <v>3001558</v>
      </c>
      <c r="E1988">
        <v>3100641</v>
      </c>
      <c r="F1988" t="s">
        <v>12</v>
      </c>
      <c r="G1988" t="s">
        <v>12</v>
      </c>
      <c r="H1988" t="s">
        <v>54</v>
      </c>
      <c r="I1988">
        <v>9921622</v>
      </c>
      <c r="J1988" s="12">
        <v>46114</v>
      </c>
      <c r="K1988" s="12">
        <v>46114</v>
      </c>
      <c r="L1988" s="12">
        <v>46145</v>
      </c>
      <c r="M1988">
        <v>-13</v>
      </c>
      <c r="N1988">
        <v>507914937</v>
      </c>
      <c r="O1988">
        <v>0</v>
      </c>
      <c r="P1988">
        <v>507914937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 t="s">
        <v>846</v>
      </c>
      <c r="AA1988" t="s">
        <v>501</v>
      </c>
      <c r="AB1988" t="s">
        <v>51</v>
      </c>
      <c r="AC1988" t="s">
        <v>51</v>
      </c>
      <c r="AD1988" t="s">
        <v>1668</v>
      </c>
      <c r="AE1988" t="s">
        <v>51</v>
      </c>
      <c r="AF1988" t="s">
        <v>106</v>
      </c>
    </row>
    <row r="1989" spans="1:32" ht="14.5" customHeight="1" x14ac:dyDescent="0.35">
      <c r="A1989" t="s">
        <v>84</v>
      </c>
      <c r="B1989" t="s">
        <v>85</v>
      </c>
      <c r="C1989" t="s">
        <v>846</v>
      </c>
      <c r="D1989">
        <v>3001558</v>
      </c>
      <c r="E1989">
        <v>3001558</v>
      </c>
      <c r="F1989" t="s">
        <v>12</v>
      </c>
      <c r="G1989" t="s">
        <v>12</v>
      </c>
      <c r="H1989" t="s">
        <v>54</v>
      </c>
      <c r="I1989">
        <v>9921624</v>
      </c>
      <c r="J1989" s="12">
        <v>46114</v>
      </c>
      <c r="K1989" s="12">
        <v>46114</v>
      </c>
      <c r="L1989" s="12">
        <v>46145</v>
      </c>
      <c r="M1989">
        <v>-13</v>
      </c>
      <c r="N1989">
        <v>313902414</v>
      </c>
      <c r="O1989">
        <v>0</v>
      </c>
      <c r="P1989">
        <v>313902414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 t="s">
        <v>548</v>
      </c>
      <c r="AA1989" t="s">
        <v>501</v>
      </c>
      <c r="AB1989" t="s">
        <v>51</v>
      </c>
      <c r="AC1989" t="s">
        <v>51</v>
      </c>
      <c r="AD1989" t="s">
        <v>1669</v>
      </c>
      <c r="AE1989" t="s">
        <v>51</v>
      </c>
      <c r="AF1989" t="s">
        <v>334</v>
      </c>
    </row>
    <row r="1990" spans="1:32" ht="14.5" customHeight="1" x14ac:dyDescent="0.35">
      <c r="A1990" t="s">
        <v>84</v>
      </c>
      <c r="B1990" t="s">
        <v>85</v>
      </c>
      <c r="C1990" t="s">
        <v>846</v>
      </c>
      <c r="D1990">
        <v>3001558</v>
      </c>
      <c r="E1990">
        <v>3001558</v>
      </c>
      <c r="F1990" t="s">
        <v>12</v>
      </c>
      <c r="G1990" t="s">
        <v>12</v>
      </c>
      <c r="H1990" t="s">
        <v>54</v>
      </c>
      <c r="I1990">
        <v>9923334</v>
      </c>
      <c r="J1990" s="12">
        <v>46121</v>
      </c>
      <c r="K1990" s="12">
        <v>46121</v>
      </c>
      <c r="L1990" s="12">
        <v>46152</v>
      </c>
      <c r="M1990">
        <v>-20</v>
      </c>
      <c r="N1990">
        <v>392274939</v>
      </c>
      <c r="O1990">
        <v>0</v>
      </c>
      <c r="P1990">
        <v>392274939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 t="s">
        <v>548</v>
      </c>
      <c r="AA1990" t="s">
        <v>501</v>
      </c>
      <c r="AB1990" t="s">
        <v>51</v>
      </c>
      <c r="AC1990" t="s">
        <v>51</v>
      </c>
      <c r="AD1990" t="s">
        <v>51</v>
      </c>
      <c r="AE1990" t="s">
        <v>1670</v>
      </c>
      <c r="AF1990" t="s">
        <v>947</v>
      </c>
    </row>
    <row r="1991" spans="1:32" ht="14.5" customHeight="1" x14ac:dyDescent="0.35">
      <c r="A1991" t="s">
        <v>84</v>
      </c>
      <c r="B1991" t="s">
        <v>85</v>
      </c>
      <c r="C1991" t="s">
        <v>846</v>
      </c>
      <c r="D1991">
        <v>3001558</v>
      </c>
      <c r="E1991">
        <v>3100641</v>
      </c>
      <c r="F1991" t="s">
        <v>12</v>
      </c>
      <c r="G1991" t="s">
        <v>12</v>
      </c>
      <c r="H1991" t="s">
        <v>54</v>
      </c>
      <c r="I1991">
        <v>9923340</v>
      </c>
      <c r="J1991" s="12">
        <v>46121</v>
      </c>
      <c r="K1991" s="12">
        <v>46121</v>
      </c>
      <c r="L1991" s="12">
        <v>46152</v>
      </c>
      <c r="M1991">
        <v>-20</v>
      </c>
      <c r="N1991">
        <v>385949158</v>
      </c>
      <c r="O1991">
        <v>0</v>
      </c>
      <c r="P1991">
        <v>385949158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 t="s">
        <v>846</v>
      </c>
      <c r="AA1991" t="s">
        <v>501</v>
      </c>
      <c r="AB1991" t="s">
        <v>51</v>
      </c>
      <c r="AC1991" t="s">
        <v>51</v>
      </c>
      <c r="AD1991" t="s">
        <v>51</v>
      </c>
      <c r="AE1991" t="s">
        <v>1671</v>
      </c>
      <c r="AF1991" t="s">
        <v>408</v>
      </c>
    </row>
    <row r="1992" spans="1:32" ht="14.5" customHeight="1" x14ac:dyDescent="0.35">
      <c r="A1992" t="s">
        <v>84</v>
      </c>
      <c r="B1992" t="s">
        <v>85</v>
      </c>
      <c r="C1992" t="s">
        <v>47</v>
      </c>
      <c r="D1992">
        <v>3001558</v>
      </c>
      <c r="E1992">
        <v>3001557</v>
      </c>
      <c r="F1992" t="s">
        <v>12</v>
      </c>
      <c r="G1992" t="s">
        <v>12</v>
      </c>
      <c r="H1992" t="s">
        <v>140</v>
      </c>
      <c r="I1992">
        <v>9924613</v>
      </c>
      <c r="J1992" s="12">
        <v>46125</v>
      </c>
      <c r="K1992" s="12">
        <v>46125</v>
      </c>
      <c r="L1992" s="12">
        <v>46155</v>
      </c>
      <c r="M1992">
        <v>-23</v>
      </c>
      <c r="N1992">
        <v>1199487</v>
      </c>
      <c r="O1992">
        <v>0</v>
      </c>
      <c r="P1992">
        <v>1199487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 t="s">
        <v>548</v>
      </c>
      <c r="AA1992" t="s">
        <v>501</v>
      </c>
      <c r="AB1992" t="s">
        <v>51</v>
      </c>
      <c r="AC1992" t="s">
        <v>51</v>
      </c>
      <c r="AD1992" t="s">
        <v>51</v>
      </c>
      <c r="AE1992" t="s">
        <v>1672</v>
      </c>
      <c r="AF1992" t="s">
        <v>787</v>
      </c>
    </row>
    <row r="1993" spans="1:32" ht="14.5" customHeight="1" x14ac:dyDescent="0.35">
      <c r="A1993" t="s">
        <v>84</v>
      </c>
      <c r="B1993" t="s">
        <v>85</v>
      </c>
      <c r="C1993" t="s">
        <v>47</v>
      </c>
      <c r="D1993">
        <v>3001558</v>
      </c>
      <c r="E1993">
        <v>3001558</v>
      </c>
      <c r="F1993" t="s">
        <v>12</v>
      </c>
      <c r="G1993" t="s">
        <v>12</v>
      </c>
      <c r="H1993" t="s">
        <v>140</v>
      </c>
      <c r="I1993">
        <v>9924614</v>
      </c>
      <c r="J1993" s="12">
        <v>46125</v>
      </c>
      <c r="K1993" s="12">
        <v>46125</v>
      </c>
      <c r="L1993" s="12">
        <v>46155</v>
      </c>
      <c r="M1993">
        <v>-23</v>
      </c>
      <c r="N1993">
        <v>387447</v>
      </c>
      <c r="O1993">
        <v>0</v>
      </c>
      <c r="P1993">
        <v>387447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 t="s">
        <v>548</v>
      </c>
      <c r="AA1993" t="s">
        <v>501</v>
      </c>
      <c r="AB1993" t="s">
        <v>51</v>
      </c>
      <c r="AC1993" t="s">
        <v>51</v>
      </c>
      <c r="AD1993" t="s">
        <v>51</v>
      </c>
      <c r="AE1993" t="s">
        <v>1673</v>
      </c>
      <c r="AF1993" t="s">
        <v>183</v>
      </c>
    </row>
    <row r="1994" spans="1:32" ht="14.5" customHeight="1" x14ac:dyDescent="0.35">
      <c r="A1994" t="s">
        <v>84</v>
      </c>
      <c r="B1994" t="s">
        <v>85</v>
      </c>
      <c r="C1994" t="s">
        <v>47</v>
      </c>
      <c r="D1994">
        <v>3001558</v>
      </c>
      <c r="E1994">
        <v>3100640</v>
      </c>
      <c r="F1994" t="s">
        <v>12</v>
      </c>
      <c r="G1994" t="s">
        <v>12</v>
      </c>
      <c r="H1994" t="s">
        <v>140</v>
      </c>
      <c r="I1994">
        <v>9924616</v>
      </c>
      <c r="J1994" s="12">
        <v>46125</v>
      </c>
      <c r="K1994" s="12">
        <v>46125</v>
      </c>
      <c r="L1994" s="12">
        <v>46155</v>
      </c>
      <c r="M1994">
        <v>-23</v>
      </c>
      <c r="N1994">
        <v>213183</v>
      </c>
      <c r="O1994">
        <v>0</v>
      </c>
      <c r="P1994">
        <v>213183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 t="s">
        <v>47</v>
      </c>
      <c r="AA1994" t="s">
        <v>501</v>
      </c>
      <c r="AB1994" t="s">
        <v>51</v>
      </c>
      <c r="AC1994" t="s">
        <v>51</v>
      </c>
      <c r="AD1994" t="s">
        <v>51</v>
      </c>
      <c r="AE1994" t="s">
        <v>1674</v>
      </c>
      <c r="AF1994" t="s">
        <v>144</v>
      </c>
    </row>
    <row r="1995" spans="1:32" ht="14.5" customHeight="1" x14ac:dyDescent="0.35">
      <c r="A1995" t="s">
        <v>84</v>
      </c>
      <c r="B1995" t="s">
        <v>85</v>
      </c>
      <c r="C1995" t="s">
        <v>846</v>
      </c>
      <c r="D1995">
        <v>3001558</v>
      </c>
      <c r="E1995">
        <v>3001557</v>
      </c>
      <c r="F1995" t="s">
        <v>12</v>
      </c>
      <c r="G1995" t="s">
        <v>12</v>
      </c>
      <c r="H1995" t="s">
        <v>54</v>
      </c>
      <c r="I1995">
        <v>9925463</v>
      </c>
      <c r="J1995" s="12">
        <v>46126</v>
      </c>
      <c r="K1995" s="12">
        <v>46126</v>
      </c>
      <c r="L1995" s="12">
        <v>46157</v>
      </c>
      <c r="M1995">
        <v>-25</v>
      </c>
      <c r="N1995">
        <v>591613377</v>
      </c>
      <c r="O1995">
        <v>0</v>
      </c>
      <c r="P1995">
        <v>591613377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 t="s">
        <v>548</v>
      </c>
      <c r="AA1995" t="s">
        <v>501</v>
      </c>
      <c r="AB1995" t="s">
        <v>51</v>
      </c>
      <c r="AC1995" t="s">
        <v>51</v>
      </c>
      <c r="AD1995" t="s">
        <v>51</v>
      </c>
      <c r="AE1995" t="s">
        <v>1675</v>
      </c>
      <c r="AF1995" t="s">
        <v>932</v>
      </c>
    </row>
    <row r="1996" spans="1:32" ht="14.5" customHeight="1" x14ac:dyDescent="0.35">
      <c r="A1996" t="s">
        <v>84</v>
      </c>
      <c r="B1996" t="s">
        <v>85</v>
      </c>
      <c r="C1996" t="s">
        <v>846</v>
      </c>
      <c r="D1996">
        <v>3001558</v>
      </c>
      <c r="E1996">
        <v>3001557</v>
      </c>
      <c r="F1996" t="s">
        <v>12</v>
      </c>
      <c r="G1996" t="s">
        <v>12</v>
      </c>
      <c r="H1996" t="s">
        <v>54</v>
      </c>
      <c r="I1996">
        <v>9926761</v>
      </c>
      <c r="J1996" s="12">
        <v>46129</v>
      </c>
      <c r="K1996" s="12">
        <v>46129</v>
      </c>
      <c r="L1996" s="12">
        <v>46160</v>
      </c>
      <c r="M1996">
        <v>-28</v>
      </c>
      <c r="N1996">
        <v>802513610</v>
      </c>
      <c r="O1996">
        <v>0</v>
      </c>
      <c r="P1996">
        <v>802513610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 t="s">
        <v>548</v>
      </c>
      <c r="AA1996" t="s">
        <v>501</v>
      </c>
      <c r="AB1996" t="s">
        <v>51</v>
      </c>
      <c r="AC1996" t="s">
        <v>51</v>
      </c>
      <c r="AD1996" t="s">
        <v>51</v>
      </c>
      <c r="AE1996" t="s">
        <v>1676</v>
      </c>
      <c r="AF1996" t="s">
        <v>62</v>
      </c>
    </row>
    <row r="1997" spans="1:32" ht="14.5" customHeight="1" x14ac:dyDescent="0.35">
      <c r="A1997" t="s">
        <v>763</v>
      </c>
      <c r="B1997" t="s">
        <v>764</v>
      </c>
      <c r="C1997" t="s">
        <v>47</v>
      </c>
      <c r="D1997">
        <v>3001562</v>
      </c>
      <c r="E1997">
        <v>3001575</v>
      </c>
      <c r="F1997" t="s">
        <v>1677</v>
      </c>
      <c r="G1997" t="s">
        <v>1677</v>
      </c>
      <c r="H1997" t="s">
        <v>111</v>
      </c>
      <c r="I1997">
        <v>6953505</v>
      </c>
      <c r="J1997" s="12">
        <v>46083</v>
      </c>
      <c r="K1997" s="12">
        <v>46083</v>
      </c>
      <c r="L1997" s="12">
        <v>46083</v>
      </c>
      <c r="M1997">
        <v>49</v>
      </c>
      <c r="N1997">
        <v>-9374083</v>
      </c>
      <c r="O1997">
        <v>-9374083</v>
      </c>
      <c r="P1997">
        <v>0</v>
      </c>
      <c r="Q1997">
        <v>0</v>
      </c>
      <c r="R1997">
        <v>-9374083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 t="s">
        <v>47</v>
      </c>
      <c r="AA1997" t="s">
        <v>501</v>
      </c>
      <c r="AB1997" t="s">
        <v>51</v>
      </c>
      <c r="AC1997" t="s">
        <v>51</v>
      </c>
      <c r="AD1997" t="s">
        <v>51</v>
      </c>
      <c r="AE1997" t="s">
        <v>51</v>
      </c>
      <c r="AF1997" t="s">
        <v>1678</v>
      </c>
    </row>
    <row r="1998" spans="1:32" ht="14.5" customHeight="1" x14ac:dyDescent="0.35">
      <c r="A1998" t="s">
        <v>763</v>
      </c>
      <c r="B1998" t="s">
        <v>764</v>
      </c>
      <c r="C1998" t="s">
        <v>47</v>
      </c>
      <c r="D1998">
        <v>3001562</v>
      </c>
      <c r="E1998">
        <v>3001575</v>
      </c>
      <c r="F1998" t="s">
        <v>1677</v>
      </c>
      <c r="G1998" t="s">
        <v>1677</v>
      </c>
      <c r="H1998" t="s">
        <v>111</v>
      </c>
      <c r="I1998">
        <v>6953506</v>
      </c>
      <c r="J1998" s="12">
        <v>46083</v>
      </c>
      <c r="K1998" s="12">
        <v>46083</v>
      </c>
      <c r="L1998" s="12">
        <v>46083</v>
      </c>
      <c r="M1998">
        <v>49</v>
      </c>
      <c r="N1998">
        <v>-32292795</v>
      </c>
      <c r="O1998">
        <v>-32292795</v>
      </c>
      <c r="P1998">
        <v>0</v>
      </c>
      <c r="Q1998">
        <v>0</v>
      </c>
      <c r="R1998">
        <v>-32292795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 t="s">
        <v>47</v>
      </c>
      <c r="AA1998" t="s">
        <v>501</v>
      </c>
      <c r="AB1998" t="s">
        <v>51</v>
      </c>
      <c r="AC1998" t="s">
        <v>51</v>
      </c>
      <c r="AD1998" t="s">
        <v>51</v>
      </c>
      <c r="AE1998" t="s">
        <v>51</v>
      </c>
      <c r="AF1998" t="s">
        <v>1679</v>
      </c>
    </row>
    <row r="1999" spans="1:32" ht="14.5" customHeight="1" x14ac:dyDescent="0.35">
      <c r="A1999" t="s">
        <v>763</v>
      </c>
      <c r="B1999" t="s">
        <v>764</v>
      </c>
      <c r="C1999" t="s">
        <v>47</v>
      </c>
      <c r="D1999">
        <v>3001562</v>
      </c>
      <c r="E1999">
        <v>3001575</v>
      </c>
      <c r="F1999" t="s">
        <v>1677</v>
      </c>
      <c r="G1999" t="s">
        <v>1677</v>
      </c>
      <c r="H1999" t="s">
        <v>111</v>
      </c>
      <c r="I1999">
        <v>6953507</v>
      </c>
      <c r="J1999" s="12">
        <v>46083</v>
      </c>
      <c r="K1999" s="12">
        <v>46083</v>
      </c>
      <c r="L1999" s="12">
        <v>46083</v>
      </c>
      <c r="M1999">
        <v>49</v>
      </c>
      <c r="N1999">
        <v>-7678314</v>
      </c>
      <c r="O1999">
        <v>-7678314</v>
      </c>
      <c r="P1999">
        <v>0</v>
      </c>
      <c r="Q1999">
        <v>0</v>
      </c>
      <c r="R1999">
        <v>-7678314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 t="s">
        <v>47</v>
      </c>
      <c r="AA1999" t="s">
        <v>501</v>
      </c>
      <c r="AB1999" t="s">
        <v>51</v>
      </c>
      <c r="AC1999" t="s">
        <v>51</v>
      </c>
      <c r="AD1999" t="s">
        <v>51</v>
      </c>
      <c r="AE1999" t="s">
        <v>51</v>
      </c>
      <c r="AF1999" t="s">
        <v>1680</v>
      </c>
    </row>
    <row r="2000" spans="1:32" ht="14.5" customHeight="1" x14ac:dyDescent="0.35">
      <c r="A2000" t="s">
        <v>763</v>
      </c>
      <c r="B2000" t="s">
        <v>764</v>
      </c>
      <c r="C2000" t="s">
        <v>47</v>
      </c>
      <c r="D2000">
        <v>3001562</v>
      </c>
      <c r="E2000">
        <v>3001575</v>
      </c>
      <c r="F2000" t="s">
        <v>1677</v>
      </c>
      <c r="G2000" t="s">
        <v>1677</v>
      </c>
      <c r="H2000" t="s">
        <v>111</v>
      </c>
      <c r="I2000">
        <v>6953508</v>
      </c>
      <c r="J2000" s="12">
        <v>46083</v>
      </c>
      <c r="K2000" s="12">
        <v>46083</v>
      </c>
      <c r="L2000" s="12">
        <v>46083</v>
      </c>
      <c r="M2000">
        <v>49</v>
      </c>
      <c r="N2000">
        <v>-7806239</v>
      </c>
      <c r="O2000">
        <v>-7806239</v>
      </c>
      <c r="P2000">
        <v>0</v>
      </c>
      <c r="Q2000">
        <v>0</v>
      </c>
      <c r="R2000">
        <v>-7806239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 t="s">
        <v>47</v>
      </c>
      <c r="AA2000" t="s">
        <v>501</v>
      </c>
      <c r="AB2000" t="s">
        <v>51</v>
      </c>
      <c r="AC2000" t="s">
        <v>51</v>
      </c>
      <c r="AD2000" t="s">
        <v>51</v>
      </c>
      <c r="AE2000" t="s">
        <v>51</v>
      </c>
      <c r="AF2000" t="s">
        <v>1681</v>
      </c>
    </row>
    <row r="2001" spans="1:32" ht="14.5" customHeight="1" x14ac:dyDescent="0.35">
      <c r="A2001" t="s">
        <v>763</v>
      </c>
      <c r="B2001" t="s">
        <v>764</v>
      </c>
      <c r="C2001" t="s">
        <v>47</v>
      </c>
      <c r="D2001">
        <v>3001562</v>
      </c>
      <c r="E2001">
        <v>3001575</v>
      </c>
      <c r="F2001" t="s">
        <v>1677</v>
      </c>
      <c r="G2001" t="s">
        <v>1677</v>
      </c>
      <c r="H2001" t="s">
        <v>111</v>
      </c>
      <c r="I2001">
        <v>6953509</v>
      </c>
      <c r="J2001" s="12">
        <v>46083</v>
      </c>
      <c r="K2001" s="12">
        <v>46083</v>
      </c>
      <c r="L2001" s="12">
        <v>46083</v>
      </c>
      <c r="M2001">
        <v>49</v>
      </c>
      <c r="N2001">
        <v>-1218833</v>
      </c>
      <c r="O2001">
        <v>-1218833</v>
      </c>
      <c r="P2001">
        <v>0</v>
      </c>
      <c r="Q2001">
        <v>0</v>
      </c>
      <c r="R2001">
        <v>-1218833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 t="s">
        <v>47</v>
      </c>
      <c r="AA2001" t="s">
        <v>501</v>
      </c>
      <c r="AB2001" t="s">
        <v>51</v>
      </c>
      <c r="AC2001" t="s">
        <v>51</v>
      </c>
      <c r="AD2001" t="s">
        <v>51</v>
      </c>
      <c r="AE2001" t="s">
        <v>51</v>
      </c>
      <c r="AF2001" t="s">
        <v>1682</v>
      </c>
    </row>
    <row r="2002" spans="1:32" ht="14.5" customHeight="1" x14ac:dyDescent="0.35">
      <c r="A2002" t="s">
        <v>763</v>
      </c>
      <c r="B2002" t="s">
        <v>764</v>
      </c>
      <c r="C2002" t="s">
        <v>47</v>
      </c>
      <c r="D2002">
        <v>3001562</v>
      </c>
      <c r="E2002">
        <v>3001575</v>
      </c>
      <c r="F2002" t="s">
        <v>1677</v>
      </c>
      <c r="G2002" t="s">
        <v>1677</v>
      </c>
      <c r="H2002" t="s">
        <v>111</v>
      </c>
      <c r="I2002">
        <v>6953510</v>
      </c>
      <c r="J2002" s="12">
        <v>46083</v>
      </c>
      <c r="K2002" s="12">
        <v>46083</v>
      </c>
      <c r="L2002" s="12">
        <v>46083</v>
      </c>
      <c r="M2002">
        <v>49</v>
      </c>
      <c r="N2002">
        <v>-221658120</v>
      </c>
      <c r="O2002">
        <v>-221658120</v>
      </c>
      <c r="P2002">
        <v>0</v>
      </c>
      <c r="Q2002">
        <v>0</v>
      </c>
      <c r="R2002">
        <v>-221658120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 t="s">
        <v>47</v>
      </c>
      <c r="AA2002" t="s">
        <v>501</v>
      </c>
      <c r="AB2002" t="s">
        <v>51</v>
      </c>
      <c r="AC2002" t="s">
        <v>51</v>
      </c>
      <c r="AD2002" t="s">
        <v>51</v>
      </c>
      <c r="AE2002" t="s">
        <v>51</v>
      </c>
      <c r="AF2002" t="s">
        <v>450</v>
      </c>
    </row>
    <row r="2003" spans="1:32" ht="14.5" customHeight="1" x14ac:dyDescent="0.35">
      <c r="A2003" t="s">
        <v>763</v>
      </c>
      <c r="B2003" t="s">
        <v>764</v>
      </c>
      <c r="C2003" t="s">
        <v>47</v>
      </c>
      <c r="D2003">
        <v>3001562</v>
      </c>
      <c r="E2003">
        <v>3001575</v>
      </c>
      <c r="F2003" t="s">
        <v>1677</v>
      </c>
      <c r="G2003" t="s">
        <v>1677</v>
      </c>
      <c r="H2003" t="s">
        <v>111</v>
      </c>
      <c r="I2003">
        <v>6953511</v>
      </c>
      <c r="J2003" s="12">
        <v>46083</v>
      </c>
      <c r="K2003" s="12">
        <v>46083</v>
      </c>
      <c r="L2003" s="12">
        <v>46083</v>
      </c>
      <c r="M2003">
        <v>49</v>
      </c>
      <c r="N2003">
        <v>-59469751</v>
      </c>
      <c r="O2003">
        <v>-59469751</v>
      </c>
      <c r="P2003">
        <v>0</v>
      </c>
      <c r="Q2003">
        <v>0</v>
      </c>
      <c r="R2003">
        <v>-59469751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 t="s">
        <v>47</v>
      </c>
      <c r="AA2003" t="s">
        <v>501</v>
      </c>
      <c r="AB2003" t="s">
        <v>51</v>
      </c>
      <c r="AC2003" t="s">
        <v>51</v>
      </c>
      <c r="AD2003" t="s">
        <v>51</v>
      </c>
      <c r="AE2003" t="s">
        <v>51</v>
      </c>
      <c r="AF2003" t="s">
        <v>1683</v>
      </c>
    </row>
    <row r="2004" spans="1:32" ht="14.5" customHeight="1" x14ac:dyDescent="0.35">
      <c r="A2004" t="s">
        <v>763</v>
      </c>
      <c r="B2004" t="s">
        <v>764</v>
      </c>
      <c r="C2004" t="s">
        <v>47</v>
      </c>
      <c r="D2004">
        <v>3001562</v>
      </c>
      <c r="E2004">
        <v>3001575</v>
      </c>
      <c r="F2004" t="s">
        <v>1677</v>
      </c>
      <c r="G2004" t="s">
        <v>1677</v>
      </c>
      <c r="H2004" t="s">
        <v>111</v>
      </c>
      <c r="I2004">
        <v>6953512</v>
      </c>
      <c r="J2004" s="12">
        <v>46083</v>
      </c>
      <c r="K2004" s="12">
        <v>46083</v>
      </c>
      <c r="L2004" s="12">
        <v>46083</v>
      </c>
      <c r="M2004">
        <v>49</v>
      </c>
      <c r="N2004">
        <v>-3047083</v>
      </c>
      <c r="O2004">
        <v>-3047083</v>
      </c>
      <c r="P2004">
        <v>0</v>
      </c>
      <c r="Q2004">
        <v>0</v>
      </c>
      <c r="R2004">
        <v>-3047083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 t="s">
        <v>47</v>
      </c>
      <c r="AA2004" t="s">
        <v>501</v>
      </c>
      <c r="AB2004" t="s">
        <v>51</v>
      </c>
      <c r="AC2004" t="s">
        <v>51</v>
      </c>
      <c r="AD2004" t="s">
        <v>51</v>
      </c>
      <c r="AE2004" t="s">
        <v>51</v>
      </c>
      <c r="AF2004" t="s">
        <v>1682</v>
      </c>
    </row>
    <row r="2005" spans="1:32" ht="14.5" customHeight="1" x14ac:dyDescent="0.35">
      <c r="A2005" t="s">
        <v>763</v>
      </c>
      <c r="B2005" t="s">
        <v>764</v>
      </c>
      <c r="C2005" t="s">
        <v>47</v>
      </c>
      <c r="D2005">
        <v>3001562</v>
      </c>
      <c r="E2005">
        <v>3001575</v>
      </c>
      <c r="F2005" t="s">
        <v>1677</v>
      </c>
      <c r="G2005" t="s">
        <v>1677</v>
      </c>
      <c r="H2005" t="s">
        <v>111</v>
      </c>
      <c r="I2005">
        <v>6953513</v>
      </c>
      <c r="J2005" s="12">
        <v>46083</v>
      </c>
      <c r="K2005" s="12">
        <v>46083</v>
      </c>
      <c r="L2005" s="12">
        <v>46083</v>
      </c>
      <c r="M2005">
        <v>49</v>
      </c>
      <c r="N2005">
        <v>-3047083</v>
      </c>
      <c r="O2005">
        <v>-3047083</v>
      </c>
      <c r="P2005">
        <v>0</v>
      </c>
      <c r="Q2005">
        <v>0</v>
      </c>
      <c r="R2005">
        <v>-3047083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 t="s">
        <v>47</v>
      </c>
      <c r="AA2005" t="s">
        <v>501</v>
      </c>
      <c r="AB2005" t="s">
        <v>51</v>
      </c>
      <c r="AC2005" t="s">
        <v>51</v>
      </c>
      <c r="AD2005" t="s">
        <v>51</v>
      </c>
      <c r="AE2005" t="s">
        <v>51</v>
      </c>
      <c r="AF2005" t="s">
        <v>1682</v>
      </c>
    </row>
    <row r="2006" spans="1:32" ht="14.5" customHeight="1" x14ac:dyDescent="0.35">
      <c r="A2006" t="s">
        <v>763</v>
      </c>
      <c r="B2006" t="s">
        <v>764</v>
      </c>
      <c r="C2006" t="s">
        <v>47</v>
      </c>
      <c r="D2006">
        <v>3001562</v>
      </c>
      <c r="E2006">
        <v>3001575</v>
      </c>
      <c r="F2006" t="s">
        <v>1677</v>
      </c>
      <c r="G2006" t="s">
        <v>1677</v>
      </c>
      <c r="H2006" t="s">
        <v>111</v>
      </c>
      <c r="I2006">
        <v>6953514</v>
      </c>
      <c r="J2006" s="12">
        <v>46083</v>
      </c>
      <c r="K2006" s="12">
        <v>46083</v>
      </c>
      <c r="L2006" s="12">
        <v>46083</v>
      </c>
      <c r="M2006">
        <v>49</v>
      </c>
      <c r="N2006">
        <v>-492414</v>
      </c>
      <c r="O2006">
        <v>-492414</v>
      </c>
      <c r="P2006">
        <v>0</v>
      </c>
      <c r="Q2006">
        <v>0</v>
      </c>
      <c r="R2006">
        <v>-492414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 t="s">
        <v>47</v>
      </c>
      <c r="AA2006" t="s">
        <v>501</v>
      </c>
      <c r="AB2006" t="s">
        <v>51</v>
      </c>
      <c r="AC2006" t="s">
        <v>51</v>
      </c>
      <c r="AD2006" t="s">
        <v>51</v>
      </c>
      <c r="AE2006" t="s">
        <v>51</v>
      </c>
      <c r="AF2006" t="s">
        <v>452</v>
      </c>
    </row>
    <row r="2007" spans="1:32" ht="14.5" customHeight="1" x14ac:dyDescent="0.35">
      <c r="A2007" t="s">
        <v>763</v>
      </c>
      <c r="B2007" t="s">
        <v>764</v>
      </c>
      <c r="C2007" t="s">
        <v>47</v>
      </c>
      <c r="D2007">
        <v>3001562</v>
      </c>
      <c r="E2007">
        <v>3001575</v>
      </c>
      <c r="F2007" t="s">
        <v>1677</v>
      </c>
      <c r="G2007" t="s">
        <v>1677</v>
      </c>
      <c r="H2007" t="s">
        <v>111</v>
      </c>
      <c r="I2007">
        <v>6953515</v>
      </c>
      <c r="J2007" s="12">
        <v>46083</v>
      </c>
      <c r="K2007" s="12">
        <v>46083</v>
      </c>
      <c r="L2007" s="12">
        <v>46083</v>
      </c>
      <c r="M2007">
        <v>49</v>
      </c>
      <c r="N2007">
        <v>-2681369</v>
      </c>
      <c r="O2007">
        <v>-2681369</v>
      </c>
      <c r="P2007">
        <v>0</v>
      </c>
      <c r="Q2007">
        <v>0</v>
      </c>
      <c r="R2007">
        <v>-2681369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 t="s">
        <v>47</v>
      </c>
      <c r="AA2007" t="s">
        <v>501</v>
      </c>
      <c r="AB2007" t="s">
        <v>51</v>
      </c>
      <c r="AC2007" t="s">
        <v>51</v>
      </c>
      <c r="AD2007" t="s">
        <v>51</v>
      </c>
      <c r="AE2007" t="s">
        <v>51</v>
      </c>
      <c r="AF2007" t="s">
        <v>1684</v>
      </c>
    </row>
    <row r="2008" spans="1:32" ht="14.5" customHeight="1" x14ac:dyDescent="0.35">
      <c r="A2008" t="s">
        <v>763</v>
      </c>
      <c r="B2008" t="s">
        <v>764</v>
      </c>
      <c r="C2008" t="s">
        <v>47</v>
      </c>
      <c r="D2008">
        <v>3001562</v>
      </c>
      <c r="E2008">
        <v>3001575</v>
      </c>
      <c r="F2008" t="s">
        <v>1677</v>
      </c>
      <c r="G2008" t="s">
        <v>1677</v>
      </c>
      <c r="H2008" t="s">
        <v>111</v>
      </c>
      <c r="I2008">
        <v>6953516</v>
      </c>
      <c r="J2008" s="12">
        <v>46083</v>
      </c>
      <c r="K2008" s="12">
        <v>46083</v>
      </c>
      <c r="L2008" s="12">
        <v>46083</v>
      </c>
      <c r="M2008">
        <v>49</v>
      </c>
      <c r="N2008">
        <v>-15623747</v>
      </c>
      <c r="O2008">
        <v>-15623747</v>
      </c>
      <c r="P2008">
        <v>0</v>
      </c>
      <c r="Q2008">
        <v>0</v>
      </c>
      <c r="R2008">
        <v>-15623747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 t="s">
        <v>47</v>
      </c>
      <c r="AA2008" t="s">
        <v>501</v>
      </c>
      <c r="AB2008" t="s">
        <v>51</v>
      </c>
      <c r="AC2008" t="s">
        <v>51</v>
      </c>
      <c r="AD2008" t="s">
        <v>51</v>
      </c>
      <c r="AE2008" t="s">
        <v>51</v>
      </c>
      <c r="AF2008" t="s">
        <v>1571</v>
      </c>
    </row>
    <row r="2009" spans="1:32" ht="14.5" customHeight="1" x14ac:dyDescent="0.35">
      <c r="A2009" t="s">
        <v>763</v>
      </c>
      <c r="B2009" t="s">
        <v>764</v>
      </c>
      <c r="C2009" t="s">
        <v>47</v>
      </c>
      <c r="D2009">
        <v>3001562</v>
      </c>
      <c r="E2009">
        <v>3001575</v>
      </c>
      <c r="F2009" t="s">
        <v>1677</v>
      </c>
      <c r="G2009" t="s">
        <v>1677</v>
      </c>
      <c r="H2009" t="s">
        <v>111</v>
      </c>
      <c r="I2009">
        <v>6953517</v>
      </c>
      <c r="J2009" s="12">
        <v>46083</v>
      </c>
      <c r="K2009" s="12">
        <v>46083</v>
      </c>
      <c r="L2009" s="12">
        <v>46083</v>
      </c>
      <c r="M2009">
        <v>49</v>
      </c>
      <c r="N2009">
        <v>-3228129</v>
      </c>
      <c r="O2009">
        <v>-3228129</v>
      </c>
      <c r="P2009">
        <v>0</v>
      </c>
      <c r="Q2009">
        <v>0</v>
      </c>
      <c r="R2009">
        <v>-3228129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 t="s">
        <v>47</v>
      </c>
      <c r="AA2009" t="s">
        <v>501</v>
      </c>
      <c r="AB2009" t="s">
        <v>51</v>
      </c>
      <c r="AC2009" t="s">
        <v>51</v>
      </c>
      <c r="AD2009" t="s">
        <v>51</v>
      </c>
      <c r="AE2009" t="s">
        <v>51</v>
      </c>
      <c r="AF2009" t="s">
        <v>593</v>
      </c>
    </row>
    <row r="2010" spans="1:32" ht="14.5" customHeight="1" x14ac:dyDescent="0.35">
      <c r="A2010" t="s">
        <v>763</v>
      </c>
      <c r="B2010" t="s">
        <v>764</v>
      </c>
      <c r="C2010" t="s">
        <v>47</v>
      </c>
      <c r="D2010">
        <v>3001562</v>
      </c>
      <c r="E2010">
        <v>3001575</v>
      </c>
      <c r="F2010" t="s">
        <v>1677</v>
      </c>
      <c r="G2010" t="s">
        <v>1677</v>
      </c>
      <c r="H2010" t="s">
        <v>111</v>
      </c>
      <c r="I2010">
        <v>6953518</v>
      </c>
      <c r="J2010" s="12">
        <v>46083</v>
      </c>
      <c r="K2010" s="12">
        <v>46083</v>
      </c>
      <c r="L2010" s="12">
        <v>46083</v>
      </c>
      <c r="M2010">
        <v>49</v>
      </c>
      <c r="N2010">
        <v>-3083513</v>
      </c>
      <c r="O2010">
        <v>-3083513</v>
      </c>
      <c r="P2010">
        <v>0</v>
      </c>
      <c r="Q2010">
        <v>0</v>
      </c>
      <c r="R2010">
        <v>-3083513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 t="s">
        <v>47</v>
      </c>
      <c r="AA2010" t="s">
        <v>501</v>
      </c>
      <c r="AB2010" t="s">
        <v>51</v>
      </c>
      <c r="AC2010" t="s">
        <v>51</v>
      </c>
      <c r="AD2010" t="s">
        <v>51</v>
      </c>
      <c r="AE2010" t="s">
        <v>51</v>
      </c>
      <c r="AF2010" t="s">
        <v>1685</v>
      </c>
    </row>
    <row r="2011" spans="1:32" ht="14.5" customHeight="1" x14ac:dyDescent="0.35">
      <c r="A2011" t="s">
        <v>763</v>
      </c>
      <c r="B2011" t="s">
        <v>764</v>
      </c>
      <c r="C2011" t="s">
        <v>47</v>
      </c>
      <c r="D2011">
        <v>3001562</v>
      </c>
      <c r="E2011">
        <v>3001575</v>
      </c>
      <c r="F2011" t="s">
        <v>1677</v>
      </c>
      <c r="G2011" t="s">
        <v>1677</v>
      </c>
      <c r="H2011" t="s">
        <v>111</v>
      </c>
      <c r="I2011">
        <v>6953519</v>
      </c>
      <c r="J2011" s="12">
        <v>46083</v>
      </c>
      <c r="K2011" s="12">
        <v>46083</v>
      </c>
      <c r="L2011" s="12">
        <v>46083</v>
      </c>
      <c r="M2011">
        <v>49</v>
      </c>
      <c r="N2011">
        <v>-8610980</v>
      </c>
      <c r="O2011">
        <v>-8610980</v>
      </c>
      <c r="P2011">
        <v>0</v>
      </c>
      <c r="Q2011">
        <v>0</v>
      </c>
      <c r="R2011">
        <v>-8610980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 t="s">
        <v>47</v>
      </c>
      <c r="AA2011" t="s">
        <v>501</v>
      </c>
      <c r="AB2011" t="s">
        <v>51</v>
      </c>
      <c r="AC2011" t="s">
        <v>51</v>
      </c>
      <c r="AD2011" t="s">
        <v>51</v>
      </c>
      <c r="AE2011" t="s">
        <v>51</v>
      </c>
      <c r="AF2011" t="s">
        <v>1686</v>
      </c>
    </row>
    <row r="2012" spans="1:32" ht="14.5" customHeight="1" x14ac:dyDescent="0.35">
      <c r="A2012" t="s">
        <v>763</v>
      </c>
      <c r="B2012" t="s">
        <v>764</v>
      </c>
      <c r="C2012" t="s">
        <v>47</v>
      </c>
      <c r="D2012">
        <v>3001562</v>
      </c>
      <c r="E2012">
        <v>3001575</v>
      </c>
      <c r="F2012" t="s">
        <v>1677</v>
      </c>
      <c r="G2012" t="s">
        <v>1677</v>
      </c>
      <c r="H2012" t="s">
        <v>111</v>
      </c>
      <c r="I2012">
        <v>6953520</v>
      </c>
      <c r="J2012" s="12">
        <v>46083</v>
      </c>
      <c r="K2012" s="12">
        <v>46083</v>
      </c>
      <c r="L2012" s="12">
        <v>46083</v>
      </c>
      <c r="M2012">
        <v>49</v>
      </c>
      <c r="N2012">
        <v>-840958</v>
      </c>
      <c r="O2012">
        <v>-840958</v>
      </c>
      <c r="P2012">
        <v>0</v>
      </c>
      <c r="Q2012">
        <v>0</v>
      </c>
      <c r="R2012">
        <v>-840958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 t="s">
        <v>47</v>
      </c>
      <c r="AA2012" t="s">
        <v>501</v>
      </c>
      <c r="AB2012" t="s">
        <v>51</v>
      </c>
      <c r="AC2012" t="s">
        <v>51</v>
      </c>
      <c r="AD2012" t="s">
        <v>51</v>
      </c>
      <c r="AE2012" t="s">
        <v>51</v>
      </c>
      <c r="AF2012" t="s">
        <v>1687</v>
      </c>
    </row>
    <row r="2013" spans="1:32" ht="14.5" customHeight="1" x14ac:dyDescent="0.35">
      <c r="A2013" t="s">
        <v>763</v>
      </c>
      <c r="B2013" t="s">
        <v>764</v>
      </c>
      <c r="C2013" t="s">
        <v>47</v>
      </c>
      <c r="D2013">
        <v>3001562</v>
      </c>
      <c r="E2013">
        <v>3001575</v>
      </c>
      <c r="F2013" t="s">
        <v>1677</v>
      </c>
      <c r="G2013" t="s">
        <v>1677</v>
      </c>
      <c r="H2013" t="s">
        <v>111</v>
      </c>
      <c r="I2013">
        <v>6953521</v>
      </c>
      <c r="J2013" s="12">
        <v>46083</v>
      </c>
      <c r="K2013" s="12">
        <v>46083</v>
      </c>
      <c r="L2013" s="12">
        <v>46083</v>
      </c>
      <c r="M2013">
        <v>49</v>
      </c>
      <c r="N2013">
        <v>-4241354</v>
      </c>
      <c r="O2013">
        <v>-4241354</v>
      </c>
      <c r="P2013">
        <v>0</v>
      </c>
      <c r="Q2013">
        <v>0</v>
      </c>
      <c r="R2013">
        <v>-4241354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 t="s">
        <v>47</v>
      </c>
      <c r="AA2013" t="s">
        <v>501</v>
      </c>
      <c r="AB2013" t="s">
        <v>51</v>
      </c>
      <c r="AC2013" t="s">
        <v>51</v>
      </c>
      <c r="AD2013" t="s">
        <v>51</v>
      </c>
      <c r="AE2013" t="s">
        <v>51</v>
      </c>
      <c r="AF2013" t="s">
        <v>1688</v>
      </c>
    </row>
    <row r="2014" spans="1:32" ht="14.5" customHeight="1" x14ac:dyDescent="0.35">
      <c r="A2014" t="s">
        <v>763</v>
      </c>
      <c r="B2014" t="s">
        <v>764</v>
      </c>
      <c r="C2014" t="s">
        <v>47</v>
      </c>
      <c r="D2014">
        <v>3001562</v>
      </c>
      <c r="E2014">
        <v>3001575</v>
      </c>
      <c r="F2014" t="s">
        <v>1677</v>
      </c>
      <c r="G2014" t="s">
        <v>1677</v>
      </c>
      <c r="H2014" t="s">
        <v>111</v>
      </c>
      <c r="I2014">
        <v>6953522</v>
      </c>
      <c r="J2014" s="12">
        <v>46083</v>
      </c>
      <c r="K2014" s="12">
        <v>46083</v>
      </c>
      <c r="L2014" s="12">
        <v>46083</v>
      </c>
      <c r="M2014">
        <v>49</v>
      </c>
      <c r="N2014">
        <v>-8344767</v>
      </c>
      <c r="O2014">
        <v>-8344767</v>
      </c>
      <c r="P2014">
        <v>0</v>
      </c>
      <c r="Q2014">
        <v>0</v>
      </c>
      <c r="R2014">
        <v>-8344767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 t="s">
        <v>47</v>
      </c>
      <c r="AA2014" t="s">
        <v>501</v>
      </c>
      <c r="AB2014" t="s">
        <v>51</v>
      </c>
      <c r="AC2014" t="s">
        <v>51</v>
      </c>
      <c r="AD2014" t="s">
        <v>51</v>
      </c>
      <c r="AE2014" t="s">
        <v>51</v>
      </c>
      <c r="AF2014" t="s">
        <v>821</v>
      </c>
    </row>
    <row r="2015" spans="1:32" ht="14.5" customHeight="1" x14ac:dyDescent="0.35">
      <c r="A2015" t="s">
        <v>763</v>
      </c>
      <c r="B2015" t="s">
        <v>764</v>
      </c>
      <c r="C2015" t="s">
        <v>47</v>
      </c>
      <c r="D2015">
        <v>3001562</v>
      </c>
      <c r="E2015">
        <v>3001575</v>
      </c>
      <c r="F2015" t="s">
        <v>1677</v>
      </c>
      <c r="G2015" t="s">
        <v>1677</v>
      </c>
      <c r="H2015" t="s">
        <v>111</v>
      </c>
      <c r="I2015">
        <v>6953523</v>
      </c>
      <c r="J2015" s="12">
        <v>46083</v>
      </c>
      <c r="K2015" s="12">
        <v>46083</v>
      </c>
      <c r="L2015" s="12">
        <v>46083</v>
      </c>
      <c r="M2015">
        <v>49</v>
      </c>
      <c r="N2015">
        <v>-5888825</v>
      </c>
      <c r="O2015">
        <v>-5888825</v>
      </c>
      <c r="P2015">
        <v>0</v>
      </c>
      <c r="Q2015">
        <v>0</v>
      </c>
      <c r="R2015">
        <v>-5888825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 t="s">
        <v>47</v>
      </c>
      <c r="AA2015" t="s">
        <v>501</v>
      </c>
      <c r="AB2015" t="s">
        <v>51</v>
      </c>
      <c r="AC2015" t="s">
        <v>51</v>
      </c>
      <c r="AD2015" t="s">
        <v>51</v>
      </c>
      <c r="AE2015" t="s">
        <v>51</v>
      </c>
      <c r="AF2015" t="s">
        <v>1689</v>
      </c>
    </row>
    <row r="2016" spans="1:32" ht="14.5" customHeight="1" x14ac:dyDescent="0.35">
      <c r="A2016" t="s">
        <v>763</v>
      </c>
      <c r="B2016" t="s">
        <v>764</v>
      </c>
      <c r="C2016" t="s">
        <v>47</v>
      </c>
      <c r="D2016">
        <v>3001562</v>
      </c>
      <c r="E2016">
        <v>3001575</v>
      </c>
      <c r="F2016" t="s">
        <v>1677</v>
      </c>
      <c r="G2016" t="s">
        <v>1677</v>
      </c>
      <c r="H2016" t="s">
        <v>111</v>
      </c>
      <c r="I2016">
        <v>6953524</v>
      </c>
      <c r="J2016" s="12">
        <v>46083</v>
      </c>
      <c r="K2016" s="12">
        <v>46083</v>
      </c>
      <c r="L2016" s="12">
        <v>46083</v>
      </c>
      <c r="M2016">
        <v>49</v>
      </c>
      <c r="N2016">
        <v>-5298190</v>
      </c>
      <c r="O2016">
        <v>-5298190</v>
      </c>
      <c r="P2016">
        <v>0</v>
      </c>
      <c r="Q2016">
        <v>0</v>
      </c>
      <c r="R2016">
        <v>-5298190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 t="s">
        <v>47</v>
      </c>
      <c r="AA2016" t="s">
        <v>501</v>
      </c>
      <c r="AB2016" t="s">
        <v>51</v>
      </c>
      <c r="AC2016" t="s">
        <v>51</v>
      </c>
      <c r="AD2016" t="s">
        <v>51</v>
      </c>
      <c r="AE2016" t="s">
        <v>51</v>
      </c>
      <c r="AF2016" t="s">
        <v>1690</v>
      </c>
    </row>
    <row r="2017" spans="1:32" ht="14.5" customHeight="1" x14ac:dyDescent="0.35">
      <c r="A2017" t="s">
        <v>763</v>
      </c>
      <c r="B2017" t="s">
        <v>764</v>
      </c>
      <c r="C2017" t="s">
        <v>47</v>
      </c>
      <c r="D2017">
        <v>3001562</v>
      </c>
      <c r="E2017">
        <v>3001575</v>
      </c>
      <c r="F2017" t="s">
        <v>1677</v>
      </c>
      <c r="G2017" t="s">
        <v>1677</v>
      </c>
      <c r="H2017" t="s">
        <v>111</v>
      </c>
      <c r="I2017">
        <v>6953525</v>
      </c>
      <c r="J2017" s="12">
        <v>46083</v>
      </c>
      <c r="K2017" s="12">
        <v>46083</v>
      </c>
      <c r="L2017" s="12">
        <v>46083</v>
      </c>
      <c r="M2017">
        <v>49</v>
      </c>
      <c r="N2017">
        <v>-1634844</v>
      </c>
      <c r="O2017">
        <v>-1634844</v>
      </c>
      <c r="P2017">
        <v>0</v>
      </c>
      <c r="Q2017">
        <v>0</v>
      </c>
      <c r="R2017">
        <v>-1634844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 t="s">
        <v>47</v>
      </c>
      <c r="AA2017" t="s">
        <v>501</v>
      </c>
      <c r="AB2017" t="s">
        <v>51</v>
      </c>
      <c r="AC2017" t="s">
        <v>51</v>
      </c>
      <c r="AD2017" t="s">
        <v>51</v>
      </c>
      <c r="AE2017" t="s">
        <v>51</v>
      </c>
      <c r="AF2017" t="s">
        <v>758</v>
      </c>
    </row>
    <row r="2018" spans="1:32" ht="14.5" customHeight="1" x14ac:dyDescent="0.35">
      <c r="A2018" t="s">
        <v>763</v>
      </c>
      <c r="B2018" t="s">
        <v>764</v>
      </c>
      <c r="C2018" t="s">
        <v>47</v>
      </c>
      <c r="D2018">
        <v>3001562</v>
      </c>
      <c r="E2018">
        <v>3001575</v>
      </c>
      <c r="F2018" t="s">
        <v>1677</v>
      </c>
      <c r="G2018" t="s">
        <v>1677</v>
      </c>
      <c r="H2018" t="s">
        <v>111</v>
      </c>
      <c r="I2018">
        <v>6953526</v>
      </c>
      <c r="J2018" s="12">
        <v>46083</v>
      </c>
      <c r="K2018" s="12">
        <v>46083</v>
      </c>
      <c r="L2018" s="12">
        <v>46083</v>
      </c>
      <c r="M2018">
        <v>49</v>
      </c>
      <c r="N2018">
        <v>-2717946</v>
      </c>
      <c r="O2018">
        <v>-2717946</v>
      </c>
      <c r="P2018">
        <v>0</v>
      </c>
      <c r="Q2018">
        <v>0</v>
      </c>
      <c r="R2018">
        <v>-2717946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 t="s">
        <v>47</v>
      </c>
      <c r="AA2018" t="s">
        <v>501</v>
      </c>
      <c r="AB2018" t="s">
        <v>51</v>
      </c>
      <c r="AC2018" t="s">
        <v>51</v>
      </c>
      <c r="AD2018" t="s">
        <v>51</v>
      </c>
      <c r="AE2018" t="s">
        <v>51</v>
      </c>
      <c r="AF2018" t="s">
        <v>1167</v>
      </c>
    </row>
    <row r="2019" spans="1:32" ht="14.5" customHeight="1" x14ac:dyDescent="0.35">
      <c r="A2019" t="s">
        <v>763</v>
      </c>
      <c r="B2019" t="s">
        <v>764</v>
      </c>
      <c r="C2019" t="s">
        <v>47</v>
      </c>
      <c r="D2019">
        <v>3001562</v>
      </c>
      <c r="E2019">
        <v>3001575</v>
      </c>
      <c r="F2019" t="s">
        <v>1677</v>
      </c>
      <c r="G2019" t="s">
        <v>1677</v>
      </c>
      <c r="H2019" t="s">
        <v>111</v>
      </c>
      <c r="I2019">
        <v>6953527</v>
      </c>
      <c r="J2019" s="12">
        <v>46083</v>
      </c>
      <c r="K2019" s="12">
        <v>46083</v>
      </c>
      <c r="L2019" s="12">
        <v>46083</v>
      </c>
      <c r="M2019">
        <v>49</v>
      </c>
      <c r="N2019">
        <v>-507172</v>
      </c>
      <c r="O2019">
        <v>-507172</v>
      </c>
      <c r="P2019">
        <v>0</v>
      </c>
      <c r="Q2019">
        <v>0</v>
      </c>
      <c r="R2019">
        <v>-507172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 t="s">
        <v>47</v>
      </c>
      <c r="AA2019" t="s">
        <v>501</v>
      </c>
      <c r="AB2019" t="s">
        <v>51</v>
      </c>
      <c r="AC2019" t="s">
        <v>51</v>
      </c>
      <c r="AD2019" t="s">
        <v>51</v>
      </c>
      <c r="AE2019" t="s">
        <v>51</v>
      </c>
      <c r="AF2019" t="s">
        <v>452</v>
      </c>
    </row>
    <row r="2020" spans="1:32" ht="14.5" customHeight="1" x14ac:dyDescent="0.35">
      <c r="A2020" t="s">
        <v>763</v>
      </c>
      <c r="B2020" t="s">
        <v>764</v>
      </c>
      <c r="C2020" t="s">
        <v>47</v>
      </c>
      <c r="D2020">
        <v>3001562</v>
      </c>
      <c r="E2020">
        <v>3001575</v>
      </c>
      <c r="F2020" t="s">
        <v>1677</v>
      </c>
      <c r="G2020" t="s">
        <v>1677</v>
      </c>
      <c r="H2020" t="s">
        <v>111</v>
      </c>
      <c r="I2020">
        <v>6953528</v>
      </c>
      <c r="J2020" s="12">
        <v>46083</v>
      </c>
      <c r="K2020" s="12">
        <v>46083</v>
      </c>
      <c r="L2020" s="12">
        <v>46083</v>
      </c>
      <c r="M2020">
        <v>49</v>
      </c>
      <c r="N2020">
        <v>-97040023</v>
      </c>
      <c r="O2020">
        <v>-97040023</v>
      </c>
      <c r="P2020">
        <v>0</v>
      </c>
      <c r="Q2020">
        <v>0</v>
      </c>
      <c r="R2020">
        <v>-97040023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 t="s">
        <v>47</v>
      </c>
      <c r="AA2020" t="s">
        <v>501</v>
      </c>
      <c r="AB2020" t="s">
        <v>51</v>
      </c>
      <c r="AC2020" t="s">
        <v>51</v>
      </c>
      <c r="AD2020" t="s">
        <v>51</v>
      </c>
      <c r="AE2020" t="s">
        <v>51</v>
      </c>
      <c r="AF2020" t="s">
        <v>1691</v>
      </c>
    </row>
    <row r="2021" spans="1:32" ht="14.5" customHeight="1" x14ac:dyDescent="0.35">
      <c r="A2021" t="s">
        <v>763</v>
      </c>
      <c r="B2021" t="s">
        <v>764</v>
      </c>
      <c r="C2021" t="s">
        <v>47</v>
      </c>
      <c r="D2021">
        <v>3001562</v>
      </c>
      <c r="E2021">
        <v>3001575</v>
      </c>
      <c r="F2021" t="s">
        <v>1677</v>
      </c>
      <c r="G2021" t="s">
        <v>1677</v>
      </c>
      <c r="H2021" t="s">
        <v>111</v>
      </c>
      <c r="I2021">
        <v>6953529</v>
      </c>
      <c r="J2021" s="12">
        <v>46083</v>
      </c>
      <c r="K2021" s="12">
        <v>46083</v>
      </c>
      <c r="L2021" s="12">
        <v>46083</v>
      </c>
      <c r="M2021">
        <v>49</v>
      </c>
      <c r="N2021">
        <v>-3894475</v>
      </c>
      <c r="O2021">
        <v>-3894475</v>
      </c>
      <c r="P2021">
        <v>0</v>
      </c>
      <c r="Q2021">
        <v>0</v>
      </c>
      <c r="R2021">
        <v>-3894475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 t="s">
        <v>47</v>
      </c>
      <c r="AA2021" t="s">
        <v>501</v>
      </c>
      <c r="AB2021" t="s">
        <v>51</v>
      </c>
      <c r="AC2021" t="s">
        <v>51</v>
      </c>
      <c r="AD2021" t="s">
        <v>51</v>
      </c>
      <c r="AE2021" t="s">
        <v>51</v>
      </c>
      <c r="AF2021" t="s">
        <v>1692</v>
      </c>
    </row>
    <row r="2022" spans="1:32" ht="14.5" customHeight="1" x14ac:dyDescent="0.35">
      <c r="A2022" t="s">
        <v>763</v>
      </c>
      <c r="B2022" t="s">
        <v>764</v>
      </c>
      <c r="C2022" t="s">
        <v>47</v>
      </c>
      <c r="D2022">
        <v>3001562</v>
      </c>
      <c r="E2022">
        <v>3001575</v>
      </c>
      <c r="F2022" t="s">
        <v>1677</v>
      </c>
      <c r="G2022" t="s">
        <v>1677</v>
      </c>
      <c r="H2022" t="s">
        <v>111</v>
      </c>
      <c r="I2022">
        <v>6953530</v>
      </c>
      <c r="J2022" s="12">
        <v>46083</v>
      </c>
      <c r="K2022" s="12">
        <v>46083</v>
      </c>
      <c r="L2022" s="12">
        <v>46083</v>
      </c>
      <c r="M2022">
        <v>49</v>
      </c>
      <c r="N2022">
        <v>-507172</v>
      </c>
      <c r="O2022">
        <v>-507172</v>
      </c>
      <c r="P2022">
        <v>0</v>
      </c>
      <c r="Q2022">
        <v>0</v>
      </c>
      <c r="R2022">
        <v>-507172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 t="s">
        <v>47</v>
      </c>
      <c r="AA2022" t="s">
        <v>501</v>
      </c>
      <c r="AB2022" t="s">
        <v>51</v>
      </c>
      <c r="AC2022" t="s">
        <v>51</v>
      </c>
      <c r="AD2022" t="s">
        <v>51</v>
      </c>
      <c r="AE2022" t="s">
        <v>51</v>
      </c>
      <c r="AF2022" t="s">
        <v>452</v>
      </c>
    </row>
    <row r="2023" spans="1:32" ht="14.5" customHeight="1" x14ac:dyDescent="0.35">
      <c r="A2023" t="s">
        <v>763</v>
      </c>
      <c r="B2023" t="s">
        <v>764</v>
      </c>
      <c r="C2023" t="s">
        <v>47</v>
      </c>
      <c r="D2023">
        <v>3001562</v>
      </c>
      <c r="E2023">
        <v>3001575</v>
      </c>
      <c r="F2023" t="s">
        <v>1677</v>
      </c>
      <c r="G2023" t="s">
        <v>1677</v>
      </c>
      <c r="H2023" t="s">
        <v>111</v>
      </c>
      <c r="I2023">
        <v>6953531</v>
      </c>
      <c r="J2023" s="12">
        <v>46083</v>
      </c>
      <c r="K2023" s="12">
        <v>46083</v>
      </c>
      <c r="L2023" s="12">
        <v>46083</v>
      </c>
      <c r="M2023">
        <v>49</v>
      </c>
      <c r="N2023">
        <v>-6456257</v>
      </c>
      <c r="O2023">
        <v>-6456257</v>
      </c>
      <c r="P2023">
        <v>0</v>
      </c>
      <c r="Q2023">
        <v>0</v>
      </c>
      <c r="R2023">
        <v>-6456257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 t="s">
        <v>47</v>
      </c>
      <c r="AA2023" t="s">
        <v>501</v>
      </c>
      <c r="AB2023" t="s">
        <v>51</v>
      </c>
      <c r="AC2023" t="s">
        <v>51</v>
      </c>
      <c r="AD2023" t="s">
        <v>51</v>
      </c>
      <c r="AE2023" t="s">
        <v>51</v>
      </c>
      <c r="AF2023" t="s">
        <v>593</v>
      </c>
    </row>
    <row r="2024" spans="1:32" ht="14.5" customHeight="1" x14ac:dyDescent="0.35">
      <c r="A2024" t="s">
        <v>763</v>
      </c>
      <c r="B2024" t="s">
        <v>764</v>
      </c>
      <c r="C2024" t="s">
        <v>47</v>
      </c>
      <c r="D2024">
        <v>3001562</v>
      </c>
      <c r="E2024">
        <v>3001575</v>
      </c>
      <c r="F2024" t="s">
        <v>1677</v>
      </c>
      <c r="G2024" t="s">
        <v>1677</v>
      </c>
      <c r="H2024" t="s">
        <v>111</v>
      </c>
      <c r="I2024">
        <v>6953532</v>
      </c>
      <c r="J2024" s="12">
        <v>46083</v>
      </c>
      <c r="K2024" s="12">
        <v>46083</v>
      </c>
      <c r="L2024" s="12">
        <v>46083</v>
      </c>
      <c r="M2024">
        <v>49</v>
      </c>
      <c r="N2024">
        <v>-38889778</v>
      </c>
      <c r="O2024">
        <v>-38889778</v>
      </c>
      <c r="P2024">
        <v>0</v>
      </c>
      <c r="Q2024">
        <v>0</v>
      </c>
      <c r="R2024">
        <v>-38889778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 t="s">
        <v>47</v>
      </c>
      <c r="AA2024" t="s">
        <v>501</v>
      </c>
      <c r="AB2024" t="s">
        <v>51</v>
      </c>
      <c r="AC2024" t="s">
        <v>51</v>
      </c>
      <c r="AD2024" t="s">
        <v>51</v>
      </c>
      <c r="AE2024" t="s">
        <v>51</v>
      </c>
      <c r="AF2024" t="s">
        <v>1693</v>
      </c>
    </row>
    <row r="2025" spans="1:32" ht="14.5" customHeight="1" x14ac:dyDescent="0.35">
      <c r="A2025" t="s">
        <v>763</v>
      </c>
      <c r="B2025" t="s">
        <v>764</v>
      </c>
      <c r="C2025" t="s">
        <v>47</v>
      </c>
      <c r="D2025">
        <v>3001562</v>
      </c>
      <c r="E2025">
        <v>3001575</v>
      </c>
      <c r="F2025" t="s">
        <v>1677</v>
      </c>
      <c r="G2025" t="s">
        <v>1677</v>
      </c>
      <c r="H2025" t="s">
        <v>111</v>
      </c>
      <c r="I2025">
        <v>6953533</v>
      </c>
      <c r="J2025" s="12">
        <v>46083</v>
      </c>
      <c r="K2025" s="12">
        <v>46083</v>
      </c>
      <c r="L2025" s="12">
        <v>46083</v>
      </c>
      <c r="M2025">
        <v>49</v>
      </c>
      <c r="N2025">
        <v>-5146329</v>
      </c>
      <c r="O2025">
        <v>-5146329</v>
      </c>
      <c r="P2025">
        <v>0</v>
      </c>
      <c r="Q2025">
        <v>0</v>
      </c>
      <c r="R2025">
        <v>-5146329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 t="s">
        <v>47</v>
      </c>
      <c r="AA2025" t="s">
        <v>501</v>
      </c>
      <c r="AB2025" t="s">
        <v>51</v>
      </c>
      <c r="AC2025" t="s">
        <v>51</v>
      </c>
      <c r="AD2025" t="s">
        <v>51</v>
      </c>
      <c r="AE2025" t="s">
        <v>51</v>
      </c>
      <c r="AF2025" t="s">
        <v>1694</v>
      </c>
    </row>
    <row r="2026" spans="1:32" ht="14.5" customHeight="1" x14ac:dyDescent="0.35">
      <c r="A2026" t="s">
        <v>763</v>
      </c>
      <c r="B2026" t="s">
        <v>764</v>
      </c>
      <c r="C2026" t="s">
        <v>47</v>
      </c>
      <c r="D2026">
        <v>3001562</v>
      </c>
      <c r="E2026">
        <v>3001575</v>
      </c>
      <c r="F2026" t="s">
        <v>1677</v>
      </c>
      <c r="G2026" t="s">
        <v>1677</v>
      </c>
      <c r="H2026" t="s">
        <v>111</v>
      </c>
      <c r="I2026">
        <v>6953534</v>
      </c>
      <c r="J2026" s="12">
        <v>46083</v>
      </c>
      <c r="K2026" s="12">
        <v>46083</v>
      </c>
      <c r="L2026" s="12">
        <v>46083</v>
      </c>
      <c r="M2026">
        <v>49</v>
      </c>
      <c r="N2026">
        <v>-5242113</v>
      </c>
      <c r="O2026">
        <v>-5242113</v>
      </c>
      <c r="P2026">
        <v>0</v>
      </c>
      <c r="Q2026">
        <v>0</v>
      </c>
      <c r="R2026">
        <v>-5242113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 t="s">
        <v>47</v>
      </c>
      <c r="AA2026" t="s">
        <v>501</v>
      </c>
      <c r="AB2026" t="s">
        <v>51</v>
      </c>
      <c r="AC2026" t="s">
        <v>51</v>
      </c>
      <c r="AD2026" t="s">
        <v>51</v>
      </c>
      <c r="AE2026" t="s">
        <v>51</v>
      </c>
      <c r="AF2026" t="s">
        <v>1695</v>
      </c>
    </row>
    <row r="2027" spans="1:32" ht="14.5" customHeight="1" x14ac:dyDescent="0.35">
      <c r="A2027" t="s">
        <v>763</v>
      </c>
      <c r="B2027" t="s">
        <v>764</v>
      </c>
      <c r="C2027" t="s">
        <v>47</v>
      </c>
      <c r="D2027">
        <v>3001562</v>
      </c>
      <c r="E2027">
        <v>3001575</v>
      </c>
      <c r="F2027" t="s">
        <v>1677</v>
      </c>
      <c r="G2027" t="s">
        <v>1677</v>
      </c>
      <c r="H2027" t="s">
        <v>111</v>
      </c>
      <c r="I2027">
        <v>6953535</v>
      </c>
      <c r="J2027" s="12">
        <v>46083</v>
      </c>
      <c r="K2027" s="12">
        <v>46083</v>
      </c>
      <c r="L2027" s="12">
        <v>46083</v>
      </c>
      <c r="M2027">
        <v>49</v>
      </c>
      <c r="N2027">
        <v>-9930619</v>
      </c>
      <c r="O2027">
        <v>-9930619</v>
      </c>
      <c r="P2027">
        <v>0</v>
      </c>
      <c r="Q2027">
        <v>0</v>
      </c>
      <c r="R2027">
        <v>-9930619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 t="s">
        <v>47</v>
      </c>
      <c r="AA2027" t="s">
        <v>501</v>
      </c>
      <c r="AB2027" t="s">
        <v>51</v>
      </c>
      <c r="AC2027" t="s">
        <v>51</v>
      </c>
      <c r="AD2027" t="s">
        <v>51</v>
      </c>
      <c r="AE2027" t="s">
        <v>51</v>
      </c>
      <c r="AF2027" t="s">
        <v>1696</v>
      </c>
    </row>
    <row r="2028" spans="1:32" ht="14.5" customHeight="1" x14ac:dyDescent="0.35">
      <c r="A2028" t="s">
        <v>763</v>
      </c>
      <c r="B2028" t="s">
        <v>764</v>
      </c>
      <c r="C2028" t="s">
        <v>47</v>
      </c>
      <c r="D2028">
        <v>3001562</v>
      </c>
      <c r="E2028">
        <v>3001575</v>
      </c>
      <c r="F2028" t="s">
        <v>1677</v>
      </c>
      <c r="G2028" t="s">
        <v>1677</v>
      </c>
      <c r="H2028" t="s">
        <v>111</v>
      </c>
      <c r="I2028">
        <v>6953536</v>
      </c>
      <c r="J2028" s="12">
        <v>46083</v>
      </c>
      <c r="K2028" s="12">
        <v>46083</v>
      </c>
      <c r="L2028" s="12">
        <v>46083</v>
      </c>
      <c r="M2028">
        <v>49</v>
      </c>
      <c r="N2028">
        <v>-5296725</v>
      </c>
      <c r="O2028">
        <v>-5296725</v>
      </c>
      <c r="P2028">
        <v>0</v>
      </c>
      <c r="Q2028">
        <v>0</v>
      </c>
      <c r="R2028">
        <v>-5296725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 t="s">
        <v>47</v>
      </c>
      <c r="AA2028" t="s">
        <v>501</v>
      </c>
      <c r="AB2028" t="s">
        <v>51</v>
      </c>
      <c r="AC2028" t="s">
        <v>51</v>
      </c>
      <c r="AD2028" t="s">
        <v>51</v>
      </c>
      <c r="AE2028" t="s">
        <v>51</v>
      </c>
      <c r="AF2028" t="s">
        <v>1693</v>
      </c>
    </row>
    <row r="2029" spans="1:32" ht="14.5" customHeight="1" x14ac:dyDescent="0.35">
      <c r="A2029" t="s">
        <v>763</v>
      </c>
      <c r="B2029" t="s">
        <v>764</v>
      </c>
      <c r="C2029" t="s">
        <v>47</v>
      </c>
      <c r="D2029">
        <v>3001562</v>
      </c>
      <c r="E2029">
        <v>3001575</v>
      </c>
      <c r="F2029" t="s">
        <v>1677</v>
      </c>
      <c r="G2029" t="s">
        <v>1677</v>
      </c>
      <c r="H2029" t="s">
        <v>111</v>
      </c>
      <c r="I2029">
        <v>6953537</v>
      </c>
      <c r="J2029" s="12">
        <v>46083</v>
      </c>
      <c r="K2029" s="12">
        <v>46083</v>
      </c>
      <c r="L2029" s="12">
        <v>46083</v>
      </c>
      <c r="M2029">
        <v>49</v>
      </c>
      <c r="N2029">
        <v>-122068449</v>
      </c>
      <c r="O2029">
        <v>-122068449</v>
      </c>
      <c r="P2029">
        <v>0</v>
      </c>
      <c r="Q2029">
        <v>0</v>
      </c>
      <c r="R2029">
        <v>-122068449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 t="s">
        <v>47</v>
      </c>
      <c r="AA2029" t="s">
        <v>501</v>
      </c>
      <c r="AB2029" t="s">
        <v>51</v>
      </c>
      <c r="AC2029" t="s">
        <v>51</v>
      </c>
      <c r="AD2029" t="s">
        <v>51</v>
      </c>
      <c r="AE2029" t="s">
        <v>51</v>
      </c>
      <c r="AF2029" t="s">
        <v>958</v>
      </c>
    </row>
    <row r="2030" spans="1:32" ht="14.5" customHeight="1" x14ac:dyDescent="0.35">
      <c r="A2030" t="s">
        <v>763</v>
      </c>
      <c r="B2030" t="s">
        <v>764</v>
      </c>
      <c r="C2030" t="s">
        <v>47</v>
      </c>
      <c r="D2030">
        <v>3001562</v>
      </c>
      <c r="E2030">
        <v>3001562</v>
      </c>
      <c r="F2030" t="s">
        <v>1677</v>
      </c>
      <c r="G2030" t="s">
        <v>1677</v>
      </c>
      <c r="H2030" t="s">
        <v>111</v>
      </c>
      <c r="I2030">
        <v>6953538</v>
      </c>
      <c r="J2030" s="12">
        <v>46083</v>
      </c>
      <c r="K2030" s="12">
        <v>46083</v>
      </c>
      <c r="L2030" s="12">
        <v>46083</v>
      </c>
      <c r="M2030">
        <v>49</v>
      </c>
      <c r="N2030">
        <v>-507172</v>
      </c>
      <c r="O2030">
        <v>-507172</v>
      </c>
      <c r="P2030">
        <v>0</v>
      </c>
      <c r="Q2030">
        <v>0</v>
      </c>
      <c r="R2030">
        <v>-507172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 t="s">
        <v>47</v>
      </c>
      <c r="AA2030" t="s">
        <v>501</v>
      </c>
      <c r="AB2030" t="s">
        <v>51</v>
      </c>
      <c r="AC2030" t="s">
        <v>51</v>
      </c>
      <c r="AD2030" t="s">
        <v>51</v>
      </c>
      <c r="AE2030" t="s">
        <v>51</v>
      </c>
      <c r="AF2030" t="s">
        <v>452</v>
      </c>
    </row>
    <row r="2031" spans="1:32" ht="14.5" customHeight="1" x14ac:dyDescent="0.35">
      <c r="A2031" t="s">
        <v>763</v>
      </c>
      <c r="B2031" t="s">
        <v>764</v>
      </c>
      <c r="C2031" t="s">
        <v>47</v>
      </c>
      <c r="D2031">
        <v>3001562</v>
      </c>
      <c r="E2031">
        <v>3001562</v>
      </c>
      <c r="F2031" t="s">
        <v>1677</v>
      </c>
      <c r="G2031" t="s">
        <v>1677</v>
      </c>
      <c r="H2031" t="s">
        <v>111</v>
      </c>
      <c r="I2031">
        <v>6953539</v>
      </c>
      <c r="J2031" s="12">
        <v>46083</v>
      </c>
      <c r="K2031" s="12">
        <v>46083</v>
      </c>
      <c r="L2031" s="12">
        <v>46083</v>
      </c>
      <c r="M2031">
        <v>49</v>
      </c>
      <c r="N2031">
        <v>-2485512</v>
      </c>
      <c r="O2031">
        <v>-2485512</v>
      </c>
      <c r="P2031">
        <v>0</v>
      </c>
      <c r="Q2031">
        <v>0</v>
      </c>
      <c r="R2031">
        <v>-2485512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 t="s">
        <v>47</v>
      </c>
      <c r="AA2031" t="s">
        <v>501</v>
      </c>
      <c r="AB2031" t="s">
        <v>51</v>
      </c>
      <c r="AC2031" t="s">
        <v>51</v>
      </c>
      <c r="AD2031" t="s">
        <v>51</v>
      </c>
      <c r="AE2031" t="s">
        <v>51</v>
      </c>
      <c r="AF2031" t="s">
        <v>1697</v>
      </c>
    </row>
    <row r="2032" spans="1:32" ht="14.5" customHeight="1" x14ac:dyDescent="0.35">
      <c r="A2032" t="s">
        <v>763</v>
      </c>
      <c r="B2032" t="s">
        <v>764</v>
      </c>
      <c r="C2032" t="s">
        <v>47</v>
      </c>
      <c r="D2032">
        <v>3001562</v>
      </c>
      <c r="E2032">
        <v>3001562</v>
      </c>
      <c r="F2032" t="s">
        <v>1677</v>
      </c>
      <c r="G2032" t="s">
        <v>1677</v>
      </c>
      <c r="H2032" t="s">
        <v>111</v>
      </c>
      <c r="I2032">
        <v>6954948</v>
      </c>
      <c r="J2032" s="12">
        <v>46091</v>
      </c>
      <c r="K2032" s="12">
        <v>46091</v>
      </c>
      <c r="L2032" s="12">
        <v>46091</v>
      </c>
      <c r="M2032">
        <v>41</v>
      </c>
      <c r="N2032">
        <v>-27969629</v>
      </c>
      <c r="O2032">
        <v>-27969629</v>
      </c>
      <c r="P2032">
        <v>0</v>
      </c>
      <c r="Q2032">
        <v>0</v>
      </c>
      <c r="R2032">
        <v>-27969629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 t="s">
        <v>47</v>
      </c>
      <c r="AA2032" t="s">
        <v>501</v>
      </c>
      <c r="AB2032" t="s">
        <v>51</v>
      </c>
      <c r="AC2032" t="s">
        <v>51</v>
      </c>
      <c r="AD2032" t="s">
        <v>51</v>
      </c>
      <c r="AE2032" t="s">
        <v>51</v>
      </c>
      <c r="AF2032" t="s">
        <v>287</v>
      </c>
    </row>
    <row r="2033" spans="1:32" ht="14.5" customHeight="1" x14ac:dyDescent="0.35">
      <c r="A2033" t="s">
        <v>763</v>
      </c>
      <c r="B2033" t="s">
        <v>764</v>
      </c>
      <c r="C2033" t="s">
        <v>47</v>
      </c>
      <c r="D2033">
        <v>3001562</v>
      </c>
      <c r="E2033">
        <v>3001575</v>
      </c>
      <c r="F2033" t="s">
        <v>1677</v>
      </c>
      <c r="G2033" t="s">
        <v>1677</v>
      </c>
      <c r="H2033" t="s">
        <v>111</v>
      </c>
      <c r="I2033">
        <v>6955159</v>
      </c>
      <c r="J2033" s="12">
        <v>46092</v>
      </c>
      <c r="K2033" s="12">
        <v>46092</v>
      </c>
      <c r="L2033" s="12">
        <v>46092</v>
      </c>
      <c r="M2033">
        <v>40</v>
      </c>
      <c r="N2033">
        <v>-99452</v>
      </c>
      <c r="O2033">
        <v>-99452</v>
      </c>
      <c r="P2033">
        <v>0</v>
      </c>
      <c r="Q2033">
        <v>0</v>
      </c>
      <c r="R2033">
        <v>-99452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 t="s">
        <v>47</v>
      </c>
      <c r="AA2033" t="s">
        <v>501</v>
      </c>
      <c r="AB2033" t="s">
        <v>51</v>
      </c>
      <c r="AC2033" t="s">
        <v>51</v>
      </c>
      <c r="AD2033" t="s">
        <v>51</v>
      </c>
      <c r="AE2033" t="s">
        <v>51</v>
      </c>
      <c r="AF2033" t="s">
        <v>1134</v>
      </c>
    </row>
    <row r="2034" spans="1:32" ht="14.5" customHeight="1" x14ac:dyDescent="0.35">
      <c r="A2034" t="s">
        <v>763</v>
      </c>
      <c r="B2034" t="s">
        <v>764</v>
      </c>
      <c r="C2034" t="s">
        <v>47</v>
      </c>
      <c r="D2034">
        <v>3001562</v>
      </c>
      <c r="E2034">
        <v>3001575</v>
      </c>
      <c r="F2034" t="s">
        <v>1677</v>
      </c>
      <c r="G2034" t="s">
        <v>1677</v>
      </c>
      <c r="H2034" t="s">
        <v>111</v>
      </c>
      <c r="I2034">
        <v>6955491</v>
      </c>
      <c r="J2034" s="12">
        <v>46094</v>
      </c>
      <c r="K2034" s="12">
        <v>46094</v>
      </c>
      <c r="L2034" s="12">
        <v>46094</v>
      </c>
      <c r="M2034">
        <v>38</v>
      </c>
      <c r="N2034">
        <v>-912622</v>
      </c>
      <c r="O2034">
        <v>-912622</v>
      </c>
      <c r="P2034">
        <v>0</v>
      </c>
      <c r="Q2034">
        <v>0</v>
      </c>
      <c r="R2034">
        <v>-912622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 t="s">
        <v>47</v>
      </c>
      <c r="AA2034" t="s">
        <v>501</v>
      </c>
      <c r="AB2034" t="s">
        <v>51</v>
      </c>
      <c r="AC2034" t="s">
        <v>51</v>
      </c>
      <c r="AD2034" t="s">
        <v>51</v>
      </c>
      <c r="AE2034" t="s">
        <v>51</v>
      </c>
      <c r="AF2034" t="s">
        <v>631</v>
      </c>
    </row>
    <row r="2035" spans="1:32" ht="14.5" customHeight="1" x14ac:dyDescent="0.35">
      <c r="A2035" t="s">
        <v>763</v>
      </c>
      <c r="B2035" t="s">
        <v>764</v>
      </c>
      <c r="C2035" t="s">
        <v>47</v>
      </c>
      <c r="D2035">
        <v>3001562</v>
      </c>
      <c r="E2035">
        <v>3001562</v>
      </c>
      <c r="F2035" t="s">
        <v>1677</v>
      </c>
      <c r="G2035" t="s">
        <v>1677</v>
      </c>
      <c r="H2035" t="s">
        <v>111</v>
      </c>
      <c r="I2035">
        <v>6956010</v>
      </c>
      <c r="J2035" s="12">
        <v>46097</v>
      </c>
      <c r="K2035" s="12">
        <v>46097</v>
      </c>
      <c r="L2035" s="12">
        <v>46097</v>
      </c>
      <c r="M2035">
        <v>35</v>
      </c>
      <c r="N2035">
        <v>-5048187</v>
      </c>
      <c r="O2035">
        <v>-5048187</v>
      </c>
      <c r="P2035">
        <v>0</v>
      </c>
      <c r="Q2035">
        <v>0</v>
      </c>
      <c r="R2035">
        <v>-5048187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 t="s">
        <v>47</v>
      </c>
      <c r="AA2035" t="s">
        <v>501</v>
      </c>
      <c r="AB2035" t="s">
        <v>51</v>
      </c>
      <c r="AC2035" t="s">
        <v>51</v>
      </c>
      <c r="AD2035" t="s">
        <v>51</v>
      </c>
      <c r="AE2035" t="s">
        <v>51</v>
      </c>
      <c r="AF2035" t="s">
        <v>534</v>
      </c>
    </row>
    <row r="2036" spans="1:32" ht="14.5" customHeight="1" x14ac:dyDescent="0.35">
      <c r="A2036" t="s">
        <v>763</v>
      </c>
      <c r="B2036" t="s">
        <v>764</v>
      </c>
      <c r="C2036" t="s">
        <v>47</v>
      </c>
      <c r="D2036">
        <v>3001562</v>
      </c>
      <c r="E2036">
        <v>3001562</v>
      </c>
      <c r="F2036" t="s">
        <v>1677</v>
      </c>
      <c r="G2036" t="s">
        <v>1677</v>
      </c>
      <c r="H2036" t="s">
        <v>111</v>
      </c>
      <c r="I2036">
        <v>6956011</v>
      </c>
      <c r="J2036" s="12">
        <v>46097</v>
      </c>
      <c r="K2036" s="12">
        <v>46097</v>
      </c>
      <c r="L2036" s="12">
        <v>46097</v>
      </c>
      <c r="M2036">
        <v>35</v>
      </c>
      <c r="N2036">
        <v>-1209309</v>
      </c>
      <c r="O2036">
        <v>-1209309</v>
      </c>
      <c r="P2036">
        <v>0</v>
      </c>
      <c r="Q2036">
        <v>0</v>
      </c>
      <c r="R2036">
        <v>-1209309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 t="s">
        <v>47</v>
      </c>
      <c r="AA2036" t="s">
        <v>501</v>
      </c>
      <c r="AB2036" t="s">
        <v>51</v>
      </c>
      <c r="AC2036" t="s">
        <v>51</v>
      </c>
      <c r="AD2036" t="s">
        <v>51</v>
      </c>
      <c r="AE2036" t="s">
        <v>51</v>
      </c>
      <c r="AF2036" t="s">
        <v>459</v>
      </c>
    </row>
    <row r="2037" spans="1:32" ht="14.5" customHeight="1" x14ac:dyDescent="0.35">
      <c r="A2037" t="s">
        <v>763</v>
      </c>
      <c r="B2037" t="s">
        <v>764</v>
      </c>
      <c r="C2037" t="s">
        <v>47</v>
      </c>
      <c r="D2037">
        <v>3001562</v>
      </c>
      <c r="E2037">
        <v>3001562</v>
      </c>
      <c r="F2037" t="s">
        <v>1677</v>
      </c>
      <c r="G2037" t="s">
        <v>1677</v>
      </c>
      <c r="H2037" t="s">
        <v>111</v>
      </c>
      <c r="I2037">
        <v>6956313</v>
      </c>
      <c r="J2037" s="12">
        <v>46098</v>
      </c>
      <c r="K2037" s="12">
        <v>46098</v>
      </c>
      <c r="L2037" s="12">
        <v>46098</v>
      </c>
      <c r="M2037">
        <v>34</v>
      </c>
      <c r="N2037">
        <v>-4495014</v>
      </c>
      <c r="O2037">
        <v>-4495014</v>
      </c>
      <c r="P2037">
        <v>0</v>
      </c>
      <c r="Q2037">
        <v>0</v>
      </c>
      <c r="R2037">
        <v>-4495014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 t="s">
        <v>47</v>
      </c>
      <c r="AA2037" t="s">
        <v>501</v>
      </c>
      <c r="AB2037" t="s">
        <v>51</v>
      </c>
      <c r="AC2037" t="s">
        <v>51</v>
      </c>
      <c r="AD2037" t="s">
        <v>51</v>
      </c>
      <c r="AE2037" t="s">
        <v>51</v>
      </c>
      <c r="AF2037" t="s">
        <v>910</v>
      </c>
    </row>
    <row r="2038" spans="1:32" ht="14.5" customHeight="1" x14ac:dyDescent="0.35">
      <c r="A2038" t="s">
        <v>763</v>
      </c>
      <c r="B2038" t="s">
        <v>764</v>
      </c>
      <c r="C2038" t="s">
        <v>47</v>
      </c>
      <c r="D2038">
        <v>3001562</v>
      </c>
      <c r="E2038">
        <v>3001562</v>
      </c>
      <c r="F2038" t="s">
        <v>1677</v>
      </c>
      <c r="G2038" t="s">
        <v>1677</v>
      </c>
      <c r="H2038" t="s">
        <v>54</v>
      </c>
      <c r="I2038">
        <v>6956535</v>
      </c>
      <c r="J2038" s="12">
        <v>46105</v>
      </c>
      <c r="K2038" s="12">
        <v>46105</v>
      </c>
      <c r="L2038" s="12">
        <v>46105</v>
      </c>
      <c r="M2038">
        <v>27</v>
      </c>
      <c r="N2038">
        <v>-13080000</v>
      </c>
      <c r="O2038">
        <v>-13080000</v>
      </c>
      <c r="P2038">
        <v>0</v>
      </c>
      <c r="Q2038">
        <v>-13080000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 t="s">
        <v>47</v>
      </c>
      <c r="AA2038" t="s">
        <v>501</v>
      </c>
      <c r="AB2038" t="s">
        <v>51</v>
      </c>
      <c r="AC2038" t="s">
        <v>51</v>
      </c>
      <c r="AD2038" t="s">
        <v>51</v>
      </c>
      <c r="AE2038" t="s">
        <v>51</v>
      </c>
      <c r="AF2038" t="s">
        <v>1698</v>
      </c>
    </row>
    <row r="2039" spans="1:32" ht="14.5" customHeight="1" x14ac:dyDescent="0.35">
      <c r="A2039" t="s">
        <v>763</v>
      </c>
      <c r="B2039" t="s">
        <v>764</v>
      </c>
      <c r="C2039" t="s">
        <v>47</v>
      </c>
      <c r="D2039">
        <v>3001562</v>
      </c>
      <c r="E2039">
        <v>3001562</v>
      </c>
      <c r="F2039" t="s">
        <v>1677</v>
      </c>
      <c r="G2039" t="s">
        <v>1677</v>
      </c>
      <c r="H2039" t="s">
        <v>111</v>
      </c>
      <c r="I2039">
        <v>6956903</v>
      </c>
      <c r="J2039" s="12">
        <v>46106</v>
      </c>
      <c r="K2039" s="12">
        <v>46106</v>
      </c>
      <c r="L2039" s="12">
        <v>46106</v>
      </c>
      <c r="M2039">
        <v>26</v>
      </c>
      <c r="N2039">
        <v>-1288249</v>
      </c>
      <c r="O2039">
        <v>-1288249</v>
      </c>
      <c r="P2039">
        <v>0</v>
      </c>
      <c r="Q2039">
        <v>-1288249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 t="s">
        <v>47</v>
      </c>
      <c r="AA2039" t="s">
        <v>501</v>
      </c>
      <c r="AB2039" t="s">
        <v>51</v>
      </c>
      <c r="AC2039" t="s">
        <v>51</v>
      </c>
      <c r="AD2039" t="s">
        <v>51</v>
      </c>
      <c r="AE2039" t="s">
        <v>51</v>
      </c>
      <c r="AF2039" t="s">
        <v>315</v>
      </c>
    </row>
    <row r="2040" spans="1:32" ht="14.5" customHeight="1" x14ac:dyDescent="0.35">
      <c r="A2040" t="s">
        <v>763</v>
      </c>
      <c r="B2040" t="s">
        <v>764</v>
      </c>
      <c r="C2040" t="s">
        <v>47</v>
      </c>
      <c r="D2040">
        <v>3001562</v>
      </c>
      <c r="E2040">
        <v>3001575</v>
      </c>
      <c r="F2040" t="s">
        <v>1677</v>
      </c>
      <c r="G2040" t="s">
        <v>1677</v>
      </c>
      <c r="H2040" t="s">
        <v>111</v>
      </c>
      <c r="I2040">
        <v>6957858</v>
      </c>
      <c r="J2040" s="12">
        <v>46114</v>
      </c>
      <c r="K2040" s="12">
        <v>46114</v>
      </c>
      <c r="L2040" s="12">
        <v>46114</v>
      </c>
      <c r="M2040">
        <v>18</v>
      </c>
      <c r="N2040">
        <v>-13550396</v>
      </c>
      <c r="O2040">
        <v>-13550396</v>
      </c>
      <c r="P2040">
        <v>0</v>
      </c>
      <c r="Q2040">
        <v>-13550396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 t="s">
        <v>47</v>
      </c>
      <c r="AA2040" t="s">
        <v>501</v>
      </c>
      <c r="AB2040" t="s">
        <v>51</v>
      </c>
      <c r="AC2040" t="s">
        <v>51</v>
      </c>
      <c r="AD2040" t="s">
        <v>51</v>
      </c>
      <c r="AE2040" t="s">
        <v>51</v>
      </c>
      <c r="AF2040" t="s">
        <v>287</v>
      </c>
    </row>
    <row r="2041" spans="1:32" ht="14.5" customHeight="1" x14ac:dyDescent="0.35">
      <c r="A2041" t="s">
        <v>763</v>
      </c>
      <c r="B2041" t="s">
        <v>764</v>
      </c>
      <c r="C2041" t="s">
        <v>47</v>
      </c>
      <c r="D2041">
        <v>3001562</v>
      </c>
      <c r="E2041">
        <v>3001562</v>
      </c>
      <c r="F2041" t="s">
        <v>1677</v>
      </c>
      <c r="G2041" t="s">
        <v>1677</v>
      </c>
      <c r="H2041" t="s">
        <v>54</v>
      </c>
      <c r="I2041">
        <v>6958139</v>
      </c>
      <c r="J2041" s="12">
        <v>46119</v>
      </c>
      <c r="K2041" s="12">
        <v>46119</v>
      </c>
      <c r="L2041" s="12">
        <v>46119</v>
      </c>
      <c r="M2041">
        <v>13</v>
      </c>
      <c r="N2041">
        <v>-10355000</v>
      </c>
      <c r="O2041">
        <v>-10355000</v>
      </c>
      <c r="P2041">
        <v>0</v>
      </c>
      <c r="Q2041">
        <v>-10355000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 t="s">
        <v>47</v>
      </c>
      <c r="AA2041" t="s">
        <v>501</v>
      </c>
      <c r="AB2041" t="s">
        <v>51</v>
      </c>
      <c r="AC2041" t="s">
        <v>51</v>
      </c>
      <c r="AD2041" t="s">
        <v>51</v>
      </c>
      <c r="AE2041" t="s">
        <v>51</v>
      </c>
      <c r="AF2041" t="s">
        <v>1698</v>
      </c>
    </row>
    <row r="2042" spans="1:32" ht="14.5" customHeight="1" x14ac:dyDescent="0.35">
      <c r="A2042" t="s">
        <v>763</v>
      </c>
      <c r="B2042" t="s">
        <v>764</v>
      </c>
      <c r="C2042" t="s">
        <v>47</v>
      </c>
      <c r="D2042">
        <v>3001562</v>
      </c>
      <c r="E2042">
        <v>3001562</v>
      </c>
      <c r="F2042" t="s">
        <v>1677</v>
      </c>
      <c r="G2042" t="s">
        <v>1677</v>
      </c>
      <c r="H2042" t="s">
        <v>111</v>
      </c>
      <c r="I2042">
        <v>6958223</v>
      </c>
      <c r="J2042" s="12">
        <v>46119</v>
      </c>
      <c r="K2042" s="12">
        <v>46119</v>
      </c>
      <c r="L2042" s="12">
        <v>46119</v>
      </c>
      <c r="M2042">
        <v>13</v>
      </c>
      <c r="N2042">
        <v>-531388</v>
      </c>
      <c r="O2042">
        <v>-531388</v>
      </c>
      <c r="P2042">
        <v>0</v>
      </c>
      <c r="Q2042">
        <v>-531388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 t="s">
        <v>47</v>
      </c>
      <c r="AA2042" t="s">
        <v>501</v>
      </c>
      <c r="AB2042" t="s">
        <v>51</v>
      </c>
      <c r="AC2042" t="s">
        <v>51</v>
      </c>
      <c r="AD2042" t="s">
        <v>51</v>
      </c>
      <c r="AE2042" t="s">
        <v>51</v>
      </c>
      <c r="AF2042" t="s">
        <v>487</v>
      </c>
    </row>
    <row r="2043" spans="1:32" ht="14.5" customHeight="1" x14ac:dyDescent="0.35">
      <c r="A2043" t="s">
        <v>763</v>
      </c>
      <c r="B2043" t="s">
        <v>764</v>
      </c>
      <c r="C2043" t="s">
        <v>47</v>
      </c>
      <c r="D2043">
        <v>3001562</v>
      </c>
      <c r="E2043">
        <v>3001562</v>
      </c>
      <c r="F2043" t="s">
        <v>1677</v>
      </c>
      <c r="G2043" t="s">
        <v>1677</v>
      </c>
      <c r="H2043" t="s">
        <v>111</v>
      </c>
      <c r="I2043">
        <v>6958244</v>
      </c>
      <c r="J2043" s="12">
        <v>46120</v>
      </c>
      <c r="K2043" s="12">
        <v>46120</v>
      </c>
      <c r="L2043" s="12">
        <v>46120</v>
      </c>
      <c r="M2043">
        <v>12</v>
      </c>
      <c r="N2043">
        <v>-182817</v>
      </c>
      <c r="O2043">
        <v>-182817</v>
      </c>
      <c r="P2043">
        <v>0</v>
      </c>
      <c r="Q2043">
        <v>-182817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 t="s">
        <v>47</v>
      </c>
      <c r="AA2043" t="s">
        <v>501</v>
      </c>
      <c r="AB2043" t="s">
        <v>51</v>
      </c>
      <c r="AC2043" t="s">
        <v>51</v>
      </c>
      <c r="AD2043" t="s">
        <v>51</v>
      </c>
      <c r="AE2043" t="s">
        <v>51</v>
      </c>
      <c r="AF2043" t="s">
        <v>1296</v>
      </c>
    </row>
    <row r="2044" spans="1:32" ht="14.5" customHeight="1" x14ac:dyDescent="0.35">
      <c r="A2044" t="s">
        <v>763</v>
      </c>
      <c r="B2044" t="s">
        <v>764</v>
      </c>
      <c r="C2044" t="s">
        <v>47</v>
      </c>
      <c r="D2044">
        <v>3001562</v>
      </c>
      <c r="E2044">
        <v>3001575</v>
      </c>
      <c r="F2044" t="s">
        <v>1677</v>
      </c>
      <c r="G2044" t="s">
        <v>1677</v>
      </c>
      <c r="H2044" t="s">
        <v>111</v>
      </c>
      <c r="I2044">
        <v>6958245</v>
      </c>
      <c r="J2044" s="12">
        <v>46120</v>
      </c>
      <c r="K2044" s="12">
        <v>46120</v>
      </c>
      <c r="L2044" s="12">
        <v>46120</v>
      </c>
      <c r="M2044">
        <v>12</v>
      </c>
      <c r="N2044">
        <v>-265694</v>
      </c>
      <c r="O2044">
        <v>-265694</v>
      </c>
      <c r="P2044">
        <v>0</v>
      </c>
      <c r="Q2044">
        <v>-265694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 t="s">
        <v>47</v>
      </c>
      <c r="AA2044" t="s">
        <v>501</v>
      </c>
      <c r="AB2044" t="s">
        <v>51</v>
      </c>
      <c r="AC2044" t="s">
        <v>51</v>
      </c>
      <c r="AD2044" t="s">
        <v>51</v>
      </c>
      <c r="AE2044" t="s">
        <v>51</v>
      </c>
      <c r="AF2044" t="s">
        <v>534</v>
      </c>
    </row>
    <row r="2045" spans="1:32" ht="14.5" customHeight="1" x14ac:dyDescent="0.35">
      <c r="A2045" t="s">
        <v>763</v>
      </c>
      <c r="B2045" t="s">
        <v>764</v>
      </c>
      <c r="C2045" t="s">
        <v>47</v>
      </c>
      <c r="D2045">
        <v>3001562</v>
      </c>
      <c r="E2045">
        <v>3001562</v>
      </c>
      <c r="F2045" t="s">
        <v>1677</v>
      </c>
      <c r="G2045" t="s">
        <v>1677</v>
      </c>
      <c r="H2045" t="s">
        <v>111</v>
      </c>
      <c r="I2045">
        <v>6958498</v>
      </c>
      <c r="J2045" s="12">
        <v>46121</v>
      </c>
      <c r="K2045" s="12">
        <v>46121</v>
      </c>
      <c r="L2045" s="12">
        <v>46121</v>
      </c>
      <c r="M2045">
        <v>11</v>
      </c>
      <c r="N2045">
        <v>-448511</v>
      </c>
      <c r="O2045">
        <v>-448511</v>
      </c>
      <c r="P2045">
        <v>0</v>
      </c>
      <c r="Q2045">
        <v>-448511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 t="s">
        <v>47</v>
      </c>
      <c r="AA2045" t="s">
        <v>501</v>
      </c>
      <c r="AB2045" t="s">
        <v>51</v>
      </c>
      <c r="AC2045" t="s">
        <v>51</v>
      </c>
      <c r="AD2045" t="s">
        <v>51</v>
      </c>
      <c r="AE2045" t="s">
        <v>51</v>
      </c>
      <c r="AF2045" t="s">
        <v>367</v>
      </c>
    </row>
    <row r="2046" spans="1:32" ht="14.5" customHeight="1" x14ac:dyDescent="0.35">
      <c r="A2046" t="s">
        <v>763</v>
      </c>
      <c r="B2046" t="s">
        <v>764</v>
      </c>
      <c r="C2046" t="s">
        <v>47</v>
      </c>
      <c r="D2046">
        <v>3001562</v>
      </c>
      <c r="E2046">
        <v>3001575</v>
      </c>
      <c r="F2046" t="s">
        <v>1677</v>
      </c>
      <c r="G2046" t="s">
        <v>1677</v>
      </c>
      <c r="H2046" t="s">
        <v>111</v>
      </c>
      <c r="I2046">
        <v>6958501</v>
      </c>
      <c r="J2046" s="12">
        <v>46121</v>
      </c>
      <c r="K2046" s="12">
        <v>46121</v>
      </c>
      <c r="L2046" s="12">
        <v>46121</v>
      </c>
      <c r="M2046">
        <v>11</v>
      </c>
      <c r="N2046">
        <v>-1991487</v>
      </c>
      <c r="O2046">
        <v>-1991487</v>
      </c>
      <c r="P2046">
        <v>0</v>
      </c>
      <c r="Q2046">
        <v>-1991487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 t="s">
        <v>47</v>
      </c>
      <c r="AA2046" t="s">
        <v>501</v>
      </c>
      <c r="AB2046" t="s">
        <v>51</v>
      </c>
      <c r="AC2046" t="s">
        <v>51</v>
      </c>
      <c r="AD2046" t="s">
        <v>51</v>
      </c>
      <c r="AE2046" t="s">
        <v>51</v>
      </c>
      <c r="AF2046" t="s">
        <v>744</v>
      </c>
    </row>
    <row r="2047" spans="1:32" ht="14.5" customHeight="1" x14ac:dyDescent="0.35">
      <c r="A2047" t="s">
        <v>763</v>
      </c>
      <c r="B2047" t="s">
        <v>764</v>
      </c>
      <c r="C2047" t="s">
        <v>47</v>
      </c>
      <c r="D2047">
        <v>3001562</v>
      </c>
      <c r="E2047">
        <v>3001562</v>
      </c>
      <c r="F2047" t="s">
        <v>1677</v>
      </c>
      <c r="G2047" t="s">
        <v>1677</v>
      </c>
      <c r="H2047" t="s">
        <v>54</v>
      </c>
      <c r="I2047">
        <v>6959115</v>
      </c>
      <c r="J2047" s="12">
        <v>46122</v>
      </c>
      <c r="K2047" s="12">
        <v>46122</v>
      </c>
      <c r="L2047" s="12">
        <v>46122</v>
      </c>
      <c r="M2047">
        <v>10</v>
      </c>
      <c r="N2047">
        <v>-921337</v>
      </c>
      <c r="O2047">
        <v>-921337</v>
      </c>
      <c r="P2047">
        <v>0</v>
      </c>
      <c r="Q2047">
        <v>-921337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 t="s">
        <v>47</v>
      </c>
      <c r="AA2047" t="s">
        <v>501</v>
      </c>
      <c r="AB2047" t="s">
        <v>51</v>
      </c>
      <c r="AC2047" t="s">
        <v>51</v>
      </c>
      <c r="AD2047" t="s">
        <v>51</v>
      </c>
      <c r="AE2047" t="s">
        <v>51</v>
      </c>
      <c r="AF2047" t="s">
        <v>962</v>
      </c>
    </row>
    <row r="2048" spans="1:32" ht="14.5" customHeight="1" x14ac:dyDescent="0.35">
      <c r="A2048" t="s">
        <v>763</v>
      </c>
      <c r="B2048" t="s">
        <v>764</v>
      </c>
      <c r="C2048" t="s">
        <v>47</v>
      </c>
      <c r="D2048">
        <v>3001562</v>
      </c>
      <c r="E2048">
        <v>3001562</v>
      </c>
      <c r="F2048" t="s">
        <v>1677</v>
      </c>
      <c r="G2048" t="s">
        <v>1677</v>
      </c>
      <c r="H2048" t="s">
        <v>54</v>
      </c>
      <c r="I2048">
        <v>6959116</v>
      </c>
      <c r="J2048" s="12">
        <v>46122</v>
      </c>
      <c r="K2048" s="12">
        <v>46122</v>
      </c>
      <c r="L2048" s="12">
        <v>46122</v>
      </c>
      <c r="M2048">
        <v>10</v>
      </c>
      <c r="N2048">
        <v>-9660683</v>
      </c>
      <c r="O2048">
        <v>-9660683</v>
      </c>
      <c r="P2048">
        <v>0</v>
      </c>
      <c r="Q2048">
        <v>-9660683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 t="s">
        <v>47</v>
      </c>
      <c r="AA2048" t="s">
        <v>501</v>
      </c>
      <c r="AB2048" t="s">
        <v>51</v>
      </c>
      <c r="AC2048" t="s">
        <v>51</v>
      </c>
      <c r="AD2048" t="s">
        <v>51</v>
      </c>
      <c r="AE2048" t="s">
        <v>51</v>
      </c>
      <c r="AF2048" t="s">
        <v>461</v>
      </c>
    </row>
    <row r="2049" spans="1:32" ht="14.5" customHeight="1" x14ac:dyDescent="0.35">
      <c r="A2049" t="s">
        <v>763</v>
      </c>
      <c r="B2049" t="s">
        <v>764</v>
      </c>
      <c r="C2049" t="s">
        <v>47</v>
      </c>
      <c r="D2049">
        <v>3001562</v>
      </c>
      <c r="E2049">
        <v>3001562</v>
      </c>
      <c r="F2049" t="s">
        <v>1677</v>
      </c>
      <c r="G2049" t="s">
        <v>1677</v>
      </c>
      <c r="H2049" t="s">
        <v>111</v>
      </c>
      <c r="I2049">
        <v>6959192</v>
      </c>
      <c r="J2049" s="12">
        <v>46126</v>
      </c>
      <c r="K2049" s="12">
        <v>46126</v>
      </c>
      <c r="L2049" s="12">
        <v>46126</v>
      </c>
      <c r="M2049">
        <v>6</v>
      </c>
      <c r="N2049">
        <v>-265694</v>
      </c>
      <c r="O2049">
        <v>-265694</v>
      </c>
      <c r="P2049">
        <v>0</v>
      </c>
      <c r="Q2049">
        <v>-265694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 t="s">
        <v>47</v>
      </c>
      <c r="AA2049" t="s">
        <v>501</v>
      </c>
      <c r="AB2049" t="s">
        <v>51</v>
      </c>
      <c r="AC2049" t="s">
        <v>51</v>
      </c>
      <c r="AD2049" t="s">
        <v>51</v>
      </c>
      <c r="AE2049" t="s">
        <v>51</v>
      </c>
      <c r="AF2049" t="s">
        <v>72</v>
      </c>
    </row>
    <row r="2050" spans="1:32" ht="14.5" customHeight="1" x14ac:dyDescent="0.35">
      <c r="A2050" t="s">
        <v>763</v>
      </c>
      <c r="B2050" t="s">
        <v>764</v>
      </c>
      <c r="C2050" t="s">
        <v>47</v>
      </c>
      <c r="D2050">
        <v>3001562</v>
      </c>
      <c r="E2050">
        <v>3001575</v>
      </c>
      <c r="F2050" t="s">
        <v>1677</v>
      </c>
      <c r="G2050" t="s">
        <v>1677</v>
      </c>
      <c r="H2050" t="s">
        <v>111</v>
      </c>
      <c r="I2050">
        <v>6959195</v>
      </c>
      <c r="J2050" s="12">
        <v>46126</v>
      </c>
      <c r="K2050" s="12">
        <v>46126</v>
      </c>
      <c r="L2050" s="12">
        <v>46126</v>
      </c>
      <c r="M2050">
        <v>6</v>
      </c>
      <c r="N2050">
        <v>-1264015</v>
      </c>
      <c r="O2050">
        <v>-1264015</v>
      </c>
      <c r="P2050">
        <v>0</v>
      </c>
      <c r="Q2050">
        <v>-1264015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 t="s">
        <v>47</v>
      </c>
      <c r="AA2050" t="s">
        <v>501</v>
      </c>
      <c r="AB2050" t="s">
        <v>51</v>
      </c>
      <c r="AC2050" t="s">
        <v>51</v>
      </c>
      <c r="AD2050" t="s">
        <v>51</v>
      </c>
      <c r="AE2050" t="s">
        <v>51</v>
      </c>
      <c r="AF2050" t="s">
        <v>1396</v>
      </c>
    </row>
    <row r="2051" spans="1:32" ht="14.5" customHeight="1" x14ac:dyDescent="0.35">
      <c r="A2051" t="s">
        <v>763</v>
      </c>
      <c r="B2051" t="s">
        <v>764</v>
      </c>
      <c r="C2051" t="s">
        <v>47</v>
      </c>
      <c r="D2051">
        <v>3001562</v>
      </c>
      <c r="E2051">
        <v>3001562</v>
      </c>
      <c r="F2051" t="s">
        <v>1677</v>
      </c>
      <c r="G2051" t="s">
        <v>1677</v>
      </c>
      <c r="H2051" t="s">
        <v>111</v>
      </c>
      <c r="I2051">
        <v>6959197</v>
      </c>
      <c r="J2051" s="12">
        <v>46126</v>
      </c>
      <c r="K2051" s="12">
        <v>46126</v>
      </c>
      <c r="L2051" s="12">
        <v>46126</v>
      </c>
      <c r="M2051">
        <v>6</v>
      </c>
      <c r="N2051">
        <v>-99452</v>
      </c>
      <c r="O2051">
        <v>-99452</v>
      </c>
      <c r="P2051">
        <v>0</v>
      </c>
      <c r="Q2051">
        <v>-99452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 t="s">
        <v>47</v>
      </c>
      <c r="AA2051" t="s">
        <v>501</v>
      </c>
      <c r="AB2051" t="s">
        <v>51</v>
      </c>
      <c r="AC2051" t="s">
        <v>51</v>
      </c>
      <c r="AD2051" t="s">
        <v>51</v>
      </c>
      <c r="AE2051" t="s">
        <v>51</v>
      </c>
      <c r="AF2051" t="s">
        <v>1134</v>
      </c>
    </row>
    <row r="2052" spans="1:32" ht="14.5" customHeight="1" x14ac:dyDescent="0.35">
      <c r="A2052" t="s">
        <v>763</v>
      </c>
      <c r="B2052" t="s">
        <v>764</v>
      </c>
      <c r="C2052" t="s">
        <v>47</v>
      </c>
      <c r="D2052">
        <v>3001562</v>
      </c>
      <c r="E2052">
        <v>3001562</v>
      </c>
      <c r="F2052" t="s">
        <v>1677</v>
      </c>
      <c r="G2052" t="s">
        <v>1677</v>
      </c>
      <c r="H2052" t="s">
        <v>54</v>
      </c>
      <c r="I2052">
        <v>6959349</v>
      </c>
      <c r="J2052" s="12">
        <v>46126</v>
      </c>
      <c r="K2052" s="12">
        <v>46126</v>
      </c>
      <c r="L2052" s="12">
        <v>46126</v>
      </c>
      <c r="M2052">
        <v>6</v>
      </c>
      <c r="N2052">
        <v>-1887601</v>
      </c>
      <c r="O2052">
        <v>-1887601</v>
      </c>
      <c r="P2052">
        <v>0</v>
      </c>
      <c r="Q2052">
        <v>-1887601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 t="s">
        <v>47</v>
      </c>
      <c r="AA2052" t="s">
        <v>501</v>
      </c>
      <c r="AB2052" t="s">
        <v>51</v>
      </c>
      <c r="AC2052" t="s">
        <v>51</v>
      </c>
      <c r="AD2052" t="s">
        <v>51</v>
      </c>
      <c r="AE2052" t="s">
        <v>51</v>
      </c>
      <c r="AF2052" t="s">
        <v>77</v>
      </c>
    </row>
    <row r="2053" spans="1:32" ht="14.5" customHeight="1" x14ac:dyDescent="0.35">
      <c r="A2053" t="s">
        <v>763</v>
      </c>
      <c r="B2053" t="s">
        <v>764</v>
      </c>
      <c r="C2053" t="s">
        <v>47</v>
      </c>
      <c r="D2053">
        <v>3001562</v>
      </c>
      <c r="E2053">
        <v>3001562</v>
      </c>
      <c r="F2053" t="s">
        <v>1677</v>
      </c>
      <c r="G2053" t="s">
        <v>1677</v>
      </c>
      <c r="H2053" t="s">
        <v>54</v>
      </c>
      <c r="I2053">
        <v>6959350</v>
      </c>
      <c r="J2053" s="12">
        <v>46126</v>
      </c>
      <c r="K2053" s="12">
        <v>46126</v>
      </c>
      <c r="L2053" s="12">
        <v>46126</v>
      </c>
      <c r="M2053">
        <v>6</v>
      </c>
      <c r="N2053">
        <v>-4259562</v>
      </c>
      <c r="O2053">
        <v>-4259562</v>
      </c>
      <c r="P2053">
        <v>0</v>
      </c>
      <c r="Q2053">
        <v>-4259562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 t="s">
        <v>47</v>
      </c>
      <c r="AA2053" t="s">
        <v>501</v>
      </c>
      <c r="AB2053" t="s">
        <v>51</v>
      </c>
      <c r="AC2053" t="s">
        <v>51</v>
      </c>
      <c r="AD2053" t="s">
        <v>51</v>
      </c>
      <c r="AE2053" t="s">
        <v>51</v>
      </c>
      <c r="AF2053" t="s">
        <v>1699</v>
      </c>
    </row>
    <row r="2054" spans="1:32" ht="14.5" customHeight="1" x14ac:dyDescent="0.35">
      <c r="A2054" t="s">
        <v>763</v>
      </c>
      <c r="B2054" t="s">
        <v>764</v>
      </c>
      <c r="C2054" t="s">
        <v>47</v>
      </c>
      <c r="D2054">
        <v>3001562</v>
      </c>
      <c r="E2054">
        <v>3001575</v>
      </c>
      <c r="F2054" t="s">
        <v>1677</v>
      </c>
      <c r="G2054" t="s">
        <v>1677</v>
      </c>
      <c r="H2054" t="s">
        <v>54</v>
      </c>
      <c r="I2054">
        <v>6959351</v>
      </c>
      <c r="J2054" s="12">
        <v>46126</v>
      </c>
      <c r="K2054" s="12">
        <v>46126</v>
      </c>
      <c r="L2054" s="12">
        <v>46126</v>
      </c>
      <c r="M2054">
        <v>6</v>
      </c>
      <c r="N2054">
        <v>-1214137</v>
      </c>
      <c r="O2054">
        <v>-1214137</v>
      </c>
      <c r="P2054">
        <v>0</v>
      </c>
      <c r="Q2054">
        <v>-1214137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 t="s">
        <v>47</v>
      </c>
      <c r="AA2054" t="s">
        <v>501</v>
      </c>
      <c r="AB2054" t="s">
        <v>51</v>
      </c>
      <c r="AC2054" t="s">
        <v>51</v>
      </c>
      <c r="AD2054" t="s">
        <v>51</v>
      </c>
      <c r="AE2054" t="s">
        <v>51</v>
      </c>
      <c r="AF2054" t="s">
        <v>1700</v>
      </c>
    </row>
    <row r="2055" spans="1:32" ht="14.5" customHeight="1" x14ac:dyDescent="0.35">
      <c r="A2055" t="s">
        <v>763</v>
      </c>
      <c r="B2055" t="s">
        <v>764</v>
      </c>
      <c r="C2055" t="s">
        <v>47</v>
      </c>
      <c r="D2055">
        <v>3001562</v>
      </c>
      <c r="E2055">
        <v>3001575</v>
      </c>
      <c r="F2055" t="s">
        <v>1677</v>
      </c>
      <c r="G2055" t="s">
        <v>1677</v>
      </c>
      <c r="H2055" t="s">
        <v>54</v>
      </c>
      <c r="I2055">
        <v>6959352</v>
      </c>
      <c r="J2055" s="12">
        <v>46126</v>
      </c>
      <c r="K2055" s="12">
        <v>46126</v>
      </c>
      <c r="L2055" s="12">
        <v>46126</v>
      </c>
      <c r="M2055">
        <v>6</v>
      </c>
      <c r="N2055">
        <v>-1647612</v>
      </c>
      <c r="O2055">
        <v>-1647612</v>
      </c>
      <c r="P2055">
        <v>0</v>
      </c>
      <c r="Q2055">
        <v>-1647612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 t="s">
        <v>47</v>
      </c>
      <c r="AA2055" t="s">
        <v>501</v>
      </c>
      <c r="AB2055" t="s">
        <v>51</v>
      </c>
      <c r="AC2055" t="s">
        <v>51</v>
      </c>
      <c r="AD2055" t="s">
        <v>51</v>
      </c>
      <c r="AE2055" t="s">
        <v>51</v>
      </c>
      <c r="AF2055" t="s">
        <v>1700</v>
      </c>
    </row>
    <row r="2056" spans="1:32" ht="14.5" customHeight="1" x14ac:dyDescent="0.35">
      <c r="A2056" t="s">
        <v>763</v>
      </c>
      <c r="B2056" t="s">
        <v>764</v>
      </c>
      <c r="C2056" t="s">
        <v>47</v>
      </c>
      <c r="D2056">
        <v>3001562</v>
      </c>
      <c r="E2056">
        <v>3001575</v>
      </c>
      <c r="F2056" t="s">
        <v>1677</v>
      </c>
      <c r="G2056" t="s">
        <v>1677</v>
      </c>
      <c r="H2056" t="s">
        <v>54</v>
      </c>
      <c r="I2056">
        <v>6959353</v>
      </c>
      <c r="J2056" s="12">
        <v>46126</v>
      </c>
      <c r="K2056" s="12">
        <v>46126</v>
      </c>
      <c r="L2056" s="12">
        <v>46126</v>
      </c>
      <c r="M2056">
        <v>6</v>
      </c>
      <c r="N2056">
        <v>-2966781</v>
      </c>
      <c r="O2056">
        <v>-2966781</v>
      </c>
      <c r="P2056">
        <v>0</v>
      </c>
      <c r="Q2056">
        <v>-2966781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 t="s">
        <v>47</v>
      </c>
      <c r="AA2056" t="s">
        <v>501</v>
      </c>
      <c r="AB2056" t="s">
        <v>51</v>
      </c>
      <c r="AC2056" t="s">
        <v>51</v>
      </c>
      <c r="AD2056" t="s">
        <v>51</v>
      </c>
      <c r="AE2056" t="s">
        <v>51</v>
      </c>
      <c r="AF2056" t="s">
        <v>1700</v>
      </c>
    </row>
    <row r="2057" spans="1:32" ht="14.5" customHeight="1" x14ac:dyDescent="0.35">
      <c r="A2057" t="s">
        <v>763</v>
      </c>
      <c r="B2057" t="s">
        <v>764</v>
      </c>
      <c r="C2057" t="s">
        <v>47</v>
      </c>
      <c r="D2057">
        <v>3001562</v>
      </c>
      <c r="E2057">
        <v>3001575</v>
      </c>
      <c r="F2057" t="s">
        <v>1677</v>
      </c>
      <c r="G2057" t="s">
        <v>1677</v>
      </c>
      <c r="H2057" t="s">
        <v>54</v>
      </c>
      <c r="I2057">
        <v>6959354</v>
      </c>
      <c r="J2057" s="12">
        <v>46126</v>
      </c>
      <c r="K2057" s="12">
        <v>46126</v>
      </c>
      <c r="L2057" s="12">
        <v>46126</v>
      </c>
      <c r="M2057">
        <v>6</v>
      </c>
      <c r="N2057">
        <v>-3092245</v>
      </c>
      <c r="O2057">
        <v>-3092245</v>
      </c>
      <c r="P2057">
        <v>0</v>
      </c>
      <c r="Q2057">
        <v>-3092245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 t="s">
        <v>47</v>
      </c>
      <c r="AA2057" t="s">
        <v>501</v>
      </c>
      <c r="AB2057" t="s">
        <v>51</v>
      </c>
      <c r="AC2057" t="s">
        <v>51</v>
      </c>
      <c r="AD2057" t="s">
        <v>51</v>
      </c>
      <c r="AE2057" t="s">
        <v>51</v>
      </c>
      <c r="AF2057" t="s">
        <v>1701</v>
      </c>
    </row>
    <row r="2058" spans="1:32" ht="14.5" customHeight="1" x14ac:dyDescent="0.35">
      <c r="A2058" t="s">
        <v>763</v>
      </c>
      <c r="B2058" t="s">
        <v>764</v>
      </c>
      <c r="C2058" t="s">
        <v>47</v>
      </c>
      <c r="D2058">
        <v>3001562</v>
      </c>
      <c r="E2058">
        <v>3001575</v>
      </c>
      <c r="F2058" t="s">
        <v>1677</v>
      </c>
      <c r="G2058" t="s">
        <v>1677</v>
      </c>
      <c r="H2058" t="s">
        <v>54</v>
      </c>
      <c r="I2058">
        <v>6959355</v>
      </c>
      <c r="J2058" s="12">
        <v>46126</v>
      </c>
      <c r="K2058" s="12">
        <v>46126</v>
      </c>
      <c r="L2058" s="12">
        <v>46126</v>
      </c>
      <c r="M2058">
        <v>6</v>
      </c>
      <c r="N2058">
        <v>-2272728</v>
      </c>
      <c r="O2058">
        <v>-2272728</v>
      </c>
      <c r="P2058">
        <v>0</v>
      </c>
      <c r="Q2058">
        <v>-2272728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 t="s">
        <v>47</v>
      </c>
      <c r="AA2058" t="s">
        <v>501</v>
      </c>
      <c r="AB2058" t="s">
        <v>51</v>
      </c>
      <c r="AC2058" t="s">
        <v>51</v>
      </c>
      <c r="AD2058" t="s">
        <v>51</v>
      </c>
      <c r="AE2058" t="s">
        <v>51</v>
      </c>
      <c r="AF2058" t="s">
        <v>1701</v>
      </c>
    </row>
    <row r="2059" spans="1:32" ht="14.5" customHeight="1" x14ac:dyDescent="0.35">
      <c r="A2059" t="s">
        <v>763</v>
      </c>
      <c r="B2059" t="s">
        <v>764</v>
      </c>
      <c r="C2059" t="s">
        <v>47</v>
      </c>
      <c r="D2059">
        <v>3001562</v>
      </c>
      <c r="E2059">
        <v>3001575</v>
      </c>
      <c r="F2059" t="s">
        <v>1677</v>
      </c>
      <c r="G2059" t="s">
        <v>1677</v>
      </c>
      <c r="H2059" t="s">
        <v>54</v>
      </c>
      <c r="I2059">
        <v>6959356</v>
      </c>
      <c r="J2059" s="12">
        <v>46126</v>
      </c>
      <c r="K2059" s="12">
        <v>46126</v>
      </c>
      <c r="L2059" s="12">
        <v>46126</v>
      </c>
      <c r="M2059">
        <v>6</v>
      </c>
      <c r="N2059">
        <v>-1412283</v>
      </c>
      <c r="O2059">
        <v>-1412283</v>
      </c>
      <c r="P2059">
        <v>0</v>
      </c>
      <c r="Q2059">
        <v>-1412283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 t="s">
        <v>47</v>
      </c>
      <c r="AA2059" t="s">
        <v>501</v>
      </c>
      <c r="AB2059" t="s">
        <v>51</v>
      </c>
      <c r="AC2059" t="s">
        <v>51</v>
      </c>
      <c r="AD2059" t="s">
        <v>51</v>
      </c>
      <c r="AE2059" t="s">
        <v>51</v>
      </c>
      <c r="AF2059" t="s">
        <v>1700</v>
      </c>
    </row>
    <row r="2060" spans="1:32" ht="14.5" customHeight="1" x14ac:dyDescent="0.35">
      <c r="A2060" t="s">
        <v>763</v>
      </c>
      <c r="B2060" t="s">
        <v>764</v>
      </c>
      <c r="C2060" t="s">
        <v>47</v>
      </c>
      <c r="D2060">
        <v>3001562</v>
      </c>
      <c r="E2060">
        <v>3001562</v>
      </c>
      <c r="F2060" t="s">
        <v>1677</v>
      </c>
      <c r="G2060" t="s">
        <v>1677</v>
      </c>
      <c r="H2060" t="s">
        <v>54</v>
      </c>
      <c r="I2060">
        <v>6959688</v>
      </c>
      <c r="J2060" s="12">
        <v>46127</v>
      </c>
      <c r="K2060" s="12">
        <v>46127</v>
      </c>
      <c r="L2060" s="12">
        <v>46127</v>
      </c>
      <c r="M2060">
        <v>5</v>
      </c>
      <c r="N2060">
        <v>-911838</v>
      </c>
      <c r="O2060">
        <v>-911838</v>
      </c>
      <c r="P2060">
        <v>0</v>
      </c>
      <c r="Q2060">
        <v>-911838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 t="s">
        <v>47</v>
      </c>
      <c r="AA2060" t="s">
        <v>501</v>
      </c>
      <c r="AB2060" t="s">
        <v>51</v>
      </c>
      <c r="AC2060" t="s">
        <v>51</v>
      </c>
      <c r="AD2060" t="s">
        <v>51</v>
      </c>
      <c r="AE2060" t="s">
        <v>51</v>
      </c>
      <c r="AF2060" t="s">
        <v>1702</v>
      </c>
    </row>
    <row r="2061" spans="1:32" ht="14.5" customHeight="1" x14ac:dyDescent="0.35">
      <c r="A2061" t="s">
        <v>763</v>
      </c>
      <c r="B2061" t="s">
        <v>764</v>
      </c>
      <c r="C2061" t="s">
        <v>47</v>
      </c>
      <c r="D2061">
        <v>3001562</v>
      </c>
      <c r="E2061">
        <v>3001562</v>
      </c>
      <c r="F2061" t="s">
        <v>1677</v>
      </c>
      <c r="G2061" t="s">
        <v>1677</v>
      </c>
      <c r="H2061" t="s">
        <v>54</v>
      </c>
      <c r="I2061">
        <v>6959689</v>
      </c>
      <c r="J2061" s="12">
        <v>46127</v>
      </c>
      <c r="K2061" s="12">
        <v>46127</v>
      </c>
      <c r="L2061" s="12">
        <v>46127</v>
      </c>
      <c r="M2061">
        <v>5</v>
      </c>
      <c r="N2061">
        <v>-6339221</v>
      </c>
      <c r="O2061">
        <v>-6339221</v>
      </c>
      <c r="P2061">
        <v>0</v>
      </c>
      <c r="Q2061">
        <v>-6339221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 t="s">
        <v>47</v>
      </c>
      <c r="AA2061" t="s">
        <v>501</v>
      </c>
      <c r="AB2061" t="s">
        <v>51</v>
      </c>
      <c r="AC2061" t="s">
        <v>51</v>
      </c>
      <c r="AD2061" t="s">
        <v>51</v>
      </c>
      <c r="AE2061" t="s">
        <v>51</v>
      </c>
      <c r="AF2061" t="s">
        <v>1703</v>
      </c>
    </row>
    <row r="2062" spans="1:32" ht="14.5" customHeight="1" x14ac:dyDescent="0.35">
      <c r="A2062" t="s">
        <v>763</v>
      </c>
      <c r="B2062" t="s">
        <v>764</v>
      </c>
      <c r="C2062" t="s">
        <v>47</v>
      </c>
      <c r="D2062">
        <v>3001562</v>
      </c>
      <c r="E2062">
        <v>3001562</v>
      </c>
      <c r="F2062" t="s">
        <v>1677</v>
      </c>
      <c r="G2062" t="s">
        <v>1677</v>
      </c>
      <c r="H2062" t="s">
        <v>54</v>
      </c>
      <c r="I2062">
        <v>6959690</v>
      </c>
      <c r="J2062" s="12">
        <v>46127</v>
      </c>
      <c r="K2062" s="12">
        <v>46127</v>
      </c>
      <c r="L2062" s="12">
        <v>46127</v>
      </c>
      <c r="M2062">
        <v>5</v>
      </c>
      <c r="N2062">
        <v>-1691000</v>
      </c>
      <c r="O2062">
        <v>-1691000</v>
      </c>
      <c r="P2062">
        <v>0</v>
      </c>
      <c r="Q2062">
        <v>-1691000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 t="s">
        <v>47</v>
      </c>
      <c r="AA2062" t="s">
        <v>501</v>
      </c>
      <c r="AB2062" t="s">
        <v>51</v>
      </c>
      <c r="AC2062" t="s">
        <v>51</v>
      </c>
      <c r="AD2062" t="s">
        <v>51</v>
      </c>
      <c r="AE2062" t="s">
        <v>51</v>
      </c>
      <c r="AF2062" t="s">
        <v>1704</v>
      </c>
    </row>
    <row r="2063" spans="1:32" ht="14.5" customHeight="1" x14ac:dyDescent="0.35">
      <c r="A2063" t="s">
        <v>763</v>
      </c>
      <c r="B2063" t="s">
        <v>764</v>
      </c>
      <c r="C2063" t="s">
        <v>47</v>
      </c>
      <c r="D2063">
        <v>3001562</v>
      </c>
      <c r="E2063">
        <v>3001562</v>
      </c>
      <c r="F2063" t="s">
        <v>1677</v>
      </c>
      <c r="G2063" t="s">
        <v>1677</v>
      </c>
      <c r="H2063" t="s">
        <v>54</v>
      </c>
      <c r="I2063">
        <v>6959691</v>
      </c>
      <c r="J2063" s="12">
        <v>46127</v>
      </c>
      <c r="K2063" s="12">
        <v>46127</v>
      </c>
      <c r="L2063" s="12">
        <v>46127</v>
      </c>
      <c r="M2063">
        <v>5</v>
      </c>
      <c r="N2063">
        <v>-692100</v>
      </c>
      <c r="O2063">
        <v>-692100</v>
      </c>
      <c r="P2063">
        <v>0</v>
      </c>
      <c r="Q2063">
        <v>-692100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 t="s">
        <v>47</v>
      </c>
      <c r="AA2063" t="s">
        <v>501</v>
      </c>
      <c r="AB2063" t="s">
        <v>51</v>
      </c>
      <c r="AC2063" t="s">
        <v>51</v>
      </c>
      <c r="AD2063" t="s">
        <v>51</v>
      </c>
      <c r="AE2063" t="s">
        <v>51</v>
      </c>
      <c r="AF2063" t="s">
        <v>1704</v>
      </c>
    </row>
    <row r="2064" spans="1:32" ht="14.5" customHeight="1" x14ac:dyDescent="0.35">
      <c r="A2064" t="s">
        <v>763</v>
      </c>
      <c r="B2064" t="s">
        <v>764</v>
      </c>
      <c r="C2064" t="s">
        <v>47</v>
      </c>
      <c r="D2064">
        <v>3001562</v>
      </c>
      <c r="E2064">
        <v>3001562</v>
      </c>
      <c r="F2064" t="s">
        <v>1677</v>
      </c>
      <c r="G2064" t="s">
        <v>1677</v>
      </c>
      <c r="H2064" t="s">
        <v>54</v>
      </c>
      <c r="I2064">
        <v>6959692</v>
      </c>
      <c r="J2064" s="12">
        <v>46127</v>
      </c>
      <c r="K2064" s="12">
        <v>46127</v>
      </c>
      <c r="L2064" s="12">
        <v>46127</v>
      </c>
      <c r="M2064">
        <v>5</v>
      </c>
      <c r="N2064">
        <v>-600400</v>
      </c>
      <c r="O2064">
        <v>-600400</v>
      </c>
      <c r="P2064">
        <v>0</v>
      </c>
      <c r="Q2064">
        <v>-600400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 t="s">
        <v>47</v>
      </c>
      <c r="AA2064" t="s">
        <v>501</v>
      </c>
      <c r="AB2064" t="s">
        <v>51</v>
      </c>
      <c r="AC2064" t="s">
        <v>51</v>
      </c>
      <c r="AD2064" t="s">
        <v>51</v>
      </c>
      <c r="AE2064" t="s">
        <v>51</v>
      </c>
      <c r="AF2064" t="s">
        <v>1704</v>
      </c>
    </row>
    <row r="2065" spans="1:32" ht="14.5" customHeight="1" x14ac:dyDescent="0.35">
      <c r="A2065" t="s">
        <v>763</v>
      </c>
      <c r="B2065" t="s">
        <v>764</v>
      </c>
      <c r="C2065" t="s">
        <v>47</v>
      </c>
      <c r="D2065">
        <v>3001562</v>
      </c>
      <c r="E2065">
        <v>3001562</v>
      </c>
      <c r="F2065" t="s">
        <v>1677</v>
      </c>
      <c r="G2065" t="s">
        <v>1677</v>
      </c>
      <c r="H2065" t="s">
        <v>54</v>
      </c>
      <c r="I2065">
        <v>6959693</v>
      </c>
      <c r="J2065" s="12">
        <v>46127</v>
      </c>
      <c r="K2065" s="12">
        <v>46127</v>
      </c>
      <c r="L2065" s="12">
        <v>46127</v>
      </c>
      <c r="M2065">
        <v>5</v>
      </c>
      <c r="N2065">
        <v>-779400</v>
      </c>
      <c r="O2065">
        <v>-779400</v>
      </c>
      <c r="P2065">
        <v>0</v>
      </c>
      <c r="Q2065">
        <v>-779400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 t="s">
        <v>47</v>
      </c>
      <c r="AA2065" t="s">
        <v>501</v>
      </c>
      <c r="AB2065" t="s">
        <v>51</v>
      </c>
      <c r="AC2065" t="s">
        <v>51</v>
      </c>
      <c r="AD2065" t="s">
        <v>51</v>
      </c>
      <c r="AE2065" t="s">
        <v>51</v>
      </c>
      <c r="AF2065" t="s">
        <v>1704</v>
      </c>
    </row>
    <row r="2066" spans="1:32" ht="14.5" customHeight="1" x14ac:dyDescent="0.35">
      <c r="A2066" t="s">
        <v>763</v>
      </c>
      <c r="B2066" t="s">
        <v>764</v>
      </c>
      <c r="C2066" t="s">
        <v>47</v>
      </c>
      <c r="D2066">
        <v>3001562</v>
      </c>
      <c r="E2066">
        <v>3001562</v>
      </c>
      <c r="F2066" t="s">
        <v>1677</v>
      </c>
      <c r="G2066" t="s">
        <v>1677</v>
      </c>
      <c r="H2066" t="s">
        <v>54</v>
      </c>
      <c r="I2066">
        <v>6959694</v>
      </c>
      <c r="J2066" s="12">
        <v>46127</v>
      </c>
      <c r="K2066" s="12">
        <v>46127</v>
      </c>
      <c r="L2066" s="12">
        <v>46127</v>
      </c>
      <c r="M2066">
        <v>5</v>
      </c>
      <c r="N2066">
        <v>-458200</v>
      </c>
      <c r="O2066">
        <v>-458200</v>
      </c>
      <c r="P2066">
        <v>0</v>
      </c>
      <c r="Q2066">
        <v>-458200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 t="s">
        <v>47</v>
      </c>
      <c r="AA2066" t="s">
        <v>501</v>
      </c>
      <c r="AB2066" t="s">
        <v>51</v>
      </c>
      <c r="AC2066" t="s">
        <v>51</v>
      </c>
      <c r="AD2066" t="s">
        <v>51</v>
      </c>
      <c r="AE2066" t="s">
        <v>51</v>
      </c>
      <c r="AF2066" t="s">
        <v>1704</v>
      </c>
    </row>
    <row r="2067" spans="1:32" ht="14.5" customHeight="1" x14ac:dyDescent="0.35">
      <c r="A2067" t="s">
        <v>763</v>
      </c>
      <c r="B2067" t="s">
        <v>764</v>
      </c>
      <c r="C2067" t="s">
        <v>47</v>
      </c>
      <c r="D2067">
        <v>3001562</v>
      </c>
      <c r="E2067">
        <v>3001562</v>
      </c>
      <c r="F2067" t="s">
        <v>1677</v>
      </c>
      <c r="G2067" t="s">
        <v>1677</v>
      </c>
      <c r="H2067" t="s">
        <v>54</v>
      </c>
      <c r="I2067">
        <v>6959695</v>
      </c>
      <c r="J2067" s="12">
        <v>46127</v>
      </c>
      <c r="K2067" s="12">
        <v>46127</v>
      </c>
      <c r="L2067" s="12">
        <v>46127</v>
      </c>
      <c r="M2067">
        <v>5</v>
      </c>
      <c r="N2067">
        <v>-214900</v>
      </c>
      <c r="O2067">
        <v>-214900</v>
      </c>
      <c r="P2067">
        <v>0</v>
      </c>
      <c r="Q2067">
        <v>-214900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 t="s">
        <v>47</v>
      </c>
      <c r="AA2067" t="s">
        <v>501</v>
      </c>
      <c r="AB2067" t="s">
        <v>51</v>
      </c>
      <c r="AC2067" t="s">
        <v>51</v>
      </c>
      <c r="AD2067" t="s">
        <v>51</v>
      </c>
      <c r="AE2067" t="s">
        <v>51</v>
      </c>
      <c r="AF2067" t="s">
        <v>1704</v>
      </c>
    </row>
    <row r="2068" spans="1:32" ht="14.5" customHeight="1" x14ac:dyDescent="0.35">
      <c r="A2068" t="s">
        <v>763</v>
      </c>
      <c r="B2068" t="s">
        <v>764</v>
      </c>
      <c r="C2068" t="s">
        <v>47</v>
      </c>
      <c r="D2068">
        <v>3001562</v>
      </c>
      <c r="E2068">
        <v>3001562</v>
      </c>
      <c r="F2068" t="s">
        <v>1677</v>
      </c>
      <c r="G2068" t="s">
        <v>1677</v>
      </c>
      <c r="H2068" t="s">
        <v>54</v>
      </c>
      <c r="I2068">
        <v>6959696</v>
      </c>
      <c r="J2068" s="12">
        <v>46127</v>
      </c>
      <c r="K2068" s="12">
        <v>46127</v>
      </c>
      <c r="L2068" s="12">
        <v>46127</v>
      </c>
      <c r="M2068">
        <v>5</v>
      </c>
      <c r="N2068">
        <v>-756814</v>
      </c>
      <c r="O2068">
        <v>-756814</v>
      </c>
      <c r="P2068">
        <v>0</v>
      </c>
      <c r="Q2068">
        <v>-756814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 t="s">
        <v>47</v>
      </c>
      <c r="AA2068" t="s">
        <v>501</v>
      </c>
      <c r="AB2068" t="s">
        <v>51</v>
      </c>
      <c r="AC2068" t="s">
        <v>51</v>
      </c>
      <c r="AD2068" t="s">
        <v>51</v>
      </c>
      <c r="AE2068" t="s">
        <v>51</v>
      </c>
      <c r="AF2068" t="s">
        <v>1703</v>
      </c>
    </row>
    <row r="2069" spans="1:32" ht="14.5" customHeight="1" x14ac:dyDescent="0.35">
      <c r="A2069" t="s">
        <v>763</v>
      </c>
      <c r="B2069" t="s">
        <v>764</v>
      </c>
      <c r="C2069" t="s">
        <v>47</v>
      </c>
      <c r="D2069">
        <v>3001562</v>
      </c>
      <c r="E2069">
        <v>3001562</v>
      </c>
      <c r="F2069" t="s">
        <v>1677</v>
      </c>
      <c r="G2069" t="s">
        <v>1677</v>
      </c>
      <c r="H2069" t="s">
        <v>54</v>
      </c>
      <c r="I2069">
        <v>6959697</v>
      </c>
      <c r="J2069" s="12">
        <v>46127</v>
      </c>
      <c r="K2069" s="12">
        <v>46127</v>
      </c>
      <c r="L2069" s="12">
        <v>46127</v>
      </c>
      <c r="M2069">
        <v>5</v>
      </c>
      <c r="N2069">
        <v>-1232066</v>
      </c>
      <c r="O2069">
        <v>-1232066</v>
      </c>
      <c r="P2069">
        <v>0</v>
      </c>
      <c r="Q2069">
        <v>-1232066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 t="s">
        <v>47</v>
      </c>
      <c r="AA2069" t="s">
        <v>501</v>
      </c>
      <c r="AB2069" t="s">
        <v>51</v>
      </c>
      <c r="AC2069" t="s">
        <v>51</v>
      </c>
      <c r="AD2069" t="s">
        <v>51</v>
      </c>
      <c r="AE2069" t="s">
        <v>51</v>
      </c>
      <c r="AF2069" t="s">
        <v>1703</v>
      </c>
    </row>
    <row r="2070" spans="1:32" ht="14.5" customHeight="1" x14ac:dyDescent="0.35">
      <c r="A2070" t="s">
        <v>763</v>
      </c>
      <c r="B2070" t="s">
        <v>764</v>
      </c>
      <c r="C2070" t="s">
        <v>47</v>
      </c>
      <c r="D2070">
        <v>3001562</v>
      </c>
      <c r="E2070">
        <v>3001562</v>
      </c>
      <c r="F2070" t="s">
        <v>1677</v>
      </c>
      <c r="G2070" t="s">
        <v>1677</v>
      </c>
      <c r="H2070" t="s">
        <v>54</v>
      </c>
      <c r="I2070">
        <v>6959698</v>
      </c>
      <c r="J2070" s="12">
        <v>46127</v>
      </c>
      <c r="K2070" s="12">
        <v>46127</v>
      </c>
      <c r="L2070" s="12">
        <v>46127</v>
      </c>
      <c r="M2070">
        <v>5</v>
      </c>
      <c r="N2070">
        <v>-1460232</v>
      </c>
      <c r="O2070">
        <v>-1460232</v>
      </c>
      <c r="P2070">
        <v>0</v>
      </c>
      <c r="Q2070">
        <v>-1460232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 t="s">
        <v>47</v>
      </c>
      <c r="AA2070" t="s">
        <v>501</v>
      </c>
      <c r="AB2070" t="s">
        <v>51</v>
      </c>
      <c r="AC2070" t="s">
        <v>51</v>
      </c>
      <c r="AD2070" t="s">
        <v>51</v>
      </c>
      <c r="AE2070" t="s">
        <v>51</v>
      </c>
      <c r="AF2070" t="s">
        <v>1701</v>
      </c>
    </row>
    <row r="2071" spans="1:32" ht="14.5" customHeight="1" x14ac:dyDescent="0.35">
      <c r="A2071" t="s">
        <v>763</v>
      </c>
      <c r="B2071" t="s">
        <v>764</v>
      </c>
      <c r="C2071" t="s">
        <v>47</v>
      </c>
      <c r="D2071">
        <v>3001562</v>
      </c>
      <c r="E2071">
        <v>3001562</v>
      </c>
      <c r="F2071" t="s">
        <v>1677</v>
      </c>
      <c r="G2071" t="s">
        <v>1677</v>
      </c>
      <c r="H2071" t="s">
        <v>54</v>
      </c>
      <c r="I2071">
        <v>6959699</v>
      </c>
      <c r="J2071" s="12">
        <v>46127</v>
      </c>
      <c r="K2071" s="12">
        <v>46127</v>
      </c>
      <c r="L2071" s="12">
        <v>46127</v>
      </c>
      <c r="M2071">
        <v>5</v>
      </c>
      <c r="N2071">
        <v>-1500000</v>
      </c>
      <c r="O2071">
        <v>-1500000</v>
      </c>
      <c r="P2071">
        <v>0</v>
      </c>
      <c r="Q2071">
        <v>-1500000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 t="s">
        <v>47</v>
      </c>
      <c r="AA2071" t="s">
        <v>501</v>
      </c>
      <c r="AB2071" t="s">
        <v>51</v>
      </c>
      <c r="AC2071" t="s">
        <v>51</v>
      </c>
      <c r="AD2071" t="s">
        <v>51</v>
      </c>
      <c r="AE2071" t="s">
        <v>51</v>
      </c>
      <c r="AF2071" t="s">
        <v>1705</v>
      </c>
    </row>
    <row r="2072" spans="1:32" ht="14.5" customHeight="1" x14ac:dyDescent="0.35">
      <c r="A2072" t="s">
        <v>763</v>
      </c>
      <c r="B2072" t="s">
        <v>764</v>
      </c>
      <c r="C2072" t="s">
        <v>47</v>
      </c>
      <c r="D2072">
        <v>3001562</v>
      </c>
      <c r="E2072">
        <v>3001562</v>
      </c>
      <c r="F2072" t="s">
        <v>1677</v>
      </c>
      <c r="G2072" t="s">
        <v>1677</v>
      </c>
      <c r="H2072" t="s">
        <v>54</v>
      </c>
      <c r="I2072">
        <v>6959700</v>
      </c>
      <c r="J2072" s="12">
        <v>46127</v>
      </c>
      <c r="K2072" s="12">
        <v>46127</v>
      </c>
      <c r="L2072" s="12">
        <v>46127</v>
      </c>
      <c r="M2072">
        <v>5</v>
      </c>
      <c r="N2072">
        <v>-148254</v>
      </c>
      <c r="O2072">
        <v>-148254</v>
      </c>
      <c r="P2072">
        <v>0</v>
      </c>
      <c r="Q2072">
        <v>-148254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 t="s">
        <v>47</v>
      </c>
      <c r="AA2072" t="s">
        <v>501</v>
      </c>
      <c r="AB2072" t="s">
        <v>51</v>
      </c>
      <c r="AC2072" t="s">
        <v>51</v>
      </c>
      <c r="AD2072" t="s">
        <v>51</v>
      </c>
      <c r="AE2072" t="s">
        <v>51</v>
      </c>
      <c r="AF2072" t="s">
        <v>1699</v>
      </c>
    </row>
    <row r="2073" spans="1:32" ht="14.5" customHeight="1" x14ac:dyDescent="0.35">
      <c r="A2073" t="s">
        <v>763</v>
      </c>
      <c r="B2073" t="s">
        <v>764</v>
      </c>
      <c r="C2073" t="s">
        <v>47</v>
      </c>
      <c r="D2073">
        <v>3001562</v>
      </c>
      <c r="E2073">
        <v>3001562</v>
      </c>
      <c r="F2073" t="s">
        <v>1677</v>
      </c>
      <c r="G2073" t="s">
        <v>1677</v>
      </c>
      <c r="H2073" t="s">
        <v>54</v>
      </c>
      <c r="I2073">
        <v>6959701</v>
      </c>
      <c r="J2073" s="12">
        <v>46127</v>
      </c>
      <c r="K2073" s="12">
        <v>46127</v>
      </c>
      <c r="L2073" s="12">
        <v>46127</v>
      </c>
      <c r="M2073">
        <v>5</v>
      </c>
      <c r="N2073">
        <v>-502854</v>
      </c>
      <c r="O2073">
        <v>-502854</v>
      </c>
      <c r="P2073">
        <v>0</v>
      </c>
      <c r="Q2073">
        <v>-502854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 t="s">
        <v>47</v>
      </c>
      <c r="AA2073" t="s">
        <v>501</v>
      </c>
      <c r="AB2073" t="s">
        <v>51</v>
      </c>
      <c r="AC2073" t="s">
        <v>51</v>
      </c>
      <c r="AD2073" t="s">
        <v>51</v>
      </c>
      <c r="AE2073" t="s">
        <v>51</v>
      </c>
      <c r="AF2073" t="s">
        <v>1699</v>
      </c>
    </row>
    <row r="2074" spans="1:32" ht="14.5" customHeight="1" x14ac:dyDescent="0.35">
      <c r="A2074" t="s">
        <v>763</v>
      </c>
      <c r="B2074" t="s">
        <v>764</v>
      </c>
      <c r="C2074" t="s">
        <v>47</v>
      </c>
      <c r="D2074">
        <v>3001562</v>
      </c>
      <c r="E2074">
        <v>3001575</v>
      </c>
      <c r="F2074" t="s">
        <v>1677</v>
      </c>
      <c r="G2074" t="s">
        <v>1677</v>
      </c>
      <c r="H2074" t="s">
        <v>54</v>
      </c>
      <c r="I2074">
        <v>6959702</v>
      </c>
      <c r="J2074" s="12">
        <v>46127</v>
      </c>
      <c r="K2074" s="12">
        <v>46127</v>
      </c>
      <c r="L2074" s="12">
        <v>46127</v>
      </c>
      <c r="M2074">
        <v>5</v>
      </c>
      <c r="N2074">
        <v>-837420</v>
      </c>
      <c r="O2074">
        <v>-837420</v>
      </c>
      <c r="P2074">
        <v>0</v>
      </c>
      <c r="Q2074">
        <v>-837420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 t="s">
        <v>47</v>
      </c>
      <c r="AA2074" t="s">
        <v>501</v>
      </c>
      <c r="AB2074" t="s">
        <v>51</v>
      </c>
      <c r="AC2074" t="s">
        <v>51</v>
      </c>
      <c r="AD2074" t="s">
        <v>51</v>
      </c>
      <c r="AE2074" t="s">
        <v>51</v>
      </c>
      <c r="AF2074" t="s">
        <v>1701</v>
      </c>
    </row>
    <row r="2075" spans="1:32" ht="14.5" customHeight="1" x14ac:dyDescent="0.35">
      <c r="A2075" t="s">
        <v>763</v>
      </c>
      <c r="B2075" t="s">
        <v>764</v>
      </c>
      <c r="C2075" t="s">
        <v>47</v>
      </c>
      <c r="D2075">
        <v>3001562</v>
      </c>
      <c r="E2075">
        <v>3001575</v>
      </c>
      <c r="F2075" t="s">
        <v>1677</v>
      </c>
      <c r="G2075" t="s">
        <v>1677</v>
      </c>
      <c r="H2075" t="s">
        <v>54</v>
      </c>
      <c r="I2075">
        <v>6959703</v>
      </c>
      <c r="J2075" s="12">
        <v>46127</v>
      </c>
      <c r="K2075" s="12">
        <v>46127</v>
      </c>
      <c r="L2075" s="12">
        <v>46127</v>
      </c>
      <c r="M2075">
        <v>5</v>
      </c>
      <c r="N2075">
        <v>-13053303</v>
      </c>
      <c r="O2075">
        <v>-13053303</v>
      </c>
      <c r="P2075">
        <v>0</v>
      </c>
      <c r="Q2075">
        <v>-13053303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 t="s">
        <v>47</v>
      </c>
      <c r="AA2075" t="s">
        <v>501</v>
      </c>
      <c r="AB2075" t="s">
        <v>51</v>
      </c>
      <c r="AC2075" t="s">
        <v>51</v>
      </c>
      <c r="AD2075" t="s">
        <v>51</v>
      </c>
      <c r="AE2075" t="s">
        <v>51</v>
      </c>
      <c r="AF2075" t="s">
        <v>1706</v>
      </c>
    </row>
    <row r="2076" spans="1:32" ht="14.5" customHeight="1" x14ac:dyDescent="0.35">
      <c r="A2076" t="s">
        <v>763</v>
      </c>
      <c r="B2076" t="s">
        <v>764</v>
      </c>
      <c r="C2076" t="s">
        <v>47</v>
      </c>
      <c r="D2076">
        <v>3001562</v>
      </c>
      <c r="E2076">
        <v>3001575</v>
      </c>
      <c r="F2076" t="s">
        <v>1677</v>
      </c>
      <c r="G2076" t="s">
        <v>1677</v>
      </c>
      <c r="H2076" t="s">
        <v>54</v>
      </c>
      <c r="I2076">
        <v>6959704</v>
      </c>
      <c r="J2076" s="12">
        <v>46127</v>
      </c>
      <c r="K2076" s="12">
        <v>46127</v>
      </c>
      <c r="L2076" s="12">
        <v>46127</v>
      </c>
      <c r="M2076">
        <v>5</v>
      </c>
      <c r="N2076">
        <v>-2180000</v>
      </c>
      <c r="O2076">
        <v>-2180000</v>
      </c>
      <c r="P2076">
        <v>0</v>
      </c>
      <c r="Q2076">
        <v>-2180000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 t="s">
        <v>47</v>
      </c>
      <c r="AA2076" t="s">
        <v>501</v>
      </c>
      <c r="AB2076" t="s">
        <v>51</v>
      </c>
      <c r="AC2076" t="s">
        <v>51</v>
      </c>
      <c r="AD2076" t="s">
        <v>51</v>
      </c>
      <c r="AE2076" t="s">
        <v>51</v>
      </c>
      <c r="AF2076" t="s">
        <v>1707</v>
      </c>
    </row>
    <row r="2077" spans="1:32" ht="14.5" customHeight="1" x14ac:dyDescent="0.35">
      <c r="A2077" t="s">
        <v>763</v>
      </c>
      <c r="B2077" t="s">
        <v>764</v>
      </c>
      <c r="C2077" t="s">
        <v>47</v>
      </c>
      <c r="D2077">
        <v>3001562</v>
      </c>
      <c r="E2077">
        <v>3001575</v>
      </c>
      <c r="F2077" t="s">
        <v>1677</v>
      </c>
      <c r="G2077" t="s">
        <v>1677</v>
      </c>
      <c r="H2077" t="s">
        <v>54</v>
      </c>
      <c r="I2077">
        <v>6959705</v>
      </c>
      <c r="J2077" s="12">
        <v>46127</v>
      </c>
      <c r="K2077" s="12">
        <v>46127</v>
      </c>
      <c r="L2077" s="12">
        <v>46127</v>
      </c>
      <c r="M2077">
        <v>5</v>
      </c>
      <c r="N2077">
        <v>-218000</v>
      </c>
      <c r="O2077">
        <v>-218000</v>
      </c>
      <c r="P2077">
        <v>0</v>
      </c>
      <c r="Q2077">
        <v>-218000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 t="s">
        <v>47</v>
      </c>
      <c r="AA2077" t="s">
        <v>501</v>
      </c>
      <c r="AB2077" t="s">
        <v>51</v>
      </c>
      <c r="AC2077" t="s">
        <v>51</v>
      </c>
      <c r="AD2077" t="s">
        <v>51</v>
      </c>
      <c r="AE2077" t="s">
        <v>51</v>
      </c>
      <c r="AF2077" t="s">
        <v>1707</v>
      </c>
    </row>
    <row r="2078" spans="1:32" ht="14.5" customHeight="1" x14ac:dyDescent="0.35">
      <c r="A2078" t="s">
        <v>763</v>
      </c>
      <c r="B2078" t="s">
        <v>764</v>
      </c>
      <c r="C2078" t="s">
        <v>47</v>
      </c>
      <c r="D2078">
        <v>3001562</v>
      </c>
      <c r="E2078">
        <v>3001562</v>
      </c>
      <c r="F2078" t="s">
        <v>1677</v>
      </c>
      <c r="G2078" t="s">
        <v>1677</v>
      </c>
      <c r="H2078" t="s">
        <v>54</v>
      </c>
      <c r="I2078">
        <v>6959714</v>
      </c>
      <c r="J2078" s="12">
        <v>46128</v>
      </c>
      <c r="K2078" s="12">
        <v>46128</v>
      </c>
      <c r="L2078" s="12">
        <v>46128</v>
      </c>
      <c r="M2078">
        <v>4</v>
      </c>
      <c r="N2078">
        <v>-108000</v>
      </c>
      <c r="O2078">
        <v>-108000</v>
      </c>
      <c r="P2078">
        <v>0</v>
      </c>
      <c r="Q2078">
        <v>-108000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 t="s">
        <v>47</v>
      </c>
      <c r="AA2078" t="s">
        <v>501</v>
      </c>
      <c r="AB2078" t="s">
        <v>51</v>
      </c>
      <c r="AC2078" t="s">
        <v>51</v>
      </c>
      <c r="AD2078" t="s">
        <v>51</v>
      </c>
      <c r="AE2078" t="s">
        <v>51</v>
      </c>
      <c r="AF2078" t="s">
        <v>1704</v>
      </c>
    </row>
    <row r="2079" spans="1:32" ht="14.5" customHeight="1" x14ac:dyDescent="0.35">
      <c r="A2079" t="s">
        <v>763</v>
      </c>
      <c r="B2079" t="s">
        <v>764</v>
      </c>
      <c r="C2079" t="s">
        <v>47</v>
      </c>
      <c r="D2079">
        <v>3001562</v>
      </c>
      <c r="E2079">
        <v>3001562</v>
      </c>
      <c r="F2079" t="s">
        <v>1677</v>
      </c>
      <c r="G2079" t="s">
        <v>1677</v>
      </c>
      <c r="H2079" t="s">
        <v>54</v>
      </c>
      <c r="I2079">
        <v>6959715</v>
      </c>
      <c r="J2079" s="12">
        <v>46128</v>
      </c>
      <c r="K2079" s="12">
        <v>46128</v>
      </c>
      <c r="L2079" s="12">
        <v>46128</v>
      </c>
      <c r="M2079">
        <v>4</v>
      </c>
      <c r="N2079">
        <v>-821600</v>
      </c>
      <c r="O2079">
        <v>-821600</v>
      </c>
      <c r="P2079">
        <v>0</v>
      </c>
      <c r="Q2079">
        <v>-821600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 t="s">
        <v>47</v>
      </c>
      <c r="AA2079" t="s">
        <v>501</v>
      </c>
      <c r="AB2079" t="s">
        <v>51</v>
      </c>
      <c r="AC2079" t="s">
        <v>51</v>
      </c>
      <c r="AD2079" t="s">
        <v>51</v>
      </c>
      <c r="AE2079" t="s">
        <v>51</v>
      </c>
      <c r="AF2079" t="s">
        <v>1704</v>
      </c>
    </row>
    <row r="2080" spans="1:32" ht="14.5" customHeight="1" x14ac:dyDescent="0.35">
      <c r="A2080" t="s">
        <v>763</v>
      </c>
      <c r="B2080" t="s">
        <v>764</v>
      </c>
      <c r="C2080" t="s">
        <v>47</v>
      </c>
      <c r="D2080">
        <v>3001562</v>
      </c>
      <c r="E2080">
        <v>3001562</v>
      </c>
      <c r="F2080" t="s">
        <v>1677</v>
      </c>
      <c r="G2080" t="s">
        <v>1677</v>
      </c>
      <c r="H2080" t="s">
        <v>54</v>
      </c>
      <c r="I2080">
        <v>6959716</v>
      </c>
      <c r="J2080" s="12">
        <v>46128</v>
      </c>
      <c r="K2080" s="12">
        <v>46128</v>
      </c>
      <c r="L2080" s="12">
        <v>46128</v>
      </c>
      <c r="M2080">
        <v>4</v>
      </c>
      <c r="N2080">
        <v>-108000</v>
      </c>
      <c r="O2080">
        <v>-108000</v>
      </c>
      <c r="P2080">
        <v>0</v>
      </c>
      <c r="Q2080">
        <v>-108000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 t="s">
        <v>47</v>
      </c>
      <c r="AA2080" t="s">
        <v>501</v>
      </c>
      <c r="AB2080" t="s">
        <v>51</v>
      </c>
      <c r="AC2080" t="s">
        <v>51</v>
      </c>
      <c r="AD2080" t="s">
        <v>51</v>
      </c>
      <c r="AE2080" t="s">
        <v>51</v>
      </c>
      <c r="AF2080" t="s">
        <v>1704</v>
      </c>
    </row>
    <row r="2081" spans="1:32" ht="14.5" customHeight="1" x14ac:dyDescent="0.35">
      <c r="A2081" t="s">
        <v>763</v>
      </c>
      <c r="B2081" t="s">
        <v>764</v>
      </c>
      <c r="C2081" t="s">
        <v>47</v>
      </c>
      <c r="D2081">
        <v>3001562</v>
      </c>
      <c r="E2081">
        <v>3001562</v>
      </c>
      <c r="F2081" t="s">
        <v>1677</v>
      </c>
      <c r="G2081" t="s">
        <v>1677</v>
      </c>
      <c r="H2081" t="s">
        <v>54</v>
      </c>
      <c r="I2081">
        <v>6959717</v>
      </c>
      <c r="J2081" s="12">
        <v>46128</v>
      </c>
      <c r="K2081" s="12">
        <v>46128</v>
      </c>
      <c r="L2081" s="12">
        <v>46128</v>
      </c>
      <c r="M2081">
        <v>4</v>
      </c>
      <c r="N2081">
        <v>-458200</v>
      </c>
      <c r="O2081">
        <v>-458200</v>
      </c>
      <c r="P2081">
        <v>0</v>
      </c>
      <c r="Q2081">
        <v>-458200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 t="s">
        <v>47</v>
      </c>
      <c r="AA2081" t="s">
        <v>501</v>
      </c>
      <c r="AB2081" t="s">
        <v>51</v>
      </c>
      <c r="AC2081" t="s">
        <v>51</v>
      </c>
      <c r="AD2081" t="s">
        <v>51</v>
      </c>
      <c r="AE2081" t="s">
        <v>51</v>
      </c>
      <c r="AF2081" t="s">
        <v>1704</v>
      </c>
    </row>
    <row r="2082" spans="1:32" ht="14.5" customHeight="1" x14ac:dyDescent="0.35">
      <c r="A2082" t="s">
        <v>763</v>
      </c>
      <c r="B2082" t="s">
        <v>764</v>
      </c>
      <c r="C2082" t="s">
        <v>47</v>
      </c>
      <c r="D2082">
        <v>3001562</v>
      </c>
      <c r="E2082">
        <v>3001562</v>
      </c>
      <c r="F2082" t="s">
        <v>1677</v>
      </c>
      <c r="G2082" t="s">
        <v>1677</v>
      </c>
      <c r="H2082" t="s">
        <v>54</v>
      </c>
      <c r="I2082">
        <v>6959718</v>
      </c>
      <c r="J2082" s="12">
        <v>46128</v>
      </c>
      <c r="K2082" s="12">
        <v>46128</v>
      </c>
      <c r="L2082" s="12">
        <v>46128</v>
      </c>
      <c r="M2082">
        <v>4</v>
      </c>
      <c r="N2082">
        <v>-686729</v>
      </c>
      <c r="O2082">
        <v>-686729</v>
      </c>
      <c r="P2082">
        <v>0</v>
      </c>
      <c r="Q2082">
        <v>-686729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 t="s">
        <v>47</v>
      </c>
      <c r="AA2082" t="s">
        <v>501</v>
      </c>
      <c r="AB2082" t="s">
        <v>51</v>
      </c>
      <c r="AC2082" t="s">
        <v>51</v>
      </c>
      <c r="AD2082" t="s">
        <v>51</v>
      </c>
      <c r="AE2082" t="s">
        <v>51</v>
      </c>
      <c r="AF2082" t="s">
        <v>1708</v>
      </c>
    </row>
    <row r="2083" spans="1:32" ht="14.5" customHeight="1" x14ac:dyDescent="0.35">
      <c r="A2083" t="s">
        <v>763</v>
      </c>
      <c r="B2083" t="s">
        <v>764</v>
      </c>
      <c r="C2083" t="s">
        <v>47</v>
      </c>
      <c r="D2083">
        <v>3001562</v>
      </c>
      <c r="E2083">
        <v>3001562</v>
      </c>
      <c r="F2083" t="s">
        <v>1677</v>
      </c>
      <c r="G2083" t="s">
        <v>1677</v>
      </c>
      <c r="H2083" t="s">
        <v>54</v>
      </c>
      <c r="I2083">
        <v>6959719</v>
      </c>
      <c r="J2083" s="12">
        <v>46128</v>
      </c>
      <c r="K2083" s="12">
        <v>46128</v>
      </c>
      <c r="L2083" s="12">
        <v>46128</v>
      </c>
      <c r="M2083">
        <v>4</v>
      </c>
      <c r="N2083">
        <v>-3261369</v>
      </c>
      <c r="O2083">
        <v>-3261369</v>
      </c>
      <c r="P2083">
        <v>0</v>
      </c>
      <c r="Q2083">
        <v>-3261369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 t="s">
        <v>47</v>
      </c>
      <c r="AA2083" t="s">
        <v>501</v>
      </c>
      <c r="AB2083" t="s">
        <v>51</v>
      </c>
      <c r="AC2083" t="s">
        <v>51</v>
      </c>
      <c r="AD2083" t="s">
        <v>51</v>
      </c>
      <c r="AE2083" t="s">
        <v>51</v>
      </c>
      <c r="AF2083" t="s">
        <v>1699</v>
      </c>
    </row>
    <row r="2084" spans="1:32" ht="14.5" customHeight="1" x14ac:dyDescent="0.35">
      <c r="A2084" t="s">
        <v>763</v>
      </c>
      <c r="B2084" t="s">
        <v>764</v>
      </c>
      <c r="C2084" t="s">
        <v>47</v>
      </c>
      <c r="D2084">
        <v>3001562</v>
      </c>
      <c r="E2084">
        <v>3001562</v>
      </c>
      <c r="F2084" t="s">
        <v>1677</v>
      </c>
      <c r="G2084" t="s">
        <v>1677</v>
      </c>
      <c r="H2084" t="s">
        <v>54</v>
      </c>
      <c r="I2084">
        <v>6959792</v>
      </c>
      <c r="J2084" s="12">
        <v>46128</v>
      </c>
      <c r="K2084" s="12">
        <v>46128</v>
      </c>
      <c r="L2084" s="12">
        <v>46128</v>
      </c>
      <c r="M2084">
        <v>4</v>
      </c>
      <c r="N2084">
        <v>-729400</v>
      </c>
      <c r="O2084">
        <v>-729400</v>
      </c>
      <c r="P2084">
        <v>0</v>
      </c>
      <c r="Q2084">
        <v>-729400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 t="s">
        <v>47</v>
      </c>
      <c r="AA2084" t="s">
        <v>501</v>
      </c>
      <c r="AB2084" t="s">
        <v>51</v>
      </c>
      <c r="AC2084" t="s">
        <v>51</v>
      </c>
      <c r="AD2084" t="s">
        <v>51</v>
      </c>
      <c r="AE2084" t="s">
        <v>51</v>
      </c>
      <c r="AF2084" t="s">
        <v>1705</v>
      </c>
    </row>
    <row r="2085" spans="1:32" ht="14.5" customHeight="1" x14ac:dyDescent="0.35">
      <c r="A2085" t="s">
        <v>763</v>
      </c>
      <c r="B2085" t="s">
        <v>764</v>
      </c>
      <c r="C2085" t="s">
        <v>47</v>
      </c>
      <c r="D2085">
        <v>3001562</v>
      </c>
      <c r="E2085">
        <v>3001562</v>
      </c>
      <c r="F2085" t="s">
        <v>1677</v>
      </c>
      <c r="G2085" t="s">
        <v>1677</v>
      </c>
      <c r="H2085" t="s">
        <v>54</v>
      </c>
      <c r="I2085">
        <v>6959793</v>
      </c>
      <c r="J2085" s="12">
        <v>46128</v>
      </c>
      <c r="K2085" s="12">
        <v>46128</v>
      </c>
      <c r="L2085" s="12">
        <v>46128</v>
      </c>
      <c r="M2085">
        <v>4</v>
      </c>
      <c r="N2085">
        <v>-519750</v>
      </c>
      <c r="O2085">
        <v>-519750</v>
      </c>
      <c r="P2085">
        <v>0</v>
      </c>
      <c r="Q2085">
        <v>-519750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 t="s">
        <v>47</v>
      </c>
      <c r="AA2085" t="s">
        <v>501</v>
      </c>
      <c r="AB2085" t="s">
        <v>51</v>
      </c>
      <c r="AC2085" t="s">
        <v>51</v>
      </c>
      <c r="AD2085" t="s">
        <v>51</v>
      </c>
      <c r="AE2085" t="s">
        <v>51</v>
      </c>
      <c r="AF2085" t="s">
        <v>1703</v>
      </c>
    </row>
    <row r="2086" spans="1:32" ht="14.5" customHeight="1" x14ac:dyDescent="0.35">
      <c r="A2086" t="s">
        <v>763</v>
      </c>
      <c r="B2086" t="s">
        <v>764</v>
      </c>
      <c r="C2086" t="s">
        <v>47</v>
      </c>
      <c r="D2086">
        <v>3001562</v>
      </c>
      <c r="E2086">
        <v>3001562</v>
      </c>
      <c r="F2086" t="s">
        <v>1677</v>
      </c>
      <c r="G2086" t="s">
        <v>1677</v>
      </c>
      <c r="H2086" t="s">
        <v>54</v>
      </c>
      <c r="I2086">
        <v>6959794</v>
      </c>
      <c r="J2086" s="12">
        <v>46128</v>
      </c>
      <c r="K2086" s="12">
        <v>46128</v>
      </c>
      <c r="L2086" s="12">
        <v>46128</v>
      </c>
      <c r="M2086">
        <v>4</v>
      </c>
      <c r="N2086">
        <v>-552500</v>
      </c>
      <c r="O2086">
        <v>-552500</v>
      </c>
      <c r="P2086">
        <v>0</v>
      </c>
      <c r="Q2086">
        <v>-552500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 t="s">
        <v>47</v>
      </c>
      <c r="AA2086" t="s">
        <v>501</v>
      </c>
      <c r="AB2086" t="s">
        <v>51</v>
      </c>
      <c r="AC2086" t="s">
        <v>51</v>
      </c>
      <c r="AD2086" t="s">
        <v>51</v>
      </c>
      <c r="AE2086" t="s">
        <v>51</v>
      </c>
      <c r="AF2086" t="s">
        <v>1705</v>
      </c>
    </row>
    <row r="2087" spans="1:32" ht="14.5" customHeight="1" x14ac:dyDescent="0.35">
      <c r="A2087" t="s">
        <v>763</v>
      </c>
      <c r="B2087" t="s">
        <v>764</v>
      </c>
      <c r="C2087" t="s">
        <v>47</v>
      </c>
      <c r="D2087">
        <v>3001562</v>
      </c>
      <c r="E2087">
        <v>3001562</v>
      </c>
      <c r="F2087" t="s">
        <v>1677</v>
      </c>
      <c r="G2087" t="s">
        <v>1677</v>
      </c>
      <c r="H2087" t="s">
        <v>54</v>
      </c>
      <c r="I2087">
        <v>6959795</v>
      </c>
      <c r="J2087" s="12">
        <v>46128</v>
      </c>
      <c r="K2087" s="12">
        <v>46128</v>
      </c>
      <c r="L2087" s="12">
        <v>46128</v>
      </c>
      <c r="M2087">
        <v>4</v>
      </c>
      <c r="N2087">
        <v>-879100</v>
      </c>
      <c r="O2087">
        <v>-879100</v>
      </c>
      <c r="P2087">
        <v>0</v>
      </c>
      <c r="Q2087">
        <v>-879100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 t="s">
        <v>47</v>
      </c>
      <c r="AA2087" t="s">
        <v>501</v>
      </c>
      <c r="AB2087" t="s">
        <v>51</v>
      </c>
      <c r="AC2087" t="s">
        <v>51</v>
      </c>
      <c r="AD2087" t="s">
        <v>51</v>
      </c>
      <c r="AE2087" t="s">
        <v>51</v>
      </c>
      <c r="AF2087" t="s">
        <v>1705</v>
      </c>
    </row>
    <row r="2088" spans="1:32" ht="14.5" customHeight="1" x14ac:dyDescent="0.35">
      <c r="A2088" t="s">
        <v>763</v>
      </c>
      <c r="B2088" t="s">
        <v>764</v>
      </c>
      <c r="C2088" t="s">
        <v>47</v>
      </c>
      <c r="D2088">
        <v>3001562</v>
      </c>
      <c r="E2088">
        <v>3001562</v>
      </c>
      <c r="F2088" t="s">
        <v>1677</v>
      </c>
      <c r="G2088" t="s">
        <v>1677</v>
      </c>
      <c r="H2088" t="s">
        <v>54</v>
      </c>
      <c r="I2088">
        <v>6959796</v>
      </c>
      <c r="J2088" s="12">
        <v>46128</v>
      </c>
      <c r="K2088" s="12">
        <v>46128</v>
      </c>
      <c r="L2088" s="12">
        <v>46128</v>
      </c>
      <c r="M2088">
        <v>4</v>
      </c>
      <c r="N2088">
        <v>-678400</v>
      </c>
      <c r="O2088">
        <v>-678400</v>
      </c>
      <c r="P2088">
        <v>0</v>
      </c>
      <c r="Q2088">
        <v>-678400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 t="s">
        <v>47</v>
      </c>
      <c r="AA2088" t="s">
        <v>501</v>
      </c>
      <c r="AB2088" t="s">
        <v>51</v>
      </c>
      <c r="AC2088" t="s">
        <v>51</v>
      </c>
      <c r="AD2088" t="s">
        <v>51</v>
      </c>
      <c r="AE2088" t="s">
        <v>51</v>
      </c>
      <c r="AF2088" t="s">
        <v>1705</v>
      </c>
    </row>
    <row r="2089" spans="1:32" ht="14.5" customHeight="1" x14ac:dyDescent="0.35">
      <c r="A2089" t="s">
        <v>763</v>
      </c>
      <c r="B2089" t="s">
        <v>764</v>
      </c>
      <c r="C2089" t="s">
        <v>47</v>
      </c>
      <c r="D2089">
        <v>3001562</v>
      </c>
      <c r="E2089">
        <v>3001562</v>
      </c>
      <c r="F2089" t="s">
        <v>1677</v>
      </c>
      <c r="G2089" t="s">
        <v>1677</v>
      </c>
      <c r="H2089" t="s">
        <v>54</v>
      </c>
      <c r="I2089">
        <v>6959797</v>
      </c>
      <c r="J2089" s="12">
        <v>46128</v>
      </c>
      <c r="K2089" s="12">
        <v>46128</v>
      </c>
      <c r="L2089" s="12">
        <v>46128</v>
      </c>
      <c r="M2089">
        <v>4</v>
      </c>
      <c r="N2089">
        <v>-667700</v>
      </c>
      <c r="O2089">
        <v>-667700</v>
      </c>
      <c r="P2089">
        <v>0</v>
      </c>
      <c r="Q2089">
        <v>-667700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 t="s">
        <v>47</v>
      </c>
      <c r="AA2089" t="s">
        <v>501</v>
      </c>
      <c r="AB2089" t="s">
        <v>51</v>
      </c>
      <c r="AC2089" t="s">
        <v>51</v>
      </c>
      <c r="AD2089" t="s">
        <v>51</v>
      </c>
      <c r="AE2089" t="s">
        <v>51</v>
      </c>
      <c r="AF2089" t="s">
        <v>1705</v>
      </c>
    </row>
    <row r="2090" spans="1:32" ht="14.5" customHeight="1" x14ac:dyDescent="0.35">
      <c r="A2090" t="s">
        <v>763</v>
      </c>
      <c r="B2090" t="s">
        <v>764</v>
      </c>
      <c r="C2090" t="s">
        <v>47</v>
      </c>
      <c r="D2090">
        <v>3001562</v>
      </c>
      <c r="E2090">
        <v>3001562</v>
      </c>
      <c r="F2090" t="s">
        <v>1677</v>
      </c>
      <c r="G2090" t="s">
        <v>1677</v>
      </c>
      <c r="H2090" t="s">
        <v>54</v>
      </c>
      <c r="I2090">
        <v>6959798</v>
      </c>
      <c r="J2090" s="12">
        <v>46128</v>
      </c>
      <c r="K2090" s="12">
        <v>46128</v>
      </c>
      <c r="L2090" s="12">
        <v>46128</v>
      </c>
      <c r="M2090">
        <v>4</v>
      </c>
      <c r="N2090">
        <v>-3450000</v>
      </c>
      <c r="O2090">
        <v>-3450000</v>
      </c>
      <c r="P2090">
        <v>0</v>
      </c>
      <c r="Q2090">
        <v>-3450000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 t="s">
        <v>47</v>
      </c>
      <c r="AA2090" t="s">
        <v>501</v>
      </c>
      <c r="AB2090" t="s">
        <v>51</v>
      </c>
      <c r="AC2090" t="s">
        <v>51</v>
      </c>
      <c r="AD2090" t="s">
        <v>51</v>
      </c>
      <c r="AE2090" t="s">
        <v>51</v>
      </c>
      <c r="AF2090" t="s">
        <v>1703</v>
      </c>
    </row>
    <row r="2091" spans="1:32" ht="14.5" customHeight="1" x14ac:dyDescent="0.35">
      <c r="A2091" t="s">
        <v>763</v>
      </c>
      <c r="B2091" t="s">
        <v>764</v>
      </c>
      <c r="C2091" t="s">
        <v>47</v>
      </c>
      <c r="D2091">
        <v>3001562</v>
      </c>
      <c r="E2091">
        <v>3001562</v>
      </c>
      <c r="F2091" t="s">
        <v>1677</v>
      </c>
      <c r="G2091" t="s">
        <v>1677</v>
      </c>
      <c r="H2091" t="s">
        <v>54</v>
      </c>
      <c r="I2091">
        <v>6959799</v>
      </c>
      <c r="J2091" s="12">
        <v>46128</v>
      </c>
      <c r="K2091" s="12">
        <v>46128</v>
      </c>
      <c r="L2091" s="12">
        <v>46128</v>
      </c>
      <c r="M2091">
        <v>4</v>
      </c>
      <c r="N2091">
        <v>-557500</v>
      </c>
      <c r="O2091">
        <v>-557500</v>
      </c>
      <c r="P2091">
        <v>0</v>
      </c>
      <c r="Q2091">
        <v>-557500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 t="s">
        <v>47</v>
      </c>
      <c r="AA2091" t="s">
        <v>501</v>
      </c>
      <c r="AB2091" t="s">
        <v>51</v>
      </c>
      <c r="AC2091" t="s">
        <v>51</v>
      </c>
      <c r="AD2091" t="s">
        <v>51</v>
      </c>
      <c r="AE2091" t="s">
        <v>51</v>
      </c>
      <c r="AF2091" t="s">
        <v>1703</v>
      </c>
    </row>
    <row r="2092" spans="1:32" ht="14.5" customHeight="1" x14ac:dyDescent="0.35">
      <c r="A2092" t="s">
        <v>763</v>
      </c>
      <c r="B2092" t="s">
        <v>764</v>
      </c>
      <c r="C2092" t="s">
        <v>47</v>
      </c>
      <c r="D2092">
        <v>3001562</v>
      </c>
      <c r="E2092">
        <v>3001562</v>
      </c>
      <c r="F2092" t="s">
        <v>1677</v>
      </c>
      <c r="G2092" t="s">
        <v>1677</v>
      </c>
      <c r="H2092" t="s">
        <v>54</v>
      </c>
      <c r="I2092">
        <v>6959800</v>
      </c>
      <c r="J2092" s="12">
        <v>46128</v>
      </c>
      <c r="K2092" s="12">
        <v>46128</v>
      </c>
      <c r="L2092" s="12">
        <v>46128</v>
      </c>
      <c r="M2092">
        <v>4</v>
      </c>
      <c r="N2092">
        <v>-520800</v>
      </c>
      <c r="O2092">
        <v>-520800</v>
      </c>
      <c r="P2092">
        <v>0</v>
      </c>
      <c r="Q2092">
        <v>-520800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 t="s">
        <v>47</v>
      </c>
      <c r="AA2092" t="s">
        <v>501</v>
      </c>
      <c r="AB2092" t="s">
        <v>51</v>
      </c>
      <c r="AC2092" t="s">
        <v>51</v>
      </c>
      <c r="AD2092" t="s">
        <v>51</v>
      </c>
      <c r="AE2092" t="s">
        <v>51</v>
      </c>
      <c r="AF2092" t="s">
        <v>1705</v>
      </c>
    </row>
    <row r="2093" spans="1:32" ht="14.5" customHeight="1" x14ac:dyDescent="0.35">
      <c r="A2093" t="s">
        <v>763</v>
      </c>
      <c r="B2093" t="s">
        <v>764</v>
      </c>
      <c r="C2093" t="s">
        <v>47</v>
      </c>
      <c r="D2093">
        <v>3001562</v>
      </c>
      <c r="E2093">
        <v>3001562</v>
      </c>
      <c r="F2093" t="s">
        <v>1677</v>
      </c>
      <c r="G2093" t="s">
        <v>1677</v>
      </c>
      <c r="H2093" t="s">
        <v>54</v>
      </c>
      <c r="I2093">
        <v>6959801</v>
      </c>
      <c r="J2093" s="12">
        <v>46128</v>
      </c>
      <c r="K2093" s="12">
        <v>46128</v>
      </c>
      <c r="L2093" s="12">
        <v>46128</v>
      </c>
      <c r="M2093">
        <v>4</v>
      </c>
      <c r="N2093">
        <v>-4500200</v>
      </c>
      <c r="O2093">
        <v>-4500200</v>
      </c>
      <c r="P2093">
        <v>0</v>
      </c>
      <c r="Q2093">
        <v>-4500200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 t="s">
        <v>47</v>
      </c>
      <c r="AA2093" t="s">
        <v>501</v>
      </c>
      <c r="AB2093" t="s">
        <v>51</v>
      </c>
      <c r="AC2093" t="s">
        <v>51</v>
      </c>
      <c r="AD2093" t="s">
        <v>51</v>
      </c>
      <c r="AE2093" t="s">
        <v>51</v>
      </c>
      <c r="AF2093" t="s">
        <v>1704</v>
      </c>
    </row>
    <row r="2094" spans="1:32" ht="14.5" customHeight="1" x14ac:dyDescent="0.35">
      <c r="A2094" t="s">
        <v>763</v>
      </c>
      <c r="B2094" t="s">
        <v>764</v>
      </c>
      <c r="C2094" t="s">
        <v>47</v>
      </c>
      <c r="D2094">
        <v>3001562</v>
      </c>
      <c r="E2094">
        <v>3001562</v>
      </c>
      <c r="F2094" t="s">
        <v>1677</v>
      </c>
      <c r="G2094" t="s">
        <v>1677</v>
      </c>
      <c r="H2094" t="s">
        <v>54</v>
      </c>
      <c r="I2094">
        <v>6959802</v>
      </c>
      <c r="J2094" s="12">
        <v>46128</v>
      </c>
      <c r="K2094" s="12">
        <v>46128</v>
      </c>
      <c r="L2094" s="12">
        <v>46128</v>
      </c>
      <c r="M2094">
        <v>4</v>
      </c>
      <c r="N2094">
        <v>-683400</v>
      </c>
      <c r="O2094">
        <v>-683400</v>
      </c>
      <c r="P2094">
        <v>0</v>
      </c>
      <c r="Q2094">
        <v>-683400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 t="s">
        <v>47</v>
      </c>
      <c r="AA2094" t="s">
        <v>501</v>
      </c>
      <c r="AB2094" t="s">
        <v>51</v>
      </c>
      <c r="AC2094" t="s">
        <v>51</v>
      </c>
      <c r="AD2094" t="s">
        <v>51</v>
      </c>
      <c r="AE2094" t="s">
        <v>51</v>
      </c>
      <c r="AF2094" t="s">
        <v>1705</v>
      </c>
    </row>
    <row r="2095" spans="1:32" ht="14.5" customHeight="1" x14ac:dyDescent="0.35">
      <c r="A2095" t="s">
        <v>763</v>
      </c>
      <c r="B2095" t="s">
        <v>764</v>
      </c>
      <c r="C2095" t="s">
        <v>47</v>
      </c>
      <c r="D2095">
        <v>3001562</v>
      </c>
      <c r="E2095">
        <v>3001562</v>
      </c>
      <c r="F2095" t="s">
        <v>1677</v>
      </c>
      <c r="G2095" t="s">
        <v>1677</v>
      </c>
      <c r="H2095" t="s">
        <v>54</v>
      </c>
      <c r="I2095">
        <v>6959803</v>
      </c>
      <c r="J2095" s="12">
        <v>46128</v>
      </c>
      <c r="K2095" s="12">
        <v>46128</v>
      </c>
      <c r="L2095" s="12">
        <v>46128</v>
      </c>
      <c r="M2095">
        <v>4</v>
      </c>
      <c r="N2095">
        <v>-100000</v>
      </c>
      <c r="O2095">
        <v>-100000</v>
      </c>
      <c r="P2095">
        <v>0</v>
      </c>
      <c r="Q2095">
        <v>-100000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 t="s">
        <v>47</v>
      </c>
      <c r="AA2095" t="s">
        <v>501</v>
      </c>
      <c r="AB2095" t="s">
        <v>51</v>
      </c>
      <c r="AC2095" t="s">
        <v>51</v>
      </c>
      <c r="AD2095" t="s">
        <v>51</v>
      </c>
      <c r="AE2095" t="s">
        <v>51</v>
      </c>
      <c r="AF2095" t="s">
        <v>1703</v>
      </c>
    </row>
    <row r="2096" spans="1:32" ht="14.5" customHeight="1" x14ac:dyDescent="0.35">
      <c r="A2096" t="s">
        <v>763</v>
      </c>
      <c r="B2096" t="s">
        <v>764</v>
      </c>
      <c r="C2096" t="s">
        <v>47</v>
      </c>
      <c r="D2096">
        <v>3001562</v>
      </c>
      <c r="E2096">
        <v>3001562</v>
      </c>
      <c r="F2096" t="s">
        <v>1677</v>
      </c>
      <c r="G2096" t="s">
        <v>1677</v>
      </c>
      <c r="H2096" t="s">
        <v>54</v>
      </c>
      <c r="I2096">
        <v>6959804</v>
      </c>
      <c r="J2096" s="12">
        <v>46128</v>
      </c>
      <c r="K2096" s="12">
        <v>46128</v>
      </c>
      <c r="L2096" s="12">
        <v>46128</v>
      </c>
      <c r="M2096">
        <v>4</v>
      </c>
      <c r="N2096">
        <v>-8572400</v>
      </c>
      <c r="O2096">
        <v>-8572400</v>
      </c>
      <c r="P2096">
        <v>0</v>
      </c>
      <c r="Q2096">
        <v>-8572400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 t="s">
        <v>47</v>
      </c>
      <c r="AA2096" t="s">
        <v>501</v>
      </c>
      <c r="AB2096" t="s">
        <v>51</v>
      </c>
      <c r="AC2096" t="s">
        <v>51</v>
      </c>
      <c r="AD2096" t="s">
        <v>51</v>
      </c>
      <c r="AE2096" t="s">
        <v>51</v>
      </c>
      <c r="AF2096" t="s">
        <v>1703</v>
      </c>
    </row>
    <row r="2097" spans="1:32" ht="14.5" customHeight="1" x14ac:dyDescent="0.35">
      <c r="A2097" t="s">
        <v>763</v>
      </c>
      <c r="B2097" t="s">
        <v>764</v>
      </c>
      <c r="C2097" t="s">
        <v>47</v>
      </c>
      <c r="D2097">
        <v>3001562</v>
      </c>
      <c r="E2097">
        <v>3001562</v>
      </c>
      <c r="F2097" t="s">
        <v>1677</v>
      </c>
      <c r="G2097" t="s">
        <v>1677</v>
      </c>
      <c r="H2097" t="s">
        <v>54</v>
      </c>
      <c r="I2097">
        <v>6959805</v>
      </c>
      <c r="J2097" s="12">
        <v>46128</v>
      </c>
      <c r="K2097" s="12">
        <v>46128</v>
      </c>
      <c r="L2097" s="12">
        <v>46128</v>
      </c>
      <c r="M2097">
        <v>4</v>
      </c>
      <c r="N2097">
        <v>-1311000</v>
      </c>
      <c r="O2097">
        <v>-1311000</v>
      </c>
      <c r="P2097">
        <v>0</v>
      </c>
      <c r="Q2097">
        <v>-1311000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 t="s">
        <v>47</v>
      </c>
      <c r="AA2097" t="s">
        <v>501</v>
      </c>
      <c r="AB2097" t="s">
        <v>51</v>
      </c>
      <c r="AC2097" t="s">
        <v>51</v>
      </c>
      <c r="AD2097" t="s">
        <v>51</v>
      </c>
      <c r="AE2097" t="s">
        <v>51</v>
      </c>
      <c r="AF2097" t="s">
        <v>1703</v>
      </c>
    </row>
    <row r="2098" spans="1:32" ht="14.5" customHeight="1" x14ac:dyDescent="0.35">
      <c r="A2098" t="s">
        <v>763</v>
      </c>
      <c r="B2098" t="s">
        <v>764</v>
      </c>
      <c r="C2098" t="s">
        <v>47</v>
      </c>
      <c r="D2098">
        <v>3001562</v>
      </c>
      <c r="E2098">
        <v>3001562</v>
      </c>
      <c r="F2098" t="s">
        <v>1677</v>
      </c>
      <c r="G2098" t="s">
        <v>1677</v>
      </c>
      <c r="H2098" t="s">
        <v>54</v>
      </c>
      <c r="I2098">
        <v>6959806</v>
      </c>
      <c r="J2098" s="12">
        <v>46128</v>
      </c>
      <c r="K2098" s="12">
        <v>46128</v>
      </c>
      <c r="L2098" s="12">
        <v>46128</v>
      </c>
      <c r="M2098">
        <v>4</v>
      </c>
      <c r="N2098">
        <v>-20874000</v>
      </c>
      <c r="O2098">
        <v>-20874000</v>
      </c>
      <c r="P2098">
        <v>0</v>
      </c>
      <c r="Q2098">
        <v>-20874000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 t="s">
        <v>47</v>
      </c>
      <c r="AA2098" t="s">
        <v>501</v>
      </c>
      <c r="AB2098" t="s">
        <v>51</v>
      </c>
      <c r="AC2098" t="s">
        <v>51</v>
      </c>
      <c r="AD2098" t="s">
        <v>51</v>
      </c>
      <c r="AE2098" t="s">
        <v>51</v>
      </c>
      <c r="AF2098" t="s">
        <v>1704</v>
      </c>
    </row>
    <row r="2099" spans="1:32" ht="14.5" customHeight="1" x14ac:dyDescent="0.35">
      <c r="A2099" t="s">
        <v>763</v>
      </c>
      <c r="B2099" t="s">
        <v>764</v>
      </c>
      <c r="C2099" t="s">
        <v>47</v>
      </c>
      <c r="D2099">
        <v>3001562</v>
      </c>
      <c r="E2099">
        <v>3001562</v>
      </c>
      <c r="F2099" t="s">
        <v>1677</v>
      </c>
      <c r="G2099" t="s">
        <v>1677</v>
      </c>
      <c r="H2099" t="s">
        <v>54</v>
      </c>
      <c r="I2099">
        <v>6959807</v>
      </c>
      <c r="J2099" s="12">
        <v>46128</v>
      </c>
      <c r="K2099" s="12">
        <v>46128</v>
      </c>
      <c r="L2099" s="12">
        <v>46128</v>
      </c>
      <c r="M2099">
        <v>4</v>
      </c>
      <c r="N2099">
        <v>-4173459</v>
      </c>
      <c r="O2099">
        <v>-4173459</v>
      </c>
      <c r="P2099">
        <v>0</v>
      </c>
      <c r="Q2099">
        <v>-4173459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 t="s">
        <v>47</v>
      </c>
      <c r="AA2099" t="s">
        <v>501</v>
      </c>
      <c r="AB2099" t="s">
        <v>51</v>
      </c>
      <c r="AC2099" t="s">
        <v>51</v>
      </c>
      <c r="AD2099" t="s">
        <v>51</v>
      </c>
      <c r="AE2099" t="s">
        <v>51</v>
      </c>
      <c r="AF2099" t="s">
        <v>1705</v>
      </c>
    </row>
    <row r="2100" spans="1:32" ht="14.5" customHeight="1" x14ac:dyDescent="0.35">
      <c r="A2100" t="s">
        <v>763</v>
      </c>
      <c r="B2100" t="s">
        <v>764</v>
      </c>
      <c r="C2100" t="s">
        <v>47</v>
      </c>
      <c r="D2100">
        <v>3001562</v>
      </c>
      <c r="E2100">
        <v>3001562</v>
      </c>
      <c r="F2100" t="s">
        <v>1677</v>
      </c>
      <c r="G2100" t="s">
        <v>1677</v>
      </c>
      <c r="H2100" t="s">
        <v>54</v>
      </c>
      <c r="I2100">
        <v>6959808</v>
      </c>
      <c r="J2100" s="12">
        <v>46128</v>
      </c>
      <c r="K2100" s="12">
        <v>46128</v>
      </c>
      <c r="L2100" s="12">
        <v>46128</v>
      </c>
      <c r="M2100">
        <v>4</v>
      </c>
      <c r="N2100">
        <v>-4154922</v>
      </c>
      <c r="O2100">
        <v>-4154922</v>
      </c>
      <c r="P2100">
        <v>0</v>
      </c>
      <c r="Q2100">
        <v>-4154922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 t="s">
        <v>47</v>
      </c>
      <c r="AA2100" t="s">
        <v>501</v>
      </c>
      <c r="AB2100" t="s">
        <v>51</v>
      </c>
      <c r="AC2100" t="s">
        <v>51</v>
      </c>
      <c r="AD2100" t="s">
        <v>51</v>
      </c>
      <c r="AE2100" t="s">
        <v>51</v>
      </c>
      <c r="AF2100" t="s">
        <v>1705</v>
      </c>
    </row>
    <row r="2101" spans="1:32" ht="14.5" customHeight="1" x14ac:dyDescent="0.35">
      <c r="A2101" t="s">
        <v>763</v>
      </c>
      <c r="B2101" t="s">
        <v>764</v>
      </c>
      <c r="C2101" t="s">
        <v>47</v>
      </c>
      <c r="D2101">
        <v>3001562</v>
      </c>
      <c r="E2101">
        <v>3001562</v>
      </c>
      <c r="F2101" t="s">
        <v>1677</v>
      </c>
      <c r="G2101" t="s">
        <v>1677</v>
      </c>
      <c r="H2101" t="s">
        <v>54</v>
      </c>
      <c r="I2101">
        <v>6959809</v>
      </c>
      <c r="J2101" s="12">
        <v>46128</v>
      </c>
      <c r="K2101" s="12">
        <v>46128</v>
      </c>
      <c r="L2101" s="12">
        <v>46128</v>
      </c>
      <c r="M2101">
        <v>4</v>
      </c>
      <c r="N2101">
        <v>-3295800</v>
      </c>
      <c r="O2101">
        <v>-3295800</v>
      </c>
      <c r="P2101">
        <v>0</v>
      </c>
      <c r="Q2101">
        <v>-3295800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 t="s">
        <v>47</v>
      </c>
      <c r="AA2101" t="s">
        <v>501</v>
      </c>
      <c r="AB2101" t="s">
        <v>51</v>
      </c>
      <c r="AC2101" t="s">
        <v>51</v>
      </c>
      <c r="AD2101" t="s">
        <v>51</v>
      </c>
      <c r="AE2101" t="s">
        <v>51</v>
      </c>
      <c r="AF2101" t="s">
        <v>1705</v>
      </c>
    </row>
    <row r="2102" spans="1:32" ht="14.5" customHeight="1" x14ac:dyDescent="0.35">
      <c r="A2102" t="s">
        <v>763</v>
      </c>
      <c r="B2102" t="s">
        <v>764</v>
      </c>
      <c r="C2102" t="s">
        <v>47</v>
      </c>
      <c r="D2102">
        <v>3001562</v>
      </c>
      <c r="E2102">
        <v>3001562</v>
      </c>
      <c r="F2102" t="s">
        <v>1677</v>
      </c>
      <c r="G2102" t="s">
        <v>1677</v>
      </c>
      <c r="H2102" t="s">
        <v>54</v>
      </c>
      <c r="I2102">
        <v>6959810</v>
      </c>
      <c r="J2102" s="12">
        <v>46128</v>
      </c>
      <c r="K2102" s="12">
        <v>46128</v>
      </c>
      <c r="L2102" s="12">
        <v>46128</v>
      </c>
      <c r="M2102">
        <v>4</v>
      </c>
      <c r="N2102">
        <v>-12791250</v>
      </c>
      <c r="O2102">
        <v>-12791250</v>
      </c>
      <c r="P2102">
        <v>0</v>
      </c>
      <c r="Q2102">
        <v>-12791250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 t="s">
        <v>47</v>
      </c>
      <c r="AA2102" t="s">
        <v>501</v>
      </c>
      <c r="AB2102" t="s">
        <v>51</v>
      </c>
      <c r="AC2102" t="s">
        <v>51</v>
      </c>
      <c r="AD2102" t="s">
        <v>51</v>
      </c>
      <c r="AE2102" t="s">
        <v>51</v>
      </c>
      <c r="AF2102" t="s">
        <v>1703</v>
      </c>
    </row>
    <row r="2103" spans="1:32" ht="14.5" customHeight="1" x14ac:dyDescent="0.35">
      <c r="A2103" t="s">
        <v>763</v>
      </c>
      <c r="B2103" t="s">
        <v>764</v>
      </c>
      <c r="C2103" t="s">
        <v>47</v>
      </c>
      <c r="D2103">
        <v>3001562</v>
      </c>
      <c r="E2103">
        <v>3001562</v>
      </c>
      <c r="F2103" t="s">
        <v>1677</v>
      </c>
      <c r="G2103" t="s">
        <v>1677</v>
      </c>
      <c r="H2103" t="s">
        <v>54</v>
      </c>
      <c r="I2103">
        <v>6959811</v>
      </c>
      <c r="J2103" s="12">
        <v>46128</v>
      </c>
      <c r="K2103" s="12">
        <v>46128</v>
      </c>
      <c r="L2103" s="12">
        <v>46128</v>
      </c>
      <c r="M2103">
        <v>4</v>
      </c>
      <c r="N2103">
        <v>-4858700</v>
      </c>
      <c r="O2103">
        <v>-4858700</v>
      </c>
      <c r="P2103">
        <v>0</v>
      </c>
      <c r="Q2103">
        <v>-4858700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 t="s">
        <v>47</v>
      </c>
      <c r="AA2103" t="s">
        <v>501</v>
      </c>
      <c r="AB2103" t="s">
        <v>51</v>
      </c>
      <c r="AC2103" t="s">
        <v>51</v>
      </c>
      <c r="AD2103" t="s">
        <v>51</v>
      </c>
      <c r="AE2103" t="s">
        <v>51</v>
      </c>
      <c r="AF2103" t="s">
        <v>1703</v>
      </c>
    </row>
    <row r="2104" spans="1:32" ht="14.5" customHeight="1" x14ac:dyDescent="0.35">
      <c r="A2104" t="s">
        <v>763</v>
      </c>
      <c r="B2104" t="s">
        <v>764</v>
      </c>
      <c r="C2104" t="s">
        <v>47</v>
      </c>
      <c r="D2104">
        <v>3001562</v>
      </c>
      <c r="E2104">
        <v>3001562</v>
      </c>
      <c r="F2104" t="s">
        <v>1677</v>
      </c>
      <c r="G2104" t="s">
        <v>1677</v>
      </c>
      <c r="H2104" t="s">
        <v>54</v>
      </c>
      <c r="I2104">
        <v>6959812</v>
      </c>
      <c r="J2104" s="12">
        <v>46128</v>
      </c>
      <c r="K2104" s="12">
        <v>46128</v>
      </c>
      <c r="L2104" s="12">
        <v>46128</v>
      </c>
      <c r="M2104">
        <v>4</v>
      </c>
      <c r="N2104">
        <v>-1053000</v>
      </c>
      <c r="O2104">
        <v>-1053000</v>
      </c>
      <c r="P2104">
        <v>0</v>
      </c>
      <c r="Q2104">
        <v>-1053000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 t="s">
        <v>47</v>
      </c>
      <c r="AA2104" t="s">
        <v>501</v>
      </c>
      <c r="AB2104" t="s">
        <v>51</v>
      </c>
      <c r="AC2104" t="s">
        <v>51</v>
      </c>
      <c r="AD2104" t="s">
        <v>51</v>
      </c>
      <c r="AE2104" t="s">
        <v>51</v>
      </c>
      <c r="AF2104" t="s">
        <v>1703</v>
      </c>
    </row>
    <row r="2105" spans="1:32" ht="14.5" customHeight="1" x14ac:dyDescent="0.35">
      <c r="A2105" t="s">
        <v>763</v>
      </c>
      <c r="B2105" t="s">
        <v>764</v>
      </c>
      <c r="C2105" t="s">
        <v>47</v>
      </c>
      <c r="D2105">
        <v>3001562</v>
      </c>
      <c r="E2105">
        <v>3001562</v>
      </c>
      <c r="F2105" t="s">
        <v>1677</v>
      </c>
      <c r="G2105" t="s">
        <v>1677</v>
      </c>
      <c r="H2105" t="s">
        <v>54</v>
      </c>
      <c r="I2105">
        <v>6959813</v>
      </c>
      <c r="J2105" s="12">
        <v>46128</v>
      </c>
      <c r="K2105" s="12">
        <v>46128</v>
      </c>
      <c r="L2105" s="12">
        <v>46128</v>
      </c>
      <c r="M2105">
        <v>4</v>
      </c>
      <c r="N2105">
        <v>-191000</v>
      </c>
      <c r="O2105">
        <v>-191000</v>
      </c>
      <c r="P2105">
        <v>0</v>
      </c>
      <c r="Q2105">
        <v>-191000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 t="s">
        <v>47</v>
      </c>
      <c r="AA2105" t="s">
        <v>501</v>
      </c>
      <c r="AB2105" t="s">
        <v>51</v>
      </c>
      <c r="AC2105" t="s">
        <v>51</v>
      </c>
      <c r="AD2105" t="s">
        <v>51</v>
      </c>
      <c r="AE2105" t="s">
        <v>51</v>
      </c>
      <c r="AF2105" t="s">
        <v>1703</v>
      </c>
    </row>
    <row r="2106" spans="1:32" ht="14.5" customHeight="1" x14ac:dyDescent="0.35">
      <c r="A2106" t="s">
        <v>763</v>
      </c>
      <c r="B2106" t="s">
        <v>764</v>
      </c>
      <c r="C2106" t="s">
        <v>47</v>
      </c>
      <c r="D2106">
        <v>3001562</v>
      </c>
      <c r="E2106">
        <v>3001562</v>
      </c>
      <c r="F2106" t="s">
        <v>1677</v>
      </c>
      <c r="G2106" t="s">
        <v>1677</v>
      </c>
      <c r="H2106" t="s">
        <v>54</v>
      </c>
      <c r="I2106">
        <v>6959814</v>
      </c>
      <c r="J2106" s="12">
        <v>46128</v>
      </c>
      <c r="K2106" s="12">
        <v>46128</v>
      </c>
      <c r="L2106" s="12">
        <v>46128</v>
      </c>
      <c r="M2106">
        <v>4</v>
      </c>
      <c r="N2106">
        <v>-3267000</v>
      </c>
      <c r="O2106">
        <v>-3267000</v>
      </c>
      <c r="P2106">
        <v>0</v>
      </c>
      <c r="Q2106">
        <v>-3267000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 t="s">
        <v>47</v>
      </c>
      <c r="AA2106" t="s">
        <v>501</v>
      </c>
      <c r="AB2106" t="s">
        <v>51</v>
      </c>
      <c r="AC2106" t="s">
        <v>51</v>
      </c>
      <c r="AD2106" t="s">
        <v>51</v>
      </c>
      <c r="AE2106" t="s">
        <v>51</v>
      </c>
      <c r="AF2106" t="s">
        <v>1703</v>
      </c>
    </row>
    <row r="2107" spans="1:32" ht="14.5" customHeight="1" x14ac:dyDescent="0.35">
      <c r="A2107" t="s">
        <v>763</v>
      </c>
      <c r="B2107" t="s">
        <v>764</v>
      </c>
      <c r="C2107" t="s">
        <v>47</v>
      </c>
      <c r="D2107">
        <v>3001562</v>
      </c>
      <c r="E2107">
        <v>3001562</v>
      </c>
      <c r="F2107" t="s">
        <v>1677</v>
      </c>
      <c r="G2107" t="s">
        <v>1677</v>
      </c>
      <c r="H2107" t="s">
        <v>54</v>
      </c>
      <c r="I2107">
        <v>6959815</v>
      </c>
      <c r="J2107" s="12">
        <v>46128</v>
      </c>
      <c r="K2107" s="12">
        <v>46128</v>
      </c>
      <c r="L2107" s="12">
        <v>46128</v>
      </c>
      <c r="M2107">
        <v>4</v>
      </c>
      <c r="N2107">
        <v>-2226000</v>
      </c>
      <c r="O2107">
        <v>-2226000</v>
      </c>
      <c r="P2107">
        <v>0</v>
      </c>
      <c r="Q2107">
        <v>-2226000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 t="s">
        <v>47</v>
      </c>
      <c r="AA2107" t="s">
        <v>501</v>
      </c>
      <c r="AB2107" t="s">
        <v>51</v>
      </c>
      <c r="AC2107" t="s">
        <v>51</v>
      </c>
      <c r="AD2107" t="s">
        <v>51</v>
      </c>
      <c r="AE2107" t="s">
        <v>51</v>
      </c>
      <c r="AF2107" t="s">
        <v>1703</v>
      </c>
    </row>
    <row r="2108" spans="1:32" ht="14.5" customHeight="1" x14ac:dyDescent="0.35">
      <c r="A2108" t="s">
        <v>763</v>
      </c>
      <c r="B2108" t="s">
        <v>764</v>
      </c>
      <c r="C2108" t="s">
        <v>47</v>
      </c>
      <c r="D2108">
        <v>3001562</v>
      </c>
      <c r="E2108">
        <v>3001562</v>
      </c>
      <c r="F2108" t="s">
        <v>1677</v>
      </c>
      <c r="G2108" t="s">
        <v>1677</v>
      </c>
      <c r="H2108" t="s">
        <v>111</v>
      </c>
      <c r="I2108">
        <v>6959955</v>
      </c>
      <c r="J2108" s="12">
        <v>46129</v>
      </c>
      <c r="K2108" s="12">
        <v>46129</v>
      </c>
      <c r="L2108" s="12">
        <v>46129</v>
      </c>
      <c r="M2108">
        <v>3</v>
      </c>
      <c r="N2108">
        <v>-294885</v>
      </c>
      <c r="O2108">
        <v>-294885</v>
      </c>
      <c r="P2108">
        <v>0</v>
      </c>
      <c r="Q2108">
        <v>-294885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 t="s">
        <v>47</v>
      </c>
      <c r="AA2108" t="s">
        <v>501</v>
      </c>
      <c r="AB2108" t="s">
        <v>51</v>
      </c>
      <c r="AC2108" t="s">
        <v>51</v>
      </c>
      <c r="AD2108" t="s">
        <v>51</v>
      </c>
      <c r="AE2108" t="s">
        <v>51</v>
      </c>
      <c r="AF2108" t="s">
        <v>1132</v>
      </c>
    </row>
    <row r="2109" spans="1:32" ht="14.5" customHeight="1" x14ac:dyDescent="0.35">
      <c r="A2109" t="s">
        <v>763</v>
      </c>
      <c r="B2109" t="s">
        <v>764</v>
      </c>
      <c r="C2109" t="s">
        <v>47</v>
      </c>
      <c r="D2109">
        <v>3001562</v>
      </c>
      <c r="E2109">
        <v>3001575</v>
      </c>
      <c r="F2109" t="s">
        <v>1677</v>
      </c>
      <c r="G2109" t="s">
        <v>1677</v>
      </c>
      <c r="H2109" t="s">
        <v>54</v>
      </c>
      <c r="I2109">
        <v>9910656</v>
      </c>
      <c r="J2109" s="12">
        <v>46081</v>
      </c>
      <c r="K2109" s="12">
        <v>46081</v>
      </c>
      <c r="L2109" s="12">
        <v>46112</v>
      </c>
      <c r="M2109">
        <v>20</v>
      </c>
      <c r="N2109">
        <v>474708756</v>
      </c>
      <c r="O2109">
        <v>0</v>
      </c>
      <c r="P2109">
        <v>0</v>
      </c>
      <c r="Q2109">
        <v>474708756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 t="s">
        <v>47</v>
      </c>
      <c r="AA2109" t="s">
        <v>501</v>
      </c>
      <c r="AB2109" t="s">
        <v>51</v>
      </c>
      <c r="AC2109" t="s">
        <v>51</v>
      </c>
      <c r="AD2109" t="s">
        <v>51</v>
      </c>
      <c r="AE2109" t="s">
        <v>51</v>
      </c>
      <c r="AF2109" t="s">
        <v>1587</v>
      </c>
    </row>
    <row r="2110" spans="1:32" ht="14.5" customHeight="1" x14ac:dyDescent="0.35">
      <c r="A2110" t="s">
        <v>763</v>
      </c>
      <c r="B2110" t="s">
        <v>764</v>
      </c>
      <c r="C2110" t="s">
        <v>47</v>
      </c>
      <c r="D2110">
        <v>3001562</v>
      </c>
      <c r="E2110">
        <v>3001562</v>
      </c>
      <c r="F2110" t="s">
        <v>1677</v>
      </c>
      <c r="G2110" t="s">
        <v>1677</v>
      </c>
      <c r="H2110" t="s">
        <v>54</v>
      </c>
      <c r="I2110">
        <v>9910658</v>
      </c>
      <c r="J2110" s="12">
        <v>46081</v>
      </c>
      <c r="K2110" s="12">
        <v>46081</v>
      </c>
      <c r="L2110" s="12">
        <v>46112</v>
      </c>
      <c r="M2110">
        <v>20</v>
      </c>
      <c r="N2110">
        <v>539385341</v>
      </c>
      <c r="O2110">
        <v>0</v>
      </c>
      <c r="P2110">
        <v>0</v>
      </c>
      <c r="Q2110">
        <v>539385341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 t="s">
        <v>47</v>
      </c>
      <c r="AA2110" t="s">
        <v>501</v>
      </c>
      <c r="AB2110" t="s">
        <v>51</v>
      </c>
      <c r="AC2110" t="s">
        <v>51</v>
      </c>
      <c r="AD2110" t="s">
        <v>51</v>
      </c>
      <c r="AE2110" t="s">
        <v>51</v>
      </c>
      <c r="AF2110" t="s">
        <v>660</v>
      </c>
    </row>
    <row r="2111" spans="1:32" ht="14.5" customHeight="1" x14ac:dyDescent="0.35">
      <c r="A2111" t="s">
        <v>763</v>
      </c>
      <c r="B2111" t="s">
        <v>764</v>
      </c>
      <c r="C2111" t="s">
        <v>47</v>
      </c>
      <c r="D2111">
        <v>3001562</v>
      </c>
      <c r="E2111">
        <v>3001575</v>
      </c>
      <c r="F2111" t="s">
        <v>1677</v>
      </c>
      <c r="G2111" t="s">
        <v>1677</v>
      </c>
      <c r="H2111" t="s">
        <v>54</v>
      </c>
      <c r="I2111">
        <v>9910660</v>
      </c>
      <c r="J2111" s="12">
        <v>46081</v>
      </c>
      <c r="K2111" s="12">
        <v>46081</v>
      </c>
      <c r="L2111" s="12">
        <v>46112</v>
      </c>
      <c r="M2111">
        <v>20</v>
      </c>
      <c r="N2111">
        <v>909678105</v>
      </c>
      <c r="O2111">
        <v>0</v>
      </c>
      <c r="P2111">
        <v>0</v>
      </c>
      <c r="Q2111">
        <v>909678105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 t="s">
        <v>47</v>
      </c>
      <c r="AA2111" t="s">
        <v>501</v>
      </c>
      <c r="AB2111" t="s">
        <v>51</v>
      </c>
      <c r="AC2111" t="s">
        <v>51</v>
      </c>
      <c r="AD2111" t="s">
        <v>51</v>
      </c>
      <c r="AE2111" t="s">
        <v>51</v>
      </c>
      <c r="AF2111" t="s">
        <v>167</v>
      </c>
    </row>
    <row r="2112" spans="1:32" ht="14.5" customHeight="1" x14ac:dyDescent="0.35">
      <c r="A2112" t="s">
        <v>763</v>
      </c>
      <c r="B2112" t="s">
        <v>764</v>
      </c>
      <c r="C2112" t="s">
        <v>47</v>
      </c>
      <c r="D2112">
        <v>3001562</v>
      </c>
      <c r="E2112">
        <v>3001575</v>
      </c>
      <c r="F2112" t="s">
        <v>1677</v>
      </c>
      <c r="G2112" t="s">
        <v>1677</v>
      </c>
      <c r="H2112" t="s">
        <v>54</v>
      </c>
      <c r="I2112">
        <v>9910661</v>
      </c>
      <c r="J2112" s="12">
        <v>46081</v>
      </c>
      <c r="K2112" s="12">
        <v>46081</v>
      </c>
      <c r="L2112" s="12">
        <v>46112</v>
      </c>
      <c r="M2112">
        <v>20</v>
      </c>
      <c r="N2112">
        <v>587314913</v>
      </c>
      <c r="O2112">
        <v>0</v>
      </c>
      <c r="P2112">
        <v>0</v>
      </c>
      <c r="Q2112">
        <v>587314913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 t="s">
        <v>47</v>
      </c>
      <c r="AA2112" t="s">
        <v>501</v>
      </c>
      <c r="AB2112" t="s">
        <v>51</v>
      </c>
      <c r="AC2112" t="s">
        <v>51</v>
      </c>
      <c r="AD2112" t="s">
        <v>51</v>
      </c>
      <c r="AE2112" t="s">
        <v>51</v>
      </c>
      <c r="AF2112" t="s">
        <v>69</v>
      </c>
    </row>
    <row r="2113" spans="1:32" ht="14.5" customHeight="1" x14ac:dyDescent="0.35">
      <c r="A2113" t="s">
        <v>763</v>
      </c>
      <c r="B2113" t="s">
        <v>764</v>
      </c>
      <c r="C2113" t="s">
        <v>47</v>
      </c>
      <c r="D2113">
        <v>3001562</v>
      </c>
      <c r="E2113">
        <v>3001562</v>
      </c>
      <c r="F2113" t="s">
        <v>1677</v>
      </c>
      <c r="G2113" t="s">
        <v>1677</v>
      </c>
      <c r="H2113" t="s">
        <v>54</v>
      </c>
      <c r="I2113">
        <v>9910666</v>
      </c>
      <c r="J2113" s="12">
        <v>46081</v>
      </c>
      <c r="K2113" s="12">
        <v>46081</v>
      </c>
      <c r="L2113" s="12">
        <v>46112</v>
      </c>
      <c r="M2113">
        <v>20</v>
      </c>
      <c r="N2113">
        <v>380141462</v>
      </c>
      <c r="O2113">
        <v>0</v>
      </c>
      <c r="P2113">
        <v>0</v>
      </c>
      <c r="Q2113">
        <v>380141462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 t="s">
        <v>47</v>
      </c>
      <c r="AA2113" t="s">
        <v>501</v>
      </c>
      <c r="AB2113" t="s">
        <v>51</v>
      </c>
      <c r="AC2113" t="s">
        <v>51</v>
      </c>
      <c r="AD2113" t="s">
        <v>51</v>
      </c>
      <c r="AE2113" t="s">
        <v>51</v>
      </c>
      <c r="AF2113" t="s">
        <v>287</v>
      </c>
    </row>
    <row r="2114" spans="1:32" ht="14.5" customHeight="1" x14ac:dyDescent="0.35">
      <c r="A2114" t="s">
        <v>763</v>
      </c>
      <c r="B2114" t="s">
        <v>764</v>
      </c>
      <c r="C2114" t="s">
        <v>47</v>
      </c>
      <c r="D2114">
        <v>3001562</v>
      </c>
      <c r="E2114">
        <v>3001575</v>
      </c>
      <c r="F2114" t="s">
        <v>1677</v>
      </c>
      <c r="G2114" t="s">
        <v>1677</v>
      </c>
      <c r="H2114" t="s">
        <v>54</v>
      </c>
      <c r="I2114">
        <v>9910667</v>
      </c>
      <c r="J2114" s="12">
        <v>46081</v>
      </c>
      <c r="K2114" s="12">
        <v>46081</v>
      </c>
      <c r="L2114" s="12">
        <v>46112</v>
      </c>
      <c r="M2114">
        <v>20</v>
      </c>
      <c r="N2114">
        <v>397599847</v>
      </c>
      <c r="O2114">
        <v>0</v>
      </c>
      <c r="P2114">
        <v>0</v>
      </c>
      <c r="Q2114">
        <v>397599847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 t="s">
        <v>47</v>
      </c>
      <c r="AA2114" t="s">
        <v>501</v>
      </c>
      <c r="AB2114" t="s">
        <v>51</v>
      </c>
      <c r="AC2114" t="s">
        <v>51</v>
      </c>
      <c r="AD2114" t="s">
        <v>51</v>
      </c>
      <c r="AE2114" t="s">
        <v>51</v>
      </c>
      <c r="AF2114" t="s">
        <v>534</v>
      </c>
    </row>
    <row r="2115" spans="1:32" ht="14.5" customHeight="1" x14ac:dyDescent="0.35">
      <c r="A2115" t="s">
        <v>763</v>
      </c>
      <c r="B2115" t="s">
        <v>764</v>
      </c>
      <c r="C2115" t="s">
        <v>47</v>
      </c>
      <c r="D2115">
        <v>3001562</v>
      </c>
      <c r="E2115">
        <v>3001575</v>
      </c>
      <c r="F2115" t="s">
        <v>1677</v>
      </c>
      <c r="G2115" t="s">
        <v>1677</v>
      </c>
      <c r="H2115" t="s">
        <v>54</v>
      </c>
      <c r="I2115">
        <v>9910669</v>
      </c>
      <c r="J2115" s="12">
        <v>46081</v>
      </c>
      <c r="K2115" s="12">
        <v>46081</v>
      </c>
      <c r="L2115" s="12">
        <v>46112</v>
      </c>
      <c r="M2115">
        <v>20</v>
      </c>
      <c r="N2115">
        <v>360827051</v>
      </c>
      <c r="O2115">
        <v>0</v>
      </c>
      <c r="P2115">
        <v>0</v>
      </c>
      <c r="Q2115">
        <v>360827051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 t="s">
        <v>47</v>
      </c>
      <c r="AA2115" t="s">
        <v>501</v>
      </c>
      <c r="AB2115" t="s">
        <v>51</v>
      </c>
      <c r="AC2115" t="s">
        <v>51</v>
      </c>
      <c r="AD2115" t="s">
        <v>51</v>
      </c>
      <c r="AE2115" t="s">
        <v>51</v>
      </c>
      <c r="AF2115" t="s">
        <v>1047</v>
      </c>
    </row>
    <row r="2116" spans="1:32" ht="14.5" customHeight="1" x14ac:dyDescent="0.35">
      <c r="A2116" t="s">
        <v>763</v>
      </c>
      <c r="B2116" t="s">
        <v>764</v>
      </c>
      <c r="C2116" t="s">
        <v>47</v>
      </c>
      <c r="D2116">
        <v>3001562</v>
      </c>
      <c r="E2116">
        <v>3001575</v>
      </c>
      <c r="F2116" t="s">
        <v>1677</v>
      </c>
      <c r="G2116" t="s">
        <v>1677</v>
      </c>
      <c r="H2116" t="s">
        <v>54</v>
      </c>
      <c r="I2116">
        <v>9910670</v>
      </c>
      <c r="J2116" s="12">
        <v>46081</v>
      </c>
      <c r="K2116" s="12">
        <v>46081</v>
      </c>
      <c r="L2116" s="12">
        <v>46112</v>
      </c>
      <c r="M2116">
        <v>20</v>
      </c>
      <c r="N2116">
        <v>438717156</v>
      </c>
      <c r="O2116">
        <v>0</v>
      </c>
      <c r="P2116">
        <v>0</v>
      </c>
      <c r="Q2116">
        <v>438717156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 t="s">
        <v>47</v>
      </c>
      <c r="AA2116" t="s">
        <v>501</v>
      </c>
      <c r="AB2116" t="s">
        <v>51</v>
      </c>
      <c r="AC2116" t="s">
        <v>51</v>
      </c>
      <c r="AD2116" t="s">
        <v>51</v>
      </c>
      <c r="AE2116" t="s">
        <v>51</v>
      </c>
      <c r="AF2116" t="s">
        <v>787</v>
      </c>
    </row>
    <row r="2117" spans="1:32" ht="14.5" customHeight="1" x14ac:dyDescent="0.35">
      <c r="A2117" t="s">
        <v>763</v>
      </c>
      <c r="B2117" t="s">
        <v>764</v>
      </c>
      <c r="C2117" t="s">
        <v>47</v>
      </c>
      <c r="D2117">
        <v>3001562</v>
      </c>
      <c r="E2117">
        <v>3001562</v>
      </c>
      <c r="F2117" t="s">
        <v>1677</v>
      </c>
      <c r="G2117" t="s">
        <v>1677</v>
      </c>
      <c r="H2117" t="s">
        <v>54</v>
      </c>
      <c r="I2117">
        <v>9910674</v>
      </c>
      <c r="J2117" s="12">
        <v>46081</v>
      </c>
      <c r="K2117" s="12">
        <v>46081</v>
      </c>
      <c r="L2117" s="12">
        <v>46112</v>
      </c>
      <c r="M2117">
        <v>20</v>
      </c>
      <c r="N2117">
        <v>481839845</v>
      </c>
      <c r="O2117">
        <v>0</v>
      </c>
      <c r="P2117">
        <v>0</v>
      </c>
      <c r="Q2117">
        <v>481839845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 t="s">
        <v>47</v>
      </c>
      <c r="AA2117" t="s">
        <v>501</v>
      </c>
      <c r="AB2117" t="s">
        <v>51</v>
      </c>
      <c r="AC2117" t="s">
        <v>51</v>
      </c>
      <c r="AD2117" t="s">
        <v>51</v>
      </c>
      <c r="AE2117" t="s">
        <v>51</v>
      </c>
      <c r="AF2117" t="s">
        <v>881</v>
      </c>
    </row>
    <row r="2118" spans="1:32" ht="14.5" customHeight="1" x14ac:dyDescent="0.35">
      <c r="A2118" t="s">
        <v>763</v>
      </c>
      <c r="B2118" t="s">
        <v>764</v>
      </c>
      <c r="C2118" t="s">
        <v>47</v>
      </c>
      <c r="D2118">
        <v>3001562</v>
      </c>
      <c r="E2118">
        <v>3001562</v>
      </c>
      <c r="F2118" t="s">
        <v>1677</v>
      </c>
      <c r="G2118" t="s">
        <v>1677</v>
      </c>
      <c r="H2118" t="s">
        <v>54</v>
      </c>
      <c r="I2118">
        <v>9910676</v>
      </c>
      <c r="J2118" s="12">
        <v>46081</v>
      </c>
      <c r="K2118" s="12">
        <v>46081</v>
      </c>
      <c r="L2118" s="12">
        <v>46112</v>
      </c>
      <c r="M2118">
        <v>20</v>
      </c>
      <c r="N2118">
        <v>713828163</v>
      </c>
      <c r="O2118">
        <v>0</v>
      </c>
      <c r="P2118">
        <v>0</v>
      </c>
      <c r="Q2118">
        <v>713828163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 t="s">
        <v>47</v>
      </c>
      <c r="AA2118" t="s">
        <v>501</v>
      </c>
      <c r="AB2118" t="s">
        <v>51</v>
      </c>
      <c r="AC2118" t="s">
        <v>51</v>
      </c>
      <c r="AD2118" t="s">
        <v>51</v>
      </c>
      <c r="AE2118" t="s">
        <v>51</v>
      </c>
      <c r="AF2118" t="s">
        <v>1030</v>
      </c>
    </row>
    <row r="2119" spans="1:32" ht="14.5" customHeight="1" x14ac:dyDescent="0.35">
      <c r="A2119" t="s">
        <v>763</v>
      </c>
      <c r="B2119" t="s">
        <v>764</v>
      </c>
      <c r="C2119" t="s">
        <v>47</v>
      </c>
      <c r="D2119">
        <v>3001562</v>
      </c>
      <c r="E2119">
        <v>3001575</v>
      </c>
      <c r="F2119" t="s">
        <v>1677</v>
      </c>
      <c r="G2119" t="s">
        <v>1677</v>
      </c>
      <c r="H2119" t="s">
        <v>54</v>
      </c>
      <c r="I2119">
        <v>9910678</v>
      </c>
      <c r="J2119" s="12">
        <v>46081</v>
      </c>
      <c r="K2119" s="12">
        <v>46081</v>
      </c>
      <c r="L2119" s="12">
        <v>46112</v>
      </c>
      <c r="M2119">
        <v>20</v>
      </c>
      <c r="N2119">
        <v>795252485</v>
      </c>
      <c r="O2119">
        <v>0</v>
      </c>
      <c r="P2119">
        <v>0</v>
      </c>
      <c r="Q2119">
        <v>795252485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 t="s">
        <v>47</v>
      </c>
      <c r="AA2119" t="s">
        <v>501</v>
      </c>
      <c r="AB2119" t="s">
        <v>51</v>
      </c>
      <c r="AC2119" t="s">
        <v>51</v>
      </c>
      <c r="AD2119" t="s">
        <v>51</v>
      </c>
      <c r="AE2119" t="s">
        <v>51</v>
      </c>
      <c r="AF2119" t="s">
        <v>920</v>
      </c>
    </row>
    <row r="2120" spans="1:32" ht="14.5" customHeight="1" x14ac:dyDescent="0.35">
      <c r="A2120" t="s">
        <v>763</v>
      </c>
      <c r="B2120" t="s">
        <v>764</v>
      </c>
      <c r="C2120" t="s">
        <v>47</v>
      </c>
      <c r="D2120">
        <v>3001562</v>
      </c>
      <c r="E2120">
        <v>3001575</v>
      </c>
      <c r="F2120" t="s">
        <v>1677</v>
      </c>
      <c r="G2120" t="s">
        <v>1677</v>
      </c>
      <c r="H2120" t="s">
        <v>54</v>
      </c>
      <c r="I2120">
        <v>9910701</v>
      </c>
      <c r="J2120" s="12">
        <v>46081</v>
      </c>
      <c r="K2120" s="12">
        <v>46081</v>
      </c>
      <c r="L2120" s="12">
        <v>46112</v>
      </c>
      <c r="M2120">
        <v>20</v>
      </c>
      <c r="N2120">
        <v>282054383</v>
      </c>
      <c r="O2120">
        <v>0</v>
      </c>
      <c r="P2120">
        <v>0</v>
      </c>
      <c r="Q2120">
        <v>282054383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 t="s">
        <v>47</v>
      </c>
      <c r="AA2120" t="s">
        <v>501</v>
      </c>
      <c r="AB2120" t="s">
        <v>51</v>
      </c>
      <c r="AC2120" t="s">
        <v>51</v>
      </c>
      <c r="AD2120" t="s">
        <v>51</v>
      </c>
      <c r="AE2120" t="s">
        <v>51</v>
      </c>
      <c r="AF2120" t="s">
        <v>1252</v>
      </c>
    </row>
    <row r="2121" spans="1:32" ht="14.5" customHeight="1" x14ac:dyDescent="0.35">
      <c r="A2121" t="s">
        <v>763</v>
      </c>
      <c r="B2121" t="s">
        <v>764</v>
      </c>
      <c r="C2121" t="s">
        <v>47</v>
      </c>
      <c r="D2121">
        <v>3001562</v>
      </c>
      <c r="E2121">
        <v>3001562</v>
      </c>
      <c r="F2121" t="s">
        <v>1677</v>
      </c>
      <c r="G2121" t="s">
        <v>1677</v>
      </c>
      <c r="H2121" t="s">
        <v>54</v>
      </c>
      <c r="I2121">
        <v>9914853</v>
      </c>
      <c r="J2121" s="12">
        <v>46094</v>
      </c>
      <c r="K2121" s="12">
        <v>46094</v>
      </c>
      <c r="L2121" s="12">
        <v>46125</v>
      </c>
      <c r="M2121">
        <v>7</v>
      </c>
      <c r="N2121">
        <v>705612752</v>
      </c>
      <c r="O2121">
        <v>0</v>
      </c>
      <c r="P2121">
        <v>0</v>
      </c>
      <c r="Q2121">
        <v>705612752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 t="s">
        <v>47</v>
      </c>
      <c r="AA2121" t="s">
        <v>501</v>
      </c>
      <c r="AB2121" t="s">
        <v>51</v>
      </c>
      <c r="AC2121" t="s">
        <v>51</v>
      </c>
      <c r="AD2121" t="s">
        <v>51</v>
      </c>
      <c r="AE2121" t="s">
        <v>51</v>
      </c>
      <c r="AF2121" t="s">
        <v>781</v>
      </c>
    </row>
    <row r="2122" spans="1:32" ht="14.5" customHeight="1" x14ac:dyDescent="0.35">
      <c r="A2122" t="s">
        <v>763</v>
      </c>
      <c r="B2122" t="s">
        <v>764</v>
      </c>
      <c r="C2122" t="s">
        <v>47</v>
      </c>
      <c r="D2122">
        <v>3001562</v>
      </c>
      <c r="E2122">
        <v>3001575</v>
      </c>
      <c r="F2122" t="s">
        <v>1677</v>
      </c>
      <c r="G2122" t="s">
        <v>1677</v>
      </c>
      <c r="H2122" t="s">
        <v>54</v>
      </c>
      <c r="I2122">
        <v>9915572</v>
      </c>
      <c r="J2122" s="12">
        <v>46096</v>
      </c>
      <c r="K2122" s="12">
        <v>46096</v>
      </c>
      <c r="L2122" s="12">
        <v>46127</v>
      </c>
      <c r="M2122">
        <v>5</v>
      </c>
      <c r="N2122">
        <v>552623093</v>
      </c>
      <c r="O2122">
        <v>0</v>
      </c>
      <c r="P2122">
        <v>0</v>
      </c>
      <c r="Q2122">
        <v>552623093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 t="s">
        <v>47</v>
      </c>
      <c r="AA2122" t="s">
        <v>501</v>
      </c>
      <c r="AB2122" t="s">
        <v>51</v>
      </c>
      <c r="AC2122" t="s">
        <v>51</v>
      </c>
      <c r="AD2122" t="s">
        <v>51</v>
      </c>
      <c r="AE2122" t="s">
        <v>51</v>
      </c>
      <c r="AF2122" t="s">
        <v>243</v>
      </c>
    </row>
    <row r="2123" spans="1:32" ht="14.5" customHeight="1" x14ac:dyDescent="0.35">
      <c r="A2123" t="s">
        <v>763</v>
      </c>
      <c r="B2123" t="s">
        <v>764</v>
      </c>
      <c r="C2123" t="s">
        <v>47</v>
      </c>
      <c r="D2123">
        <v>3001562</v>
      </c>
      <c r="E2123">
        <v>3001562</v>
      </c>
      <c r="F2123" t="s">
        <v>1677</v>
      </c>
      <c r="G2123" t="s">
        <v>1677</v>
      </c>
      <c r="H2123" t="s">
        <v>54</v>
      </c>
      <c r="I2123">
        <v>9915634</v>
      </c>
      <c r="J2123" s="12">
        <v>46096</v>
      </c>
      <c r="K2123" s="12">
        <v>46096</v>
      </c>
      <c r="L2123" s="12">
        <v>46127</v>
      </c>
      <c r="M2123">
        <v>5</v>
      </c>
      <c r="N2123">
        <v>1070878272</v>
      </c>
      <c r="O2123">
        <v>0</v>
      </c>
      <c r="P2123">
        <v>0</v>
      </c>
      <c r="Q2123">
        <v>1070878272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 t="s">
        <v>47</v>
      </c>
      <c r="AA2123" t="s">
        <v>501</v>
      </c>
      <c r="AB2123" t="s">
        <v>51</v>
      </c>
      <c r="AC2123" t="s">
        <v>51</v>
      </c>
      <c r="AD2123" t="s">
        <v>51</v>
      </c>
      <c r="AE2123" t="s">
        <v>51</v>
      </c>
      <c r="AF2123" t="s">
        <v>794</v>
      </c>
    </row>
    <row r="2124" spans="1:32" ht="14.5" customHeight="1" x14ac:dyDescent="0.35">
      <c r="A2124" t="s">
        <v>763</v>
      </c>
      <c r="B2124" t="s">
        <v>764</v>
      </c>
      <c r="C2124" t="s">
        <v>47</v>
      </c>
      <c r="D2124">
        <v>3001562</v>
      </c>
      <c r="E2124">
        <v>3001575</v>
      </c>
      <c r="F2124" t="s">
        <v>1677</v>
      </c>
      <c r="G2124" t="s">
        <v>1677</v>
      </c>
      <c r="H2124" t="s">
        <v>54</v>
      </c>
      <c r="I2124">
        <v>9915649</v>
      </c>
      <c r="J2124" s="12">
        <v>46096</v>
      </c>
      <c r="K2124" s="12">
        <v>46096</v>
      </c>
      <c r="L2124" s="12">
        <v>46127</v>
      </c>
      <c r="M2124">
        <v>5</v>
      </c>
      <c r="N2124">
        <v>858181820</v>
      </c>
      <c r="O2124">
        <v>0</v>
      </c>
      <c r="P2124">
        <v>0</v>
      </c>
      <c r="Q2124">
        <v>858181820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 t="s">
        <v>47</v>
      </c>
      <c r="AA2124" t="s">
        <v>501</v>
      </c>
      <c r="AB2124" t="s">
        <v>51</v>
      </c>
      <c r="AC2124" t="s">
        <v>51</v>
      </c>
      <c r="AD2124" t="s">
        <v>51</v>
      </c>
      <c r="AE2124" t="s">
        <v>51</v>
      </c>
      <c r="AF2124" t="s">
        <v>67</v>
      </c>
    </row>
    <row r="2125" spans="1:32" ht="14.5" customHeight="1" x14ac:dyDescent="0.35">
      <c r="A2125" t="s">
        <v>763</v>
      </c>
      <c r="B2125" t="s">
        <v>764</v>
      </c>
      <c r="C2125" t="s">
        <v>47</v>
      </c>
      <c r="D2125">
        <v>3001562</v>
      </c>
      <c r="E2125">
        <v>3001562</v>
      </c>
      <c r="F2125" t="s">
        <v>1677</v>
      </c>
      <c r="G2125" t="s">
        <v>1677</v>
      </c>
      <c r="H2125" t="s">
        <v>140</v>
      </c>
      <c r="I2125">
        <v>9915829</v>
      </c>
      <c r="J2125" s="12">
        <v>46096</v>
      </c>
      <c r="K2125" s="12">
        <v>46096</v>
      </c>
      <c r="L2125" s="12">
        <v>46126</v>
      </c>
      <c r="M2125">
        <v>6</v>
      </c>
      <c r="N2125">
        <v>184131836</v>
      </c>
      <c r="O2125">
        <v>0</v>
      </c>
      <c r="P2125">
        <v>0</v>
      </c>
      <c r="Q2125">
        <v>184131836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 t="s">
        <v>47</v>
      </c>
      <c r="AA2125" t="s">
        <v>501</v>
      </c>
      <c r="AB2125" t="s">
        <v>51</v>
      </c>
      <c r="AC2125" t="s">
        <v>51</v>
      </c>
      <c r="AD2125" t="s">
        <v>51</v>
      </c>
      <c r="AE2125" t="s">
        <v>51</v>
      </c>
      <c r="AF2125" t="s">
        <v>1666</v>
      </c>
    </row>
    <row r="2126" spans="1:32" ht="14.5" customHeight="1" x14ac:dyDescent="0.35">
      <c r="A2126" t="s">
        <v>763</v>
      </c>
      <c r="B2126" t="s">
        <v>764</v>
      </c>
      <c r="C2126" t="s">
        <v>47</v>
      </c>
      <c r="D2126">
        <v>3001562</v>
      </c>
      <c r="E2126">
        <v>3001575</v>
      </c>
      <c r="F2126" t="s">
        <v>1677</v>
      </c>
      <c r="G2126" t="s">
        <v>1677</v>
      </c>
      <c r="H2126" t="s">
        <v>54</v>
      </c>
      <c r="I2126">
        <v>9916081</v>
      </c>
      <c r="J2126" s="12">
        <v>46097</v>
      </c>
      <c r="K2126" s="12">
        <v>46097</v>
      </c>
      <c r="L2126" s="12">
        <v>46128</v>
      </c>
      <c r="M2126">
        <v>4</v>
      </c>
      <c r="N2126">
        <v>550641915</v>
      </c>
      <c r="O2126">
        <v>0</v>
      </c>
      <c r="P2126">
        <v>0</v>
      </c>
      <c r="Q2126">
        <v>550641915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 t="s">
        <v>47</v>
      </c>
      <c r="AA2126" t="s">
        <v>501</v>
      </c>
      <c r="AB2126" t="s">
        <v>51</v>
      </c>
      <c r="AC2126" t="s">
        <v>51</v>
      </c>
      <c r="AD2126" t="s">
        <v>51</v>
      </c>
      <c r="AE2126" t="s">
        <v>51</v>
      </c>
      <c r="AF2126" t="s">
        <v>195</v>
      </c>
    </row>
    <row r="2127" spans="1:32" ht="14.5" customHeight="1" x14ac:dyDescent="0.35">
      <c r="A2127" t="s">
        <v>763</v>
      </c>
      <c r="B2127" t="s">
        <v>764</v>
      </c>
      <c r="C2127" t="s">
        <v>47</v>
      </c>
      <c r="D2127">
        <v>3001562</v>
      </c>
      <c r="E2127">
        <v>3001575</v>
      </c>
      <c r="F2127" t="s">
        <v>1677</v>
      </c>
      <c r="G2127" t="s">
        <v>1677</v>
      </c>
      <c r="H2127" t="s">
        <v>54</v>
      </c>
      <c r="I2127">
        <v>9916106</v>
      </c>
      <c r="J2127" s="12">
        <v>46097</v>
      </c>
      <c r="K2127" s="12">
        <v>46097</v>
      </c>
      <c r="L2127" s="12">
        <v>46128</v>
      </c>
      <c r="M2127">
        <v>4</v>
      </c>
      <c r="N2127">
        <v>486905899</v>
      </c>
      <c r="O2127">
        <v>0</v>
      </c>
      <c r="P2127">
        <v>0</v>
      </c>
      <c r="Q2127">
        <v>486905899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 t="s">
        <v>47</v>
      </c>
      <c r="AA2127" t="s">
        <v>501</v>
      </c>
      <c r="AB2127" t="s">
        <v>51</v>
      </c>
      <c r="AC2127" t="s">
        <v>51</v>
      </c>
      <c r="AD2127" t="s">
        <v>51</v>
      </c>
      <c r="AE2127" t="s">
        <v>51</v>
      </c>
      <c r="AF2127" t="s">
        <v>1252</v>
      </c>
    </row>
    <row r="2128" spans="1:32" ht="14.5" customHeight="1" x14ac:dyDescent="0.35">
      <c r="A2128" t="s">
        <v>763</v>
      </c>
      <c r="B2128" t="s">
        <v>764</v>
      </c>
      <c r="C2128" t="s">
        <v>47</v>
      </c>
      <c r="D2128">
        <v>3001562</v>
      </c>
      <c r="E2128">
        <v>3001562</v>
      </c>
      <c r="F2128" t="s">
        <v>1677</v>
      </c>
      <c r="G2128" t="s">
        <v>1677</v>
      </c>
      <c r="H2128" t="s">
        <v>54</v>
      </c>
      <c r="I2128">
        <v>9916194</v>
      </c>
      <c r="J2128" s="12">
        <v>46097</v>
      </c>
      <c r="K2128" s="12">
        <v>46097</v>
      </c>
      <c r="L2128" s="12">
        <v>46128</v>
      </c>
      <c r="M2128">
        <v>4</v>
      </c>
      <c r="N2128">
        <v>773966186</v>
      </c>
      <c r="O2128">
        <v>0</v>
      </c>
      <c r="P2128">
        <v>0</v>
      </c>
      <c r="Q2128">
        <v>773966186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 t="s">
        <v>47</v>
      </c>
      <c r="AA2128" t="s">
        <v>501</v>
      </c>
      <c r="AB2128" t="s">
        <v>51</v>
      </c>
      <c r="AC2128" t="s">
        <v>51</v>
      </c>
      <c r="AD2128" t="s">
        <v>51</v>
      </c>
      <c r="AE2128" t="s">
        <v>51</v>
      </c>
      <c r="AF2128" t="s">
        <v>660</v>
      </c>
    </row>
    <row r="2129" spans="1:32" ht="14.5" customHeight="1" x14ac:dyDescent="0.35">
      <c r="A2129" t="s">
        <v>763</v>
      </c>
      <c r="B2129" t="s">
        <v>764</v>
      </c>
      <c r="C2129" t="s">
        <v>47</v>
      </c>
      <c r="D2129">
        <v>3001562</v>
      </c>
      <c r="E2129">
        <v>3001575</v>
      </c>
      <c r="F2129" t="s">
        <v>1677</v>
      </c>
      <c r="G2129" t="s">
        <v>1677</v>
      </c>
      <c r="H2129" t="s">
        <v>54</v>
      </c>
      <c r="I2129">
        <v>9917512</v>
      </c>
      <c r="J2129" s="12">
        <v>46107</v>
      </c>
      <c r="K2129" s="12">
        <v>46107</v>
      </c>
      <c r="L2129" s="12">
        <v>46138</v>
      </c>
      <c r="M2129">
        <v>-6</v>
      </c>
      <c r="N2129">
        <v>495149349</v>
      </c>
      <c r="O2129">
        <v>0</v>
      </c>
      <c r="P2129">
        <v>495149349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 t="s">
        <v>47</v>
      </c>
      <c r="AA2129" t="s">
        <v>501</v>
      </c>
      <c r="AB2129" t="s">
        <v>51</v>
      </c>
      <c r="AC2129" t="s">
        <v>1709</v>
      </c>
      <c r="AD2129" t="s">
        <v>51</v>
      </c>
      <c r="AE2129" t="s">
        <v>51</v>
      </c>
      <c r="AF2129" t="s">
        <v>436</v>
      </c>
    </row>
    <row r="2130" spans="1:32" ht="14.5" customHeight="1" x14ac:dyDescent="0.35">
      <c r="A2130" t="s">
        <v>774</v>
      </c>
      <c r="B2130" t="s">
        <v>1710</v>
      </c>
      <c r="C2130" t="s">
        <v>47</v>
      </c>
      <c r="D2130">
        <v>3001562</v>
      </c>
      <c r="E2130">
        <v>3100158</v>
      </c>
      <c r="F2130" t="s">
        <v>1677</v>
      </c>
      <c r="G2130" t="s">
        <v>1677</v>
      </c>
      <c r="H2130" t="s">
        <v>54</v>
      </c>
      <c r="I2130">
        <v>9917559</v>
      </c>
      <c r="J2130" s="12">
        <v>46107</v>
      </c>
      <c r="K2130" s="12">
        <v>46107</v>
      </c>
      <c r="L2130" s="12">
        <v>46138</v>
      </c>
      <c r="M2130">
        <v>-6</v>
      </c>
      <c r="N2130">
        <v>250026987</v>
      </c>
      <c r="O2130">
        <v>0</v>
      </c>
      <c r="P2130">
        <v>250026987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 t="s">
        <v>47</v>
      </c>
      <c r="AA2130" t="s">
        <v>501</v>
      </c>
      <c r="AB2130" t="s">
        <v>51</v>
      </c>
      <c r="AC2130" t="s">
        <v>1711</v>
      </c>
      <c r="AD2130" t="s">
        <v>51</v>
      </c>
      <c r="AE2130" t="s">
        <v>51</v>
      </c>
      <c r="AF2130" t="s">
        <v>358</v>
      </c>
    </row>
    <row r="2131" spans="1:32" ht="14.5" customHeight="1" x14ac:dyDescent="0.35">
      <c r="A2131" t="s">
        <v>774</v>
      </c>
      <c r="B2131" t="s">
        <v>1710</v>
      </c>
      <c r="C2131" t="s">
        <v>47</v>
      </c>
      <c r="D2131">
        <v>3001562</v>
      </c>
      <c r="E2131">
        <v>3100158</v>
      </c>
      <c r="F2131" t="s">
        <v>1677</v>
      </c>
      <c r="G2131" t="s">
        <v>1677</v>
      </c>
      <c r="H2131" t="s">
        <v>54</v>
      </c>
      <c r="I2131">
        <v>9917567</v>
      </c>
      <c r="J2131" s="12">
        <v>46107</v>
      </c>
      <c r="K2131" s="12">
        <v>46107</v>
      </c>
      <c r="L2131" s="12">
        <v>46138</v>
      </c>
      <c r="M2131">
        <v>-6</v>
      </c>
      <c r="N2131">
        <v>794085</v>
      </c>
      <c r="O2131">
        <v>0</v>
      </c>
      <c r="P2131">
        <v>794085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 t="s">
        <v>47</v>
      </c>
      <c r="AA2131" t="s">
        <v>501</v>
      </c>
      <c r="AB2131" t="s">
        <v>51</v>
      </c>
      <c r="AC2131" t="s">
        <v>1712</v>
      </c>
      <c r="AD2131" t="s">
        <v>51</v>
      </c>
      <c r="AE2131" t="s">
        <v>51</v>
      </c>
      <c r="AF2131" t="s">
        <v>155</v>
      </c>
    </row>
    <row r="2132" spans="1:32" ht="14.5" customHeight="1" x14ac:dyDescent="0.35">
      <c r="A2132" t="s">
        <v>763</v>
      </c>
      <c r="B2132" t="s">
        <v>764</v>
      </c>
      <c r="C2132" t="s">
        <v>47</v>
      </c>
      <c r="D2132">
        <v>3001562</v>
      </c>
      <c r="E2132">
        <v>3001575</v>
      </c>
      <c r="F2132" t="s">
        <v>1677</v>
      </c>
      <c r="G2132" t="s">
        <v>1677</v>
      </c>
      <c r="H2132" t="s">
        <v>54</v>
      </c>
      <c r="I2132">
        <v>9918310</v>
      </c>
      <c r="J2132" s="12">
        <v>46107</v>
      </c>
      <c r="K2132" s="12">
        <v>46107</v>
      </c>
      <c r="L2132" s="12">
        <v>46138</v>
      </c>
      <c r="M2132">
        <v>-6</v>
      </c>
      <c r="N2132">
        <v>697377765</v>
      </c>
      <c r="O2132">
        <v>0</v>
      </c>
      <c r="P2132">
        <v>697377765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 t="s">
        <v>47</v>
      </c>
      <c r="AA2132" t="s">
        <v>501</v>
      </c>
      <c r="AB2132" t="s">
        <v>51</v>
      </c>
      <c r="AC2132" t="s">
        <v>1713</v>
      </c>
      <c r="AD2132" t="s">
        <v>51</v>
      </c>
      <c r="AE2132" t="s">
        <v>51</v>
      </c>
      <c r="AF2132" t="s">
        <v>752</v>
      </c>
    </row>
    <row r="2133" spans="1:32" ht="14.5" customHeight="1" x14ac:dyDescent="0.35">
      <c r="A2133" t="s">
        <v>763</v>
      </c>
      <c r="B2133" t="s">
        <v>764</v>
      </c>
      <c r="C2133" t="s">
        <v>47</v>
      </c>
      <c r="D2133">
        <v>3001562</v>
      </c>
      <c r="E2133">
        <v>3001562</v>
      </c>
      <c r="F2133" t="s">
        <v>1677</v>
      </c>
      <c r="G2133" t="s">
        <v>1677</v>
      </c>
      <c r="H2133" t="s">
        <v>54</v>
      </c>
      <c r="I2133">
        <v>9918594</v>
      </c>
      <c r="J2133" s="12">
        <v>46107</v>
      </c>
      <c r="K2133" s="12">
        <v>46107</v>
      </c>
      <c r="L2133" s="12">
        <v>46138</v>
      </c>
      <c r="M2133">
        <v>-6</v>
      </c>
      <c r="N2133">
        <v>1114203591</v>
      </c>
      <c r="O2133">
        <v>0</v>
      </c>
      <c r="P2133">
        <v>1114203591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 t="s">
        <v>47</v>
      </c>
      <c r="AA2133" t="s">
        <v>501</v>
      </c>
      <c r="AB2133" t="s">
        <v>51</v>
      </c>
      <c r="AC2133" t="s">
        <v>1714</v>
      </c>
      <c r="AD2133" t="s">
        <v>51</v>
      </c>
      <c r="AE2133" t="s">
        <v>51</v>
      </c>
      <c r="AF2133" t="s">
        <v>62</v>
      </c>
    </row>
    <row r="2134" spans="1:32" ht="14.5" customHeight="1" x14ac:dyDescent="0.35">
      <c r="A2134" t="s">
        <v>763</v>
      </c>
      <c r="B2134" t="s">
        <v>764</v>
      </c>
      <c r="C2134" t="s">
        <v>47</v>
      </c>
      <c r="D2134">
        <v>3001562</v>
      </c>
      <c r="E2134">
        <v>3001562</v>
      </c>
      <c r="F2134" t="s">
        <v>1677</v>
      </c>
      <c r="G2134" t="s">
        <v>1677</v>
      </c>
      <c r="H2134" t="s">
        <v>54</v>
      </c>
      <c r="I2134">
        <v>9918616</v>
      </c>
      <c r="J2134" s="12">
        <v>46108</v>
      </c>
      <c r="K2134" s="12">
        <v>46108</v>
      </c>
      <c r="L2134" s="12">
        <v>46139</v>
      </c>
      <c r="M2134">
        <v>-7</v>
      </c>
      <c r="N2134">
        <v>742006597</v>
      </c>
      <c r="O2134">
        <v>0</v>
      </c>
      <c r="P2134">
        <v>742006597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 t="s">
        <v>47</v>
      </c>
      <c r="AA2134" t="s">
        <v>501</v>
      </c>
      <c r="AB2134" t="s">
        <v>51</v>
      </c>
      <c r="AC2134" t="s">
        <v>1715</v>
      </c>
      <c r="AD2134" t="s">
        <v>51</v>
      </c>
      <c r="AE2134" t="s">
        <v>51</v>
      </c>
      <c r="AF2134" t="s">
        <v>62</v>
      </c>
    </row>
    <row r="2135" spans="1:32" ht="14.5" customHeight="1" x14ac:dyDescent="0.35">
      <c r="A2135" t="s">
        <v>763</v>
      </c>
      <c r="B2135" t="s">
        <v>764</v>
      </c>
      <c r="C2135" t="s">
        <v>47</v>
      </c>
      <c r="D2135">
        <v>3001562</v>
      </c>
      <c r="E2135">
        <v>3001575</v>
      </c>
      <c r="F2135" t="s">
        <v>1677</v>
      </c>
      <c r="G2135" t="s">
        <v>1677</v>
      </c>
      <c r="H2135" t="s">
        <v>54</v>
      </c>
      <c r="I2135">
        <v>9918639</v>
      </c>
      <c r="J2135" s="12">
        <v>46108</v>
      </c>
      <c r="K2135" s="12">
        <v>46108</v>
      </c>
      <c r="L2135" s="12">
        <v>46139</v>
      </c>
      <c r="M2135">
        <v>-7</v>
      </c>
      <c r="N2135">
        <v>475220939</v>
      </c>
      <c r="O2135">
        <v>0</v>
      </c>
      <c r="P2135">
        <v>475220939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 t="s">
        <v>47</v>
      </c>
      <c r="AA2135" t="s">
        <v>501</v>
      </c>
      <c r="AB2135" t="s">
        <v>51</v>
      </c>
      <c r="AC2135" t="s">
        <v>1716</v>
      </c>
      <c r="AD2135" t="s">
        <v>51</v>
      </c>
      <c r="AE2135" t="s">
        <v>51</v>
      </c>
      <c r="AF2135" t="s">
        <v>69</v>
      </c>
    </row>
    <row r="2136" spans="1:32" ht="14.5" customHeight="1" x14ac:dyDescent="0.35">
      <c r="A2136" t="s">
        <v>763</v>
      </c>
      <c r="B2136" t="s">
        <v>764</v>
      </c>
      <c r="C2136" t="s">
        <v>47</v>
      </c>
      <c r="D2136">
        <v>3001562</v>
      </c>
      <c r="E2136">
        <v>3001575</v>
      </c>
      <c r="F2136" t="s">
        <v>1677</v>
      </c>
      <c r="G2136" t="s">
        <v>1677</v>
      </c>
      <c r="H2136" t="s">
        <v>54</v>
      </c>
      <c r="I2136">
        <v>9918744</v>
      </c>
      <c r="J2136" s="12">
        <v>46108</v>
      </c>
      <c r="K2136" s="12">
        <v>46108</v>
      </c>
      <c r="L2136" s="12">
        <v>46139</v>
      </c>
      <c r="M2136">
        <v>-7</v>
      </c>
      <c r="N2136">
        <v>1040008919</v>
      </c>
      <c r="O2136">
        <v>0</v>
      </c>
      <c r="P2136">
        <v>1040008919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 t="s">
        <v>47</v>
      </c>
      <c r="AA2136" t="s">
        <v>501</v>
      </c>
      <c r="AB2136" t="s">
        <v>51</v>
      </c>
      <c r="AC2136" t="s">
        <v>1717</v>
      </c>
      <c r="AD2136" t="s">
        <v>51</v>
      </c>
      <c r="AE2136" t="s">
        <v>51</v>
      </c>
      <c r="AF2136" t="s">
        <v>455</v>
      </c>
    </row>
    <row r="2137" spans="1:32" ht="14.5" customHeight="1" x14ac:dyDescent="0.35">
      <c r="A2137" t="s">
        <v>763</v>
      </c>
      <c r="B2137" t="s">
        <v>764</v>
      </c>
      <c r="C2137" t="s">
        <v>47</v>
      </c>
      <c r="D2137">
        <v>3001562</v>
      </c>
      <c r="E2137">
        <v>3001575</v>
      </c>
      <c r="F2137" t="s">
        <v>1677</v>
      </c>
      <c r="G2137" t="s">
        <v>1677</v>
      </c>
      <c r="H2137" t="s">
        <v>54</v>
      </c>
      <c r="I2137">
        <v>9918745</v>
      </c>
      <c r="J2137" s="12">
        <v>46108</v>
      </c>
      <c r="K2137" s="12">
        <v>46108</v>
      </c>
      <c r="L2137" s="12">
        <v>46139</v>
      </c>
      <c r="M2137">
        <v>-7</v>
      </c>
      <c r="N2137">
        <v>11117192</v>
      </c>
      <c r="O2137">
        <v>0</v>
      </c>
      <c r="P2137">
        <v>11117192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 t="s">
        <v>47</v>
      </c>
      <c r="AA2137" t="s">
        <v>501</v>
      </c>
      <c r="AB2137" t="s">
        <v>51</v>
      </c>
      <c r="AC2137" t="s">
        <v>1718</v>
      </c>
      <c r="AD2137" t="s">
        <v>51</v>
      </c>
      <c r="AE2137" t="s">
        <v>51</v>
      </c>
      <c r="AF2137" t="s">
        <v>320</v>
      </c>
    </row>
    <row r="2138" spans="1:32" ht="14.5" customHeight="1" x14ac:dyDescent="0.35">
      <c r="A2138" t="s">
        <v>763</v>
      </c>
      <c r="B2138" t="s">
        <v>764</v>
      </c>
      <c r="C2138" t="s">
        <v>47</v>
      </c>
      <c r="D2138">
        <v>3001562</v>
      </c>
      <c r="E2138">
        <v>3001575</v>
      </c>
      <c r="F2138" t="s">
        <v>1677</v>
      </c>
      <c r="G2138" t="s">
        <v>1677</v>
      </c>
      <c r="H2138" t="s">
        <v>54</v>
      </c>
      <c r="I2138">
        <v>9919727</v>
      </c>
      <c r="J2138" s="12">
        <v>46110</v>
      </c>
      <c r="K2138" s="12">
        <v>46110</v>
      </c>
      <c r="L2138" s="12">
        <v>46141</v>
      </c>
      <c r="M2138">
        <v>-9</v>
      </c>
      <c r="N2138">
        <v>356608244</v>
      </c>
      <c r="O2138">
        <v>0</v>
      </c>
      <c r="P2138">
        <v>356608244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 t="s">
        <v>47</v>
      </c>
      <c r="AA2138" t="s">
        <v>501</v>
      </c>
      <c r="AB2138" t="s">
        <v>51</v>
      </c>
      <c r="AC2138" t="s">
        <v>51</v>
      </c>
      <c r="AD2138" t="s">
        <v>1719</v>
      </c>
      <c r="AE2138" t="s">
        <v>51</v>
      </c>
      <c r="AF2138" t="s">
        <v>107</v>
      </c>
    </row>
    <row r="2139" spans="1:32" ht="14.5" customHeight="1" x14ac:dyDescent="0.35">
      <c r="A2139" t="s">
        <v>763</v>
      </c>
      <c r="B2139" t="s">
        <v>764</v>
      </c>
      <c r="C2139" t="s">
        <v>47</v>
      </c>
      <c r="D2139">
        <v>3001562</v>
      </c>
      <c r="E2139">
        <v>3001575</v>
      </c>
      <c r="F2139" t="s">
        <v>1677</v>
      </c>
      <c r="G2139" t="s">
        <v>1677</v>
      </c>
      <c r="H2139" t="s">
        <v>54</v>
      </c>
      <c r="I2139">
        <v>9919813</v>
      </c>
      <c r="J2139" s="12">
        <v>46110</v>
      </c>
      <c r="K2139" s="12">
        <v>46110</v>
      </c>
      <c r="L2139" s="12">
        <v>46141</v>
      </c>
      <c r="M2139">
        <v>-9</v>
      </c>
      <c r="N2139">
        <v>35100864</v>
      </c>
      <c r="O2139">
        <v>0</v>
      </c>
      <c r="P2139">
        <v>35100864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 t="s">
        <v>47</v>
      </c>
      <c r="AA2139" t="s">
        <v>501</v>
      </c>
      <c r="AB2139" t="s">
        <v>51</v>
      </c>
      <c r="AC2139" t="s">
        <v>51</v>
      </c>
      <c r="AD2139" t="s">
        <v>1720</v>
      </c>
      <c r="AE2139" t="s">
        <v>51</v>
      </c>
      <c r="AF2139" t="s">
        <v>1721</v>
      </c>
    </row>
    <row r="2140" spans="1:32" ht="14.5" customHeight="1" x14ac:dyDescent="0.35">
      <c r="A2140" t="s">
        <v>763</v>
      </c>
      <c r="B2140" t="s">
        <v>764</v>
      </c>
      <c r="C2140" t="s">
        <v>47</v>
      </c>
      <c r="D2140">
        <v>3001562</v>
      </c>
      <c r="E2140">
        <v>3001575</v>
      </c>
      <c r="F2140" t="s">
        <v>1677</v>
      </c>
      <c r="G2140" t="s">
        <v>1677</v>
      </c>
      <c r="H2140" t="s">
        <v>54</v>
      </c>
      <c r="I2140">
        <v>9919855</v>
      </c>
      <c r="J2140" s="12">
        <v>46110</v>
      </c>
      <c r="K2140" s="12">
        <v>46110</v>
      </c>
      <c r="L2140" s="12">
        <v>46141</v>
      </c>
      <c r="M2140">
        <v>-9</v>
      </c>
      <c r="N2140">
        <v>1204998016</v>
      </c>
      <c r="O2140">
        <v>0</v>
      </c>
      <c r="P2140">
        <v>1204998016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 t="s">
        <v>47</v>
      </c>
      <c r="AA2140" t="s">
        <v>501</v>
      </c>
      <c r="AB2140" t="s">
        <v>51</v>
      </c>
      <c r="AC2140" t="s">
        <v>51</v>
      </c>
      <c r="AD2140" t="s">
        <v>1722</v>
      </c>
      <c r="AE2140" t="s">
        <v>51</v>
      </c>
      <c r="AF2140" t="s">
        <v>277</v>
      </c>
    </row>
    <row r="2141" spans="1:32" ht="14.5" customHeight="1" x14ac:dyDescent="0.35">
      <c r="A2141" t="s">
        <v>763</v>
      </c>
      <c r="B2141" t="s">
        <v>764</v>
      </c>
      <c r="C2141" t="s">
        <v>47</v>
      </c>
      <c r="D2141">
        <v>3001562</v>
      </c>
      <c r="E2141">
        <v>3001575</v>
      </c>
      <c r="F2141" t="s">
        <v>1677</v>
      </c>
      <c r="G2141" t="s">
        <v>1677</v>
      </c>
      <c r="H2141" t="s">
        <v>54</v>
      </c>
      <c r="I2141">
        <v>9920023</v>
      </c>
      <c r="J2141" s="12">
        <v>46110</v>
      </c>
      <c r="K2141" s="12">
        <v>46110</v>
      </c>
      <c r="L2141" s="12">
        <v>46141</v>
      </c>
      <c r="M2141">
        <v>-9</v>
      </c>
      <c r="N2141">
        <v>413928764</v>
      </c>
      <c r="O2141">
        <v>0</v>
      </c>
      <c r="P2141">
        <v>413928764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 t="s">
        <v>47</v>
      </c>
      <c r="AA2141" t="s">
        <v>501</v>
      </c>
      <c r="AB2141" t="s">
        <v>51</v>
      </c>
      <c r="AC2141" t="s">
        <v>51</v>
      </c>
      <c r="AD2141" t="s">
        <v>1723</v>
      </c>
      <c r="AE2141" t="s">
        <v>51</v>
      </c>
      <c r="AF2141" t="s">
        <v>1134</v>
      </c>
    </row>
    <row r="2142" spans="1:32" ht="14.5" customHeight="1" x14ac:dyDescent="0.35">
      <c r="A2142" t="s">
        <v>763</v>
      </c>
      <c r="B2142" t="s">
        <v>764</v>
      </c>
      <c r="C2142" t="s">
        <v>47</v>
      </c>
      <c r="D2142">
        <v>3001562</v>
      </c>
      <c r="E2142">
        <v>3001562</v>
      </c>
      <c r="F2142" t="s">
        <v>1677</v>
      </c>
      <c r="G2142" t="s">
        <v>1677</v>
      </c>
      <c r="H2142" t="s">
        <v>54</v>
      </c>
      <c r="I2142">
        <v>9920546</v>
      </c>
      <c r="J2142" s="12">
        <v>46112</v>
      </c>
      <c r="K2142" s="12">
        <v>46112</v>
      </c>
      <c r="L2142" s="12">
        <v>46143</v>
      </c>
      <c r="M2142">
        <v>-11</v>
      </c>
      <c r="N2142">
        <v>1140183128</v>
      </c>
      <c r="O2142">
        <v>0</v>
      </c>
      <c r="P2142">
        <v>1140183128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 t="s">
        <v>47</v>
      </c>
      <c r="AA2142" t="s">
        <v>501</v>
      </c>
      <c r="AB2142" t="s">
        <v>51</v>
      </c>
      <c r="AC2142" t="s">
        <v>51</v>
      </c>
      <c r="AD2142" t="s">
        <v>1724</v>
      </c>
      <c r="AE2142" t="s">
        <v>51</v>
      </c>
      <c r="AF2142" t="s">
        <v>277</v>
      </c>
    </row>
    <row r="2143" spans="1:32" ht="14.5" customHeight="1" x14ac:dyDescent="0.35">
      <c r="A2143" t="s">
        <v>774</v>
      </c>
      <c r="B2143" t="s">
        <v>1710</v>
      </c>
      <c r="C2143" t="s">
        <v>47</v>
      </c>
      <c r="D2143">
        <v>3001562</v>
      </c>
      <c r="E2143">
        <v>3100158</v>
      </c>
      <c r="F2143" t="s">
        <v>1677</v>
      </c>
      <c r="G2143" t="s">
        <v>1677</v>
      </c>
      <c r="H2143" t="s">
        <v>54</v>
      </c>
      <c r="I2143">
        <v>9921338</v>
      </c>
      <c r="J2143" s="12">
        <v>46112</v>
      </c>
      <c r="K2143" s="12">
        <v>46112</v>
      </c>
      <c r="L2143" s="12">
        <v>46143</v>
      </c>
      <c r="M2143">
        <v>-11</v>
      </c>
      <c r="N2143">
        <v>165973607</v>
      </c>
      <c r="O2143">
        <v>0</v>
      </c>
      <c r="P2143">
        <v>165973607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 t="s">
        <v>47</v>
      </c>
      <c r="AA2143" t="s">
        <v>501</v>
      </c>
      <c r="AB2143" t="s">
        <v>51</v>
      </c>
      <c r="AC2143" t="s">
        <v>51</v>
      </c>
      <c r="AD2143" t="s">
        <v>1725</v>
      </c>
      <c r="AE2143" t="s">
        <v>51</v>
      </c>
      <c r="AF2143" t="s">
        <v>285</v>
      </c>
    </row>
    <row r="2144" spans="1:32" ht="14.5" customHeight="1" x14ac:dyDescent="0.35">
      <c r="A2144" t="s">
        <v>763</v>
      </c>
      <c r="B2144" t="s">
        <v>764</v>
      </c>
      <c r="C2144" t="s">
        <v>47</v>
      </c>
      <c r="D2144">
        <v>3001562</v>
      </c>
      <c r="E2144">
        <v>3001575</v>
      </c>
      <c r="F2144" t="s">
        <v>1677</v>
      </c>
      <c r="G2144" t="s">
        <v>1677</v>
      </c>
      <c r="H2144" t="s">
        <v>54</v>
      </c>
      <c r="I2144">
        <v>9921401</v>
      </c>
      <c r="J2144" s="12">
        <v>46112</v>
      </c>
      <c r="K2144" s="12">
        <v>46112</v>
      </c>
      <c r="L2144" s="12">
        <v>46143</v>
      </c>
      <c r="M2144">
        <v>-11</v>
      </c>
      <c r="N2144">
        <v>466673340</v>
      </c>
      <c r="O2144">
        <v>0</v>
      </c>
      <c r="P2144">
        <v>466673340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 t="s">
        <v>47</v>
      </c>
      <c r="AA2144" t="s">
        <v>501</v>
      </c>
      <c r="AB2144" t="s">
        <v>51</v>
      </c>
      <c r="AC2144" t="s">
        <v>51</v>
      </c>
      <c r="AD2144" t="s">
        <v>1726</v>
      </c>
      <c r="AE2144" t="s">
        <v>51</v>
      </c>
      <c r="AF2144" t="s">
        <v>303</v>
      </c>
    </row>
    <row r="2145" spans="1:32" ht="14.5" customHeight="1" x14ac:dyDescent="0.35">
      <c r="A2145" t="s">
        <v>763</v>
      </c>
      <c r="B2145" t="s">
        <v>764</v>
      </c>
      <c r="C2145" t="s">
        <v>47</v>
      </c>
      <c r="D2145">
        <v>3001562</v>
      </c>
      <c r="E2145">
        <v>3001575</v>
      </c>
      <c r="F2145" t="s">
        <v>1677</v>
      </c>
      <c r="G2145" t="s">
        <v>1677</v>
      </c>
      <c r="H2145" t="s">
        <v>54</v>
      </c>
      <c r="I2145">
        <v>9921419</v>
      </c>
      <c r="J2145" s="12">
        <v>46112</v>
      </c>
      <c r="K2145" s="12">
        <v>46112</v>
      </c>
      <c r="L2145" s="12">
        <v>46143</v>
      </c>
      <c r="M2145">
        <v>-11</v>
      </c>
      <c r="N2145">
        <v>489468442</v>
      </c>
      <c r="O2145">
        <v>0</v>
      </c>
      <c r="P2145">
        <v>489468442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 t="s">
        <v>47</v>
      </c>
      <c r="AA2145" t="s">
        <v>501</v>
      </c>
      <c r="AB2145" t="s">
        <v>51</v>
      </c>
      <c r="AC2145" t="s">
        <v>51</v>
      </c>
      <c r="AD2145" t="s">
        <v>1727</v>
      </c>
      <c r="AE2145" t="s">
        <v>51</v>
      </c>
      <c r="AF2145" t="s">
        <v>1252</v>
      </c>
    </row>
    <row r="2146" spans="1:32" ht="14.5" customHeight="1" x14ac:dyDescent="0.35">
      <c r="A2146" t="s">
        <v>763</v>
      </c>
      <c r="B2146" t="s">
        <v>764</v>
      </c>
      <c r="C2146" t="s">
        <v>47</v>
      </c>
      <c r="D2146">
        <v>3001562</v>
      </c>
      <c r="E2146">
        <v>3001575</v>
      </c>
      <c r="F2146" t="s">
        <v>1677</v>
      </c>
      <c r="G2146" t="s">
        <v>1677</v>
      </c>
      <c r="H2146" t="s">
        <v>54</v>
      </c>
      <c r="I2146">
        <v>9921517</v>
      </c>
      <c r="J2146" s="12">
        <v>46112</v>
      </c>
      <c r="K2146" s="12">
        <v>46112</v>
      </c>
      <c r="L2146" s="12">
        <v>46143</v>
      </c>
      <c r="M2146">
        <v>-11</v>
      </c>
      <c r="N2146">
        <v>659476429</v>
      </c>
      <c r="O2146">
        <v>0</v>
      </c>
      <c r="P2146">
        <v>659476429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 t="s">
        <v>47</v>
      </c>
      <c r="AA2146" t="s">
        <v>501</v>
      </c>
      <c r="AB2146" t="s">
        <v>51</v>
      </c>
      <c r="AC2146" t="s">
        <v>51</v>
      </c>
      <c r="AD2146" t="s">
        <v>1728</v>
      </c>
      <c r="AE2146" t="s">
        <v>51</v>
      </c>
      <c r="AF2146" t="s">
        <v>334</v>
      </c>
    </row>
    <row r="2147" spans="1:32" ht="14.5" customHeight="1" x14ac:dyDescent="0.35">
      <c r="A2147" t="s">
        <v>763</v>
      </c>
      <c r="B2147" t="s">
        <v>764</v>
      </c>
      <c r="C2147" t="s">
        <v>47</v>
      </c>
      <c r="D2147">
        <v>3001562</v>
      </c>
      <c r="E2147">
        <v>3001575</v>
      </c>
      <c r="F2147" t="s">
        <v>1677</v>
      </c>
      <c r="G2147" t="s">
        <v>1677</v>
      </c>
      <c r="H2147" t="s">
        <v>54</v>
      </c>
      <c r="I2147">
        <v>9921519</v>
      </c>
      <c r="J2147" s="12">
        <v>46112</v>
      </c>
      <c r="K2147" s="12">
        <v>46112</v>
      </c>
      <c r="L2147" s="12">
        <v>46143</v>
      </c>
      <c r="M2147">
        <v>-11</v>
      </c>
      <c r="N2147">
        <v>3864931</v>
      </c>
      <c r="O2147">
        <v>0</v>
      </c>
      <c r="P2147">
        <v>3864931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 t="s">
        <v>47</v>
      </c>
      <c r="AA2147" t="s">
        <v>501</v>
      </c>
      <c r="AB2147" t="s">
        <v>51</v>
      </c>
      <c r="AC2147" t="s">
        <v>51</v>
      </c>
      <c r="AD2147" t="s">
        <v>1729</v>
      </c>
      <c r="AE2147" t="s">
        <v>51</v>
      </c>
      <c r="AF2147" t="s">
        <v>163</v>
      </c>
    </row>
    <row r="2148" spans="1:32" ht="14.5" customHeight="1" x14ac:dyDescent="0.35">
      <c r="A2148" t="s">
        <v>763</v>
      </c>
      <c r="B2148" t="s">
        <v>764</v>
      </c>
      <c r="C2148" t="s">
        <v>47</v>
      </c>
      <c r="D2148">
        <v>3001562</v>
      </c>
      <c r="E2148">
        <v>3001562</v>
      </c>
      <c r="F2148" t="s">
        <v>1677</v>
      </c>
      <c r="G2148" t="s">
        <v>1677</v>
      </c>
      <c r="H2148" t="s">
        <v>54</v>
      </c>
      <c r="I2148">
        <v>9921520</v>
      </c>
      <c r="J2148" s="12">
        <v>46112</v>
      </c>
      <c r="K2148" s="12">
        <v>46112</v>
      </c>
      <c r="L2148" s="12">
        <v>46143</v>
      </c>
      <c r="M2148">
        <v>-11</v>
      </c>
      <c r="N2148">
        <v>941677601</v>
      </c>
      <c r="O2148">
        <v>0</v>
      </c>
      <c r="P2148">
        <v>941677601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 t="s">
        <v>47</v>
      </c>
      <c r="AA2148" t="s">
        <v>501</v>
      </c>
      <c r="AB2148" t="s">
        <v>51</v>
      </c>
      <c r="AC2148" t="s">
        <v>51</v>
      </c>
      <c r="AD2148" t="s">
        <v>1730</v>
      </c>
      <c r="AE2148" t="s">
        <v>51</v>
      </c>
      <c r="AF2148" t="s">
        <v>642</v>
      </c>
    </row>
    <row r="2149" spans="1:32" ht="14.5" customHeight="1" x14ac:dyDescent="0.35">
      <c r="A2149" t="s">
        <v>763</v>
      </c>
      <c r="B2149" t="s">
        <v>764</v>
      </c>
      <c r="C2149" t="s">
        <v>47</v>
      </c>
      <c r="D2149">
        <v>3001562</v>
      </c>
      <c r="E2149">
        <v>3001575</v>
      </c>
      <c r="F2149" t="s">
        <v>1677</v>
      </c>
      <c r="G2149" t="s">
        <v>1677</v>
      </c>
      <c r="H2149" t="s">
        <v>54</v>
      </c>
      <c r="I2149">
        <v>9921523</v>
      </c>
      <c r="J2149" s="12">
        <v>46112</v>
      </c>
      <c r="K2149" s="12">
        <v>46112</v>
      </c>
      <c r="L2149" s="12">
        <v>46143</v>
      </c>
      <c r="M2149">
        <v>-11</v>
      </c>
      <c r="N2149">
        <v>550591457</v>
      </c>
      <c r="O2149">
        <v>0</v>
      </c>
      <c r="P2149">
        <v>550591457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 t="s">
        <v>47</v>
      </c>
      <c r="AA2149" t="s">
        <v>501</v>
      </c>
      <c r="AB2149" t="s">
        <v>51</v>
      </c>
      <c r="AC2149" t="s">
        <v>51</v>
      </c>
      <c r="AD2149" t="s">
        <v>1731</v>
      </c>
      <c r="AE2149" t="s">
        <v>51</v>
      </c>
      <c r="AF2149" t="s">
        <v>69</v>
      </c>
    </row>
    <row r="2150" spans="1:32" ht="14.5" customHeight="1" x14ac:dyDescent="0.35">
      <c r="A2150" t="s">
        <v>763</v>
      </c>
      <c r="B2150" t="s">
        <v>764</v>
      </c>
      <c r="C2150" t="s">
        <v>47</v>
      </c>
      <c r="D2150">
        <v>3001562</v>
      </c>
      <c r="E2150">
        <v>3001575</v>
      </c>
      <c r="F2150" t="s">
        <v>1677</v>
      </c>
      <c r="G2150" t="s">
        <v>1677</v>
      </c>
      <c r="H2150" t="s">
        <v>54</v>
      </c>
      <c r="I2150">
        <v>9921524</v>
      </c>
      <c r="J2150" s="12">
        <v>46112</v>
      </c>
      <c r="K2150" s="12">
        <v>46112</v>
      </c>
      <c r="L2150" s="12">
        <v>46143</v>
      </c>
      <c r="M2150">
        <v>-11</v>
      </c>
      <c r="N2150">
        <v>529722463</v>
      </c>
      <c r="O2150">
        <v>0</v>
      </c>
      <c r="P2150">
        <v>529722463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 t="s">
        <v>47</v>
      </c>
      <c r="AA2150" t="s">
        <v>501</v>
      </c>
      <c r="AB2150" t="s">
        <v>51</v>
      </c>
      <c r="AC2150" t="s">
        <v>51</v>
      </c>
      <c r="AD2150" t="s">
        <v>1732</v>
      </c>
      <c r="AE2150" t="s">
        <v>51</v>
      </c>
      <c r="AF2150" t="s">
        <v>1252</v>
      </c>
    </row>
    <row r="2151" spans="1:32" ht="14.5" customHeight="1" x14ac:dyDescent="0.35">
      <c r="A2151" t="s">
        <v>763</v>
      </c>
      <c r="B2151" t="s">
        <v>764</v>
      </c>
      <c r="C2151" t="s">
        <v>47</v>
      </c>
      <c r="D2151">
        <v>3001562</v>
      </c>
      <c r="E2151">
        <v>3001562</v>
      </c>
      <c r="F2151" t="s">
        <v>1677</v>
      </c>
      <c r="G2151" t="s">
        <v>1677</v>
      </c>
      <c r="H2151" t="s">
        <v>54</v>
      </c>
      <c r="I2151">
        <v>9921526</v>
      </c>
      <c r="J2151" s="12">
        <v>46112</v>
      </c>
      <c r="K2151" s="12">
        <v>46112</v>
      </c>
      <c r="L2151" s="12">
        <v>46143</v>
      </c>
      <c r="M2151">
        <v>-11</v>
      </c>
      <c r="N2151">
        <v>619573133</v>
      </c>
      <c r="O2151">
        <v>0</v>
      </c>
      <c r="P2151">
        <v>619573133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 t="s">
        <v>47</v>
      </c>
      <c r="AA2151" t="s">
        <v>501</v>
      </c>
      <c r="AB2151" t="s">
        <v>51</v>
      </c>
      <c r="AC2151" t="s">
        <v>51</v>
      </c>
      <c r="AD2151" t="s">
        <v>1733</v>
      </c>
      <c r="AE2151" t="s">
        <v>51</v>
      </c>
      <c r="AF2151" t="s">
        <v>195</v>
      </c>
    </row>
    <row r="2152" spans="1:32" ht="14.5" customHeight="1" x14ac:dyDescent="0.35">
      <c r="A2152" t="s">
        <v>763</v>
      </c>
      <c r="B2152" t="s">
        <v>764</v>
      </c>
      <c r="C2152" t="s">
        <v>47</v>
      </c>
      <c r="D2152">
        <v>3001562</v>
      </c>
      <c r="E2152">
        <v>3001562</v>
      </c>
      <c r="F2152" t="s">
        <v>1677</v>
      </c>
      <c r="G2152" t="s">
        <v>1677</v>
      </c>
      <c r="H2152" t="s">
        <v>54</v>
      </c>
      <c r="I2152">
        <v>9921551</v>
      </c>
      <c r="J2152" s="12">
        <v>46113</v>
      </c>
      <c r="K2152" s="12">
        <v>46113</v>
      </c>
      <c r="L2152" s="12">
        <v>46144</v>
      </c>
      <c r="M2152">
        <v>-12</v>
      </c>
      <c r="N2152">
        <v>569255688</v>
      </c>
      <c r="O2152">
        <v>0</v>
      </c>
      <c r="P2152">
        <v>569255688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 t="s">
        <v>47</v>
      </c>
      <c r="AA2152" t="s">
        <v>501</v>
      </c>
      <c r="AB2152" t="s">
        <v>51</v>
      </c>
      <c r="AC2152" t="s">
        <v>51</v>
      </c>
      <c r="AD2152" t="s">
        <v>1734</v>
      </c>
      <c r="AE2152" t="s">
        <v>51</v>
      </c>
      <c r="AF2152" t="s">
        <v>1409</v>
      </c>
    </row>
    <row r="2153" spans="1:32" ht="14.5" customHeight="1" x14ac:dyDescent="0.35">
      <c r="A2153" t="s">
        <v>763</v>
      </c>
      <c r="B2153" t="s">
        <v>764</v>
      </c>
      <c r="C2153" t="s">
        <v>47</v>
      </c>
      <c r="D2153">
        <v>3001562</v>
      </c>
      <c r="E2153">
        <v>3001575</v>
      </c>
      <c r="F2153" t="s">
        <v>1677</v>
      </c>
      <c r="G2153" t="s">
        <v>1677</v>
      </c>
      <c r="H2153" t="s">
        <v>54</v>
      </c>
      <c r="I2153">
        <v>9922183</v>
      </c>
      <c r="J2153" s="12">
        <v>46116</v>
      </c>
      <c r="K2153" s="12">
        <v>46116</v>
      </c>
      <c r="L2153" s="12">
        <v>46147</v>
      </c>
      <c r="M2153">
        <v>-15</v>
      </c>
      <c r="N2153">
        <v>367916140</v>
      </c>
      <c r="O2153">
        <v>0</v>
      </c>
      <c r="P2153">
        <v>367916140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 t="s">
        <v>47</v>
      </c>
      <c r="AA2153" t="s">
        <v>501</v>
      </c>
      <c r="AB2153" t="s">
        <v>51</v>
      </c>
      <c r="AC2153" t="s">
        <v>51</v>
      </c>
      <c r="AD2153" t="s">
        <v>51</v>
      </c>
      <c r="AE2153" t="s">
        <v>1735</v>
      </c>
      <c r="AF2153" t="s">
        <v>1736</v>
      </c>
    </row>
    <row r="2154" spans="1:32" ht="14.5" customHeight="1" x14ac:dyDescent="0.35">
      <c r="A2154" t="s">
        <v>763</v>
      </c>
      <c r="B2154" t="s">
        <v>764</v>
      </c>
      <c r="C2154" t="s">
        <v>47</v>
      </c>
      <c r="D2154">
        <v>3001562</v>
      </c>
      <c r="E2154">
        <v>3001575</v>
      </c>
      <c r="F2154" t="s">
        <v>1677</v>
      </c>
      <c r="G2154" t="s">
        <v>1677</v>
      </c>
      <c r="H2154" t="s">
        <v>54</v>
      </c>
      <c r="I2154">
        <v>9922490</v>
      </c>
      <c r="J2154" s="12">
        <v>46118</v>
      </c>
      <c r="K2154" s="12">
        <v>46118</v>
      </c>
      <c r="L2154" s="12">
        <v>46149</v>
      </c>
      <c r="M2154">
        <v>-17</v>
      </c>
      <c r="N2154">
        <v>431193595</v>
      </c>
      <c r="O2154">
        <v>0</v>
      </c>
      <c r="P2154">
        <v>431193595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 t="s">
        <v>47</v>
      </c>
      <c r="AA2154" t="s">
        <v>501</v>
      </c>
      <c r="AB2154" t="s">
        <v>51</v>
      </c>
      <c r="AC2154" t="s">
        <v>51</v>
      </c>
      <c r="AD2154" t="s">
        <v>51</v>
      </c>
      <c r="AE2154" t="s">
        <v>1737</v>
      </c>
      <c r="AF2154" t="s">
        <v>62</v>
      </c>
    </row>
    <row r="2155" spans="1:32" ht="14.5" customHeight="1" x14ac:dyDescent="0.35">
      <c r="A2155" t="s">
        <v>763</v>
      </c>
      <c r="B2155" t="s">
        <v>764</v>
      </c>
      <c r="C2155" t="s">
        <v>47</v>
      </c>
      <c r="D2155">
        <v>3001562</v>
      </c>
      <c r="E2155">
        <v>3001562</v>
      </c>
      <c r="F2155" t="s">
        <v>1677</v>
      </c>
      <c r="G2155" t="s">
        <v>1677</v>
      </c>
      <c r="H2155" t="s">
        <v>140</v>
      </c>
      <c r="I2155">
        <v>9922626</v>
      </c>
      <c r="J2155" s="12">
        <v>46119</v>
      </c>
      <c r="K2155" s="12">
        <v>46119</v>
      </c>
      <c r="L2155" s="12">
        <v>46149</v>
      </c>
      <c r="M2155">
        <v>-17</v>
      </c>
      <c r="N2155">
        <v>10365900</v>
      </c>
      <c r="O2155">
        <v>0</v>
      </c>
      <c r="P2155">
        <v>10365900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 t="s">
        <v>47</v>
      </c>
      <c r="AA2155" t="s">
        <v>501</v>
      </c>
      <c r="AB2155" t="s">
        <v>51</v>
      </c>
      <c r="AC2155" t="s">
        <v>51</v>
      </c>
      <c r="AD2155" t="s">
        <v>51</v>
      </c>
      <c r="AE2155" t="s">
        <v>1738</v>
      </c>
      <c r="AF2155" t="s">
        <v>1739</v>
      </c>
    </row>
    <row r="2156" spans="1:32" ht="14.5" customHeight="1" x14ac:dyDescent="0.35">
      <c r="A2156" t="s">
        <v>763</v>
      </c>
      <c r="B2156" t="s">
        <v>764</v>
      </c>
      <c r="C2156" t="s">
        <v>47</v>
      </c>
      <c r="D2156">
        <v>3001562</v>
      </c>
      <c r="E2156">
        <v>3001575</v>
      </c>
      <c r="F2156" t="s">
        <v>1677</v>
      </c>
      <c r="G2156" t="s">
        <v>1677</v>
      </c>
      <c r="H2156" t="s">
        <v>54</v>
      </c>
      <c r="I2156">
        <v>9923438</v>
      </c>
      <c r="J2156" s="12">
        <v>46121</v>
      </c>
      <c r="K2156" s="12">
        <v>46121</v>
      </c>
      <c r="L2156" s="12">
        <v>46152</v>
      </c>
      <c r="M2156">
        <v>-20</v>
      </c>
      <c r="N2156">
        <v>521874502</v>
      </c>
      <c r="O2156">
        <v>0</v>
      </c>
      <c r="P2156">
        <v>521874502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 t="s">
        <v>47</v>
      </c>
      <c r="AA2156" t="s">
        <v>501</v>
      </c>
      <c r="AB2156" t="s">
        <v>51</v>
      </c>
      <c r="AC2156" t="s">
        <v>51</v>
      </c>
      <c r="AD2156" t="s">
        <v>51</v>
      </c>
      <c r="AE2156" t="s">
        <v>1740</v>
      </c>
      <c r="AF2156" t="s">
        <v>1434</v>
      </c>
    </row>
    <row r="2157" spans="1:32" ht="14.5" customHeight="1" x14ac:dyDescent="0.35">
      <c r="A2157" t="s">
        <v>763</v>
      </c>
      <c r="B2157" t="s">
        <v>764</v>
      </c>
      <c r="C2157" t="s">
        <v>47</v>
      </c>
      <c r="D2157">
        <v>3001562</v>
      </c>
      <c r="E2157">
        <v>3001575</v>
      </c>
      <c r="F2157" t="s">
        <v>1677</v>
      </c>
      <c r="G2157" t="s">
        <v>1677</v>
      </c>
      <c r="H2157" t="s">
        <v>54</v>
      </c>
      <c r="I2157">
        <v>9923440</v>
      </c>
      <c r="J2157" s="12">
        <v>46121</v>
      </c>
      <c r="K2157" s="12">
        <v>46121</v>
      </c>
      <c r="L2157" s="12">
        <v>46152</v>
      </c>
      <c r="M2157">
        <v>-20</v>
      </c>
      <c r="N2157">
        <v>15234670</v>
      </c>
      <c r="O2157">
        <v>0</v>
      </c>
      <c r="P2157">
        <v>15234670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 t="s">
        <v>47</v>
      </c>
      <c r="AA2157" t="s">
        <v>501</v>
      </c>
      <c r="AB2157" t="s">
        <v>51</v>
      </c>
      <c r="AC2157" t="s">
        <v>51</v>
      </c>
      <c r="AD2157" t="s">
        <v>51</v>
      </c>
      <c r="AE2157" t="s">
        <v>1741</v>
      </c>
      <c r="AF2157" t="s">
        <v>158</v>
      </c>
    </row>
    <row r="2158" spans="1:32" ht="14.5" customHeight="1" x14ac:dyDescent="0.35">
      <c r="A2158" t="s">
        <v>763</v>
      </c>
      <c r="B2158" t="s">
        <v>764</v>
      </c>
      <c r="C2158" t="s">
        <v>47</v>
      </c>
      <c r="D2158">
        <v>3001562</v>
      </c>
      <c r="E2158">
        <v>3001562</v>
      </c>
      <c r="F2158" t="s">
        <v>1677</v>
      </c>
      <c r="G2158" t="s">
        <v>1677</v>
      </c>
      <c r="H2158" t="s">
        <v>54</v>
      </c>
      <c r="I2158">
        <v>9923445</v>
      </c>
      <c r="J2158" s="12">
        <v>46121</v>
      </c>
      <c r="K2158" s="12">
        <v>46121</v>
      </c>
      <c r="L2158" s="12">
        <v>46152</v>
      </c>
      <c r="M2158">
        <v>-20</v>
      </c>
      <c r="N2158">
        <v>47456496</v>
      </c>
      <c r="O2158">
        <v>0</v>
      </c>
      <c r="P2158">
        <v>47456496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 t="s">
        <v>47</v>
      </c>
      <c r="AA2158" t="s">
        <v>501</v>
      </c>
      <c r="AB2158" t="s">
        <v>51</v>
      </c>
      <c r="AC2158" t="s">
        <v>51</v>
      </c>
      <c r="AD2158" t="s">
        <v>51</v>
      </c>
      <c r="AE2158" t="s">
        <v>1742</v>
      </c>
      <c r="AF2158" t="s">
        <v>356</v>
      </c>
    </row>
    <row r="2159" spans="1:32" ht="14.5" customHeight="1" x14ac:dyDescent="0.35">
      <c r="A2159" t="s">
        <v>763</v>
      </c>
      <c r="B2159" t="s">
        <v>764</v>
      </c>
      <c r="C2159" t="s">
        <v>47</v>
      </c>
      <c r="D2159">
        <v>3001562</v>
      </c>
      <c r="E2159">
        <v>3001562</v>
      </c>
      <c r="F2159" t="s">
        <v>1677</v>
      </c>
      <c r="G2159" t="s">
        <v>1677</v>
      </c>
      <c r="H2159" t="s">
        <v>54</v>
      </c>
      <c r="I2159">
        <v>9923452</v>
      </c>
      <c r="J2159" s="12">
        <v>46121</v>
      </c>
      <c r="K2159" s="12">
        <v>46121</v>
      </c>
      <c r="L2159" s="12">
        <v>46152</v>
      </c>
      <c r="M2159">
        <v>-20</v>
      </c>
      <c r="N2159">
        <v>511645672</v>
      </c>
      <c r="O2159">
        <v>0</v>
      </c>
      <c r="P2159">
        <v>511645672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 t="s">
        <v>47</v>
      </c>
      <c r="AA2159" t="s">
        <v>501</v>
      </c>
      <c r="AB2159" t="s">
        <v>51</v>
      </c>
      <c r="AC2159" t="s">
        <v>51</v>
      </c>
      <c r="AD2159" t="s">
        <v>51</v>
      </c>
      <c r="AE2159" t="s">
        <v>1743</v>
      </c>
      <c r="AF2159" t="s">
        <v>69</v>
      </c>
    </row>
    <row r="2160" spans="1:32" ht="14.5" customHeight="1" x14ac:dyDescent="0.35">
      <c r="A2160" t="s">
        <v>763</v>
      </c>
      <c r="B2160" t="s">
        <v>764</v>
      </c>
      <c r="C2160" t="s">
        <v>47</v>
      </c>
      <c r="D2160">
        <v>3001562</v>
      </c>
      <c r="E2160">
        <v>3001562</v>
      </c>
      <c r="F2160" t="s">
        <v>1677</v>
      </c>
      <c r="G2160" t="s">
        <v>1677</v>
      </c>
      <c r="H2160" t="s">
        <v>54</v>
      </c>
      <c r="I2160">
        <v>9923458</v>
      </c>
      <c r="J2160" s="12">
        <v>46121</v>
      </c>
      <c r="K2160" s="12">
        <v>46121</v>
      </c>
      <c r="L2160" s="12">
        <v>46152</v>
      </c>
      <c r="M2160">
        <v>-20</v>
      </c>
      <c r="N2160">
        <v>6529144</v>
      </c>
      <c r="O2160">
        <v>0</v>
      </c>
      <c r="P2160">
        <v>6529144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 t="s">
        <v>47</v>
      </c>
      <c r="AA2160" t="s">
        <v>501</v>
      </c>
      <c r="AB2160" t="s">
        <v>51</v>
      </c>
      <c r="AC2160" t="s">
        <v>51</v>
      </c>
      <c r="AD2160" t="s">
        <v>51</v>
      </c>
      <c r="AE2160" t="s">
        <v>1744</v>
      </c>
      <c r="AF2160" t="s">
        <v>158</v>
      </c>
    </row>
    <row r="2161" spans="1:32" ht="14.5" customHeight="1" x14ac:dyDescent="0.35">
      <c r="A2161" t="s">
        <v>774</v>
      </c>
      <c r="B2161" t="s">
        <v>1710</v>
      </c>
      <c r="C2161" t="s">
        <v>47</v>
      </c>
      <c r="D2161">
        <v>3001562</v>
      </c>
      <c r="E2161">
        <v>3100158</v>
      </c>
      <c r="F2161" t="s">
        <v>1677</v>
      </c>
      <c r="G2161" t="s">
        <v>1677</v>
      </c>
      <c r="H2161" t="s">
        <v>54</v>
      </c>
      <c r="I2161">
        <v>9924938</v>
      </c>
      <c r="J2161" s="12">
        <v>46125</v>
      </c>
      <c r="K2161" s="12">
        <v>46125</v>
      </c>
      <c r="L2161" s="12">
        <v>46156</v>
      </c>
      <c r="M2161">
        <v>-24</v>
      </c>
      <c r="N2161">
        <v>201156229</v>
      </c>
      <c r="O2161">
        <v>0</v>
      </c>
      <c r="P2161">
        <v>201156229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 t="s">
        <v>47</v>
      </c>
      <c r="AA2161" t="s">
        <v>501</v>
      </c>
      <c r="AB2161" t="s">
        <v>51</v>
      </c>
      <c r="AC2161" t="s">
        <v>51</v>
      </c>
      <c r="AD2161" t="s">
        <v>51</v>
      </c>
      <c r="AE2161" t="s">
        <v>1745</v>
      </c>
      <c r="AF2161" t="s">
        <v>183</v>
      </c>
    </row>
    <row r="2162" spans="1:32" ht="14.5" customHeight="1" x14ac:dyDescent="0.35">
      <c r="A2162" t="s">
        <v>763</v>
      </c>
      <c r="B2162" t="s">
        <v>764</v>
      </c>
      <c r="C2162" t="s">
        <v>47</v>
      </c>
      <c r="D2162">
        <v>3001562</v>
      </c>
      <c r="E2162">
        <v>3001562</v>
      </c>
      <c r="F2162" t="s">
        <v>1677</v>
      </c>
      <c r="G2162" t="s">
        <v>1677</v>
      </c>
      <c r="H2162" t="s">
        <v>54</v>
      </c>
      <c r="I2162">
        <v>9924990</v>
      </c>
      <c r="J2162" s="12">
        <v>46125</v>
      </c>
      <c r="K2162" s="12">
        <v>46125</v>
      </c>
      <c r="L2162" s="12">
        <v>46156</v>
      </c>
      <c r="M2162">
        <v>-24</v>
      </c>
      <c r="N2162">
        <v>826388430</v>
      </c>
      <c r="O2162">
        <v>0</v>
      </c>
      <c r="P2162">
        <v>826388430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 t="s">
        <v>47</v>
      </c>
      <c r="AA2162" t="s">
        <v>501</v>
      </c>
      <c r="AB2162" t="s">
        <v>51</v>
      </c>
      <c r="AC2162" t="s">
        <v>51</v>
      </c>
      <c r="AD2162" t="s">
        <v>51</v>
      </c>
      <c r="AE2162" t="s">
        <v>1746</v>
      </c>
      <c r="AF2162" t="s">
        <v>62</v>
      </c>
    </row>
    <row r="2163" spans="1:32" ht="14.5" customHeight="1" x14ac:dyDescent="0.35">
      <c r="A2163" t="s">
        <v>763</v>
      </c>
      <c r="B2163" t="s">
        <v>764</v>
      </c>
      <c r="C2163" t="s">
        <v>47</v>
      </c>
      <c r="D2163">
        <v>3001562</v>
      </c>
      <c r="E2163">
        <v>3001562</v>
      </c>
      <c r="F2163" t="s">
        <v>1677</v>
      </c>
      <c r="G2163" t="s">
        <v>1677</v>
      </c>
      <c r="H2163" t="s">
        <v>54</v>
      </c>
      <c r="I2163">
        <v>9925613</v>
      </c>
      <c r="J2163" s="12">
        <v>46127</v>
      </c>
      <c r="K2163" s="12">
        <v>46127</v>
      </c>
      <c r="L2163" s="12">
        <v>46158</v>
      </c>
      <c r="M2163">
        <v>-26</v>
      </c>
      <c r="N2163">
        <v>701617112</v>
      </c>
      <c r="O2163">
        <v>0</v>
      </c>
      <c r="P2163">
        <v>701617112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 t="s">
        <v>47</v>
      </c>
      <c r="AA2163" t="s">
        <v>501</v>
      </c>
      <c r="AB2163" t="s">
        <v>51</v>
      </c>
      <c r="AC2163" t="s">
        <v>51</v>
      </c>
      <c r="AD2163" t="s">
        <v>51</v>
      </c>
      <c r="AE2163" t="s">
        <v>1747</v>
      </c>
      <c r="AF2163" t="s">
        <v>64</v>
      </c>
    </row>
    <row r="2164" spans="1:32" ht="14.5" customHeight="1" x14ac:dyDescent="0.35">
      <c r="A2164" t="s">
        <v>763</v>
      </c>
      <c r="B2164" t="s">
        <v>764</v>
      </c>
      <c r="C2164" t="s">
        <v>47</v>
      </c>
      <c r="D2164">
        <v>3001562</v>
      </c>
      <c r="E2164">
        <v>3001562</v>
      </c>
      <c r="F2164" t="s">
        <v>1677</v>
      </c>
      <c r="G2164" t="s">
        <v>1677</v>
      </c>
      <c r="H2164" t="s">
        <v>54</v>
      </c>
      <c r="I2164">
        <v>9926030</v>
      </c>
      <c r="J2164" s="12">
        <v>46127</v>
      </c>
      <c r="K2164" s="12">
        <v>46127</v>
      </c>
      <c r="L2164" s="12">
        <v>46158</v>
      </c>
      <c r="M2164">
        <v>-26</v>
      </c>
      <c r="N2164">
        <v>637852471</v>
      </c>
      <c r="O2164">
        <v>0</v>
      </c>
      <c r="P2164">
        <v>637852471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 t="s">
        <v>47</v>
      </c>
      <c r="AA2164" t="s">
        <v>501</v>
      </c>
      <c r="AB2164" t="s">
        <v>51</v>
      </c>
      <c r="AC2164" t="s">
        <v>51</v>
      </c>
      <c r="AD2164" t="s">
        <v>51</v>
      </c>
      <c r="AE2164" t="s">
        <v>1748</v>
      </c>
      <c r="AF2164" t="s">
        <v>1132</v>
      </c>
    </row>
    <row r="2165" spans="1:32" ht="14.5" customHeight="1" x14ac:dyDescent="0.35">
      <c r="A2165" t="s">
        <v>763</v>
      </c>
      <c r="B2165" t="s">
        <v>764</v>
      </c>
      <c r="C2165" t="s">
        <v>47</v>
      </c>
      <c r="D2165">
        <v>3001562</v>
      </c>
      <c r="E2165">
        <v>3001575</v>
      </c>
      <c r="F2165" t="s">
        <v>1677</v>
      </c>
      <c r="G2165" t="s">
        <v>1677</v>
      </c>
      <c r="H2165" t="s">
        <v>54</v>
      </c>
      <c r="I2165">
        <v>9926461</v>
      </c>
      <c r="J2165" s="12">
        <v>46128</v>
      </c>
      <c r="K2165" s="12">
        <v>46128</v>
      </c>
      <c r="L2165" s="12">
        <v>46159</v>
      </c>
      <c r="M2165">
        <v>-27</v>
      </c>
      <c r="N2165">
        <v>689840795</v>
      </c>
      <c r="O2165">
        <v>0</v>
      </c>
      <c r="P2165">
        <v>689840795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 t="s">
        <v>47</v>
      </c>
      <c r="AA2165" t="s">
        <v>501</v>
      </c>
      <c r="AB2165" t="s">
        <v>51</v>
      </c>
      <c r="AC2165" t="s">
        <v>51</v>
      </c>
      <c r="AD2165" t="s">
        <v>51</v>
      </c>
      <c r="AE2165" t="s">
        <v>1749</v>
      </c>
      <c r="AF2165" t="s">
        <v>1750</v>
      </c>
    </row>
    <row r="2166" spans="1:32" ht="14.5" customHeight="1" x14ac:dyDescent="0.35">
      <c r="A2166" t="s">
        <v>763</v>
      </c>
      <c r="B2166" t="s">
        <v>764</v>
      </c>
      <c r="C2166" t="s">
        <v>47</v>
      </c>
      <c r="D2166">
        <v>3001562</v>
      </c>
      <c r="E2166">
        <v>3001562</v>
      </c>
      <c r="F2166" t="s">
        <v>1677</v>
      </c>
      <c r="G2166" t="s">
        <v>1677</v>
      </c>
      <c r="H2166" t="s">
        <v>54</v>
      </c>
      <c r="I2166">
        <v>9926542</v>
      </c>
      <c r="J2166" s="12">
        <v>46128</v>
      </c>
      <c r="K2166" s="12">
        <v>46128</v>
      </c>
      <c r="L2166" s="12">
        <v>46159</v>
      </c>
      <c r="M2166">
        <v>-27</v>
      </c>
      <c r="N2166">
        <v>712819562</v>
      </c>
      <c r="O2166">
        <v>0</v>
      </c>
      <c r="P2166">
        <v>712819562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 t="s">
        <v>47</v>
      </c>
      <c r="AA2166" t="s">
        <v>501</v>
      </c>
      <c r="AB2166" t="s">
        <v>51</v>
      </c>
      <c r="AC2166" t="s">
        <v>51</v>
      </c>
      <c r="AD2166" t="s">
        <v>51</v>
      </c>
      <c r="AE2166" t="s">
        <v>1751</v>
      </c>
      <c r="AF2166" t="s">
        <v>1680</v>
      </c>
    </row>
    <row r="2167" spans="1:32" ht="14.5" customHeight="1" x14ac:dyDescent="0.35">
      <c r="A2167" t="s">
        <v>763</v>
      </c>
      <c r="B2167" t="s">
        <v>764</v>
      </c>
      <c r="C2167" t="s">
        <v>47</v>
      </c>
      <c r="D2167">
        <v>3001562</v>
      </c>
      <c r="E2167">
        <v>3001562</v>
      </c>
      <c r="F2167" t="s">
        <v>1677</v>
      </c>
      <c r="G2167" t="s">
        <v>1677</v>
      </c>
      <c r="H2167" t="s">
        <v>54</v>
      </c>
      <c r="I2167">
        <v>9927477</v>
      </c>
      <c r="J2167" s="12">
        <v>46130</v>
      </c>
      <c r="K2167" s="12">
        <v>46130</v>
      </c>
      <c r="L2167" s="12">
        <v>46161</v>
      </c>
      <c r="M2167">
        <v>-29</v>
      </c>
      <c r="N2167">
        <v>854806580</v>
      </c>
      <c r="O2167">
        <v>0</v>
      </c>
      <c r="P2167">
        <v>854806580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 t="s">
        <v>47</v>
      </c>
      <c r="AA2167" t="s">
        <v>501</v>
      </c>
      <c r="AB2167" t="s">
        <v>51</v>
      </c>
      <c r="AC2167" t="s">
        <v>51</v>
      </c>
      <c r="AD2167" t="s">
        <v>51</v>
      </c>
      <c r="AE2167" t="s">
        <v>1752</v>
      </c>
      <c r="AF2167" t="s">
        <v>195</v>
      </c>
    </row>
    <row r="2168" spans="1:32" ht="14.5" customHeight="1" x14ac:dyDescent="0.35">
      <c r="A2168" t="s">
        <v>763</v>
      </c>
      <c r="B2168" t="s">
        <v>764</v>
      </c>
      <c r="C2168" t="s">
        <v>47</v>
      </c>
      <c r="D2168">
        <v>3001562</v>
      </c>
      <c r="E2168">
        <v>3001562</v>
      </c>
      <c r="F2168" t="s">
        <v>1677</v>
      </c>
      <c r="G2168" t="s">
        <v>1677</v>
      </c>
      <c r="H2168" t="s">
        <v>49</v>
      </c>
      <c r="I2168">
        <v>9102074168</v>
      </c>
      <c r="J2168" s="12">
        <v>46112</v>
      </c>
      <c r="K2168" s="12">
        <v>46112</v>
      </c>
      <c r="L2168" s="12">
        <v>46112</v>
      </c>
      <c r="M2168">
        <v>20</v>
      </c>
      <c r="N2168">
        <v>-34545867</v>
      </c>
      <c r="O2168">
        <v>-34545867</v>
      </c>
      <c r="P2168">
        <v>0</v>
      </c>
      <c r="Q2168">
        <v>-34545867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 t="s">
        <v>47</v>
      </c>
      <c r="AA2168" t="s">
        <v>50</v>
      </c>
      <c r="AB2168" t="s">
        <v>51</v>
      </c>
      <c r="AC2168" t="s">
        <v>51</v>
      </c>
      <c r="AD2168" t="s">
        <v>51</v>
      </c>
      <c r="AE2168" t="s">
        <v>51</v>
      </c>
      <c r="AF2168" t="s">
        <v>1753</v>
      </c>
    </row>
    <row r="2169" spans="1:32" ht="14.5" customHeight="1" x14ac:dyDescent="0.35">
      <c r="A2169" t="s">
        <v>763</v>
      </c>
      <c r="B2169" t="s">
        <v>764</v>
      </c>
      <c r="C2169" t="s">
        <v>47</v>
      </c>
      <c r="D2169">
        <v>3001562</v>
      </c>
      <c r="E2169">
        <v>3001562</v>
      </c>
      <c r="F2169" t="s">
        <v>1677</v>
      </c>
      <c r="G2169" t="s">
        <v>1677</v>
      </c>
      <c r="H2169" t="s">
        <v>761</v>
      </c>
      <c r="I2169">
        <v>9103000874</v>
      </c>
      <c r="J2169" s="12">
        <v>46125</v>
      </c>
      <c r="K2169" s="12">
        <v>46125</v>
      </c>
      <c r="L2169" s="12">
        <v>46125</v>
      </c>
      <c r="M2169">
        <v>7</v>
      </c>
      <c r="N2169">
        <v>41686134</v>
      </c>
      <c r="O2169">
        <v>0</v>
      </c>
      <c r="P2169">
        <v>0</v>
      </c>
      <c r="Q2169">
        <v>41686134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 t="s">
        <v>47</v>
      </c>
      <c r="AA2169" t="s">
        <v>50</v>
      </c>
      <c r="AB2169" t="s">
        <v>51</v>
      </c>
      <c r="AC2169" t="s">
        <v>51</v>
      </c>
      <c r="AD2169" t="s">
        <v>51</v>
      </c>
      <c r="AE2169" t="s">
        <v>51</v>
      </c>
      <c r="AF2169" t="s">
        <v>1754</v>
      </c>
    </row>
    <row r="2170" spans="1:32" ht="14.5" customHeight="1" x14ac:dyDescent="0.35">
      <c r="A2170" t="s">
        <v>763</v>
      </c>
      <c r="B2170" t="s">
        <v>764</v>
      </c>
      <c r="C2170" t="s">
        <v>47</v>
      </c>
      <c r="D2170">
        <v>3001562</v>
      </c>
      <c r="E2170">
        <v>3001562</v>
      </c>
      <c r="F2170" t="s">
        <v>1677</v>
      </c>
      <c r="G2170" t="s">
        <v>1677</v>
      </c>
      <c r="H2170" t="s">
        <v>761</v>
      </c>
      <c r="I2170">
        <v>9103000921</v>
      </c>
      <c r="J2170" s="12">
        <v>46127</v>
      </c>
      <c r="K2170" s="12">
        <v>46127</v>
      </c>
      <c r="L2170" s="12">
        <v>46127</v>
      </c>
      <c r="M2170">
        <v>5</v>
      </c>
      <c r="N2170">
        <v>291137545</v>
      </c>
      <c r="O2170">
        <v>0</v>
      </c>
      <c r="P2170">
        <v>0</v>
      </c>
      <c r="Q2170">
        <v>291137545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 t="s">
        <v>47</v>
      </c>
      <c r="AA2170" t="s">
        <v>50</v>
      </c>
      <c r="AB2170" t="s">
        <v>51</v>
      </c>
      <c r="AC2170" t="s">
        <v>51</v>
      </c>
      <c r="AD2170" t="s">
        <v>51</v>
      </c>
      <c r="AE2170" t="s">
        <v>51</v>
      </c>
      <c r="AF2170" t="s">
        <v>1755</v>
      </c>
    </row>
    <row r="2171" spans="1:32" ht="14.5" customHeight="1" x14ac:dyDescent="0.35">
      <c r="A2171" t="s">
        <v>73</v>
      </c>
      <c r="B2171" t="s">
        <v>74</v>
      </c>
      <c r="C2171" t="s">
        <v>47</v>
      </c>
      <c r="D2171">
        <v>3001566</v>
      </c>
      <c r="E2171">
        <v>3001565</v>
      </c>
      <c r="F2171" t="s">
        <v>1756</v>
      </c>
      <c r="G2171" t="s">
        <v>1757</v>
      </c>
      <c r="H2171" t="s">
        <v>54</v>
      </c>
      <c r="I2171">
        <v>6958665</v>
      </c>
      <c r="J2171" s="12">
        <v>46122</v>
      </c>
      <c r="K2171" s="12">
        <v>46122</v>
      </c>
      <c r="L2171" s="12">
        <v>46122</v>
      </c>
      <c r="M2171">
        <v>10</v>
      </c>
      <c r="N2171">
        <v>-441892</v>
      </c>
      <c r="O2171">
        <v>-441892</v>
      </c>
      <c r="P2171">
        <v>0</v>
      </c>
      <c r="Q2171">
        <v>-441892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 t="s">
        <v>47</v>
      </c>
      <c r="AA2171" t="s">
        <v>501</v>
      </c>
      <c r="AB2171" t="s">
        <v>51</v>
      </c>
      <c r="AC2171" t="s">
        <v>51</v>
      </c>
      <c r="AD2171" t="s">
        <v>51</v>
      </c>
      <c r="AE2171" t="s">
        <v>51</v>
      </c>
      <c r="AF2171" t="s">
        <v>1758</v>
      </c>
    </row>
    <row r="2172" spans="1:32" ht="14.5" customHeight="1" x14ac:dyDescent="0.35">
      <c r="A2172" t="s">
        <v>73</v>
      </c>
      <c r="B2172" t="s">
        <v>74</v>
      </c>
      <c r="C2172" t="s">
        <v>47</v>
      </c>
      <c r="D2172">
        <v>3001566</v>
      </c>
      <c r="E2172">
        <v>3001565</v>
      </c>
      <c r="F2172" t="s">
        <v>1756</v>
      </c>
      <c r="G2172" t="s">
        <v>1757</v>
      </c>
      <c r="H2172" t="s">
        <v>111</v>
      </c>
      <c r="I2172">
        <v>6959194</v>
      </c>
      <c r="J2172" s="12">
        <v>46126</v>
      </c>
      <c r="K2172" s="12">
        <v>46126</v>
      </c>
      <c r="L2172" s="12">
        <v>46126</v>
      </c>
      <c r="M2172">
        <v>6</v>
      </c>
      <c r="N2172">
        <v>-3897672</v>
      </c>
      <c r="O2172">
        <v>-3897672</v>
      </c>
      <c r="P2172">
        <v>0</v>
      </c>
      <c r="Q2172">
        <v>-3897672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 t="s">
        <v>47</v>
      </c>
      <c r="AA2172" t="s">
        <v>501</v>
      </c>
      <c r="AB2172" t="s">
        <v>51</v>
      </c>
      <c r="AC2172" t="s">
        <v>51</v>
      </c>
      <c r="AD2172" t="s">
        <v>51</v>
      </c>
      <c r="AE2172" t="s">
        <v>51</v>
      </c>
      <c r="AF2172" t="s">
        <v>189</v>
      </c>
    </row>
    <row r="2173" spans="1:32" ht="14.5" customHeight="1" x14ac:dyDescent="0.35">
      <c r="A2173" t="s">
        <v>73</v>
      </c>
      <c r="B2173" t="s">
        <v>74</v>
      </c>
      <c r="C2173" t="s">
        <v>47</v>
      </c>
      <c r="D2173">
        <v>3001566</v>
      </c>
      <c r="E2173">
        <v>3001565</v>
      </c>
      <c r="F2173" t="s">
        <v>1756</v>
      </c>
      <c r="G2173" t="s">
        <v>1757</v>
      </c>
      <c r="H2173" t="s">
        <v>54</v>
      </c>
      <c r="I2173">
        <v>6959363</v>
      </c>
      <c r="J2173" s="12">
        <v>46127</v>
      </c>
      <c r="K2173" s="12">
        <v>46127</v>
      </c>
      <c r="L2173" s="12">
        <v>46127</v>
      </c>
      <c r="M2173">
        <v>5</v>
      </c>
      <c r="N2173">
        <v>-1515190</v>
      </c>
      <c r="O2173">
        <v>-1515190</v>
      </c>
      <c r="P2173">
        <v>0</v>
      </c>
      <c r="Q2173">
        <v>-1515190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 t="s">
        <v>47</v>
      </c>
      <c r="AA2173" t="s">
        <v>501</v>
      </c>
      <c r="AB2173" t="s">
        <v>51</v>
      </c>
      <c r="AC2173" t="s">
        <v>51</v>
      </c>
      <c r="AD2173" t="s">
        <v>51</v>
      </c>
      <c r="AE2173" t="s">
        <v>51</v>
      </c>
      <c r="AF2173" t="s">
        <v>1682</v>
      </c>
    </row>
    <row r="2174" spans="1:32" ht="14.5" customHeight="1" x14ac:dyDescent="0.35">
      <c r="A2174" t="s">
        <v>73</v>
      </c>
      <c r="B2174" t="s">
        <v>74</v>
      </c>
      <c r="C2174" t="s">
        <v>47</v>
      </c>
      <c r="D2174">
        <v>3001566</v>
      </c>
      <c r="E2174">
        <v>3001565</v>
      </c>
      <c r="F2174" t="s">
        <v>1756</v>
      </c>
      <c r="G2174" t="s">
        <v>1757</v>
      </c>
      <c r="H2174" t="s">
        <v>54</v>
      </c>
      <c r="I2174">
        <v>6959364</v>
      </c>
      <c r="J2174" s="12">
        <v>46127</v>
      </c>
      <c r="K2174" s="12">
        <v>46127</v>
      </c>
      <c r="L2174" s="12">
        <v>46127</v>
      </c>
      <c r="M2174">
        <v>5</v>
      </c>
      <c r="N2174">
        <v>-327357</v>
      </c>
      <c r="O2174">
        <v>-327357</v>
      </c>
      <c r="P2174">
        <v>0</v>
      </c>
      <c r="Q2174">
        <v>-327357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 t="s">
        <v>47</v>
      </c>
      <c r="AA2174" t="s">
        <v>501</v>
      </c>
      <c r="AB2174" t="s">
        <v>51</v>
      </c>
      <c r="AC2174" t="s">
        <v>51</v>
      </c>
      <c r="AD2174" t="s">
        <v>51</v>
      </c>
      <c r="AE2174" t="s">
        <v>51</v>
      </c>
      <c r="AF2174" t="s">
        <v>163</v>
      </c>
    </row>
    <row r="2175" spans="1:32" ht="14.5" customHeight="1" x14ac:dyDescent="0.35">
      <c r="A2175" t="s">
        <v>73</v>
      </c>
      <c r="B2175" t="s">
        <v>74</v>
      </c>
      <c r="C2175" t="s">
        <v>47</v>
      </c>
      <c r="D2175">
        <v>3001566</v>
      </c>
      <c r="E2175">
        <v>3001565</v>
      </c>
      <c r="F2175" t="s">
        <v>1756</v>
      </c>
      <c r="G2175" t="s">
        <v>1757</v>
      </c>
      <c r="H2175" t="s">
        <v>54</v>
      </c>
      <c r="I2175">
        <v>6959365</v>
      </c>
      <c r="J2175" s="12">
        <v>46127</v>
      </c>
      <c r="K2175" s="12">
        <v>46127</v>
      </c>
      <c r="L2175" s="12">
        <v>46127</v>
      </c>
      <c r="M2175">
        <v>5</v>
      </c>
      <c r="N2175">
        <v>-12017272</v>
      </c>
      <c r="O2175">
        <v>-12017272</v>
      </c>
      <c r="P2175">
        <v>0</v>
      </c>
      <c r="Q2175">
        <v>-12017272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 t="s">
        <v>47</v>
      </c>
      <c r="AA2175" t="s">
        <v>501</v>
      </c>
      <c r="AB2175" t="s">
        <v>51</v>
      </c>
      <c r="AC2175" t="s">
        <v>51</v>
      </c>
      <c r="AD2175" t="s">
        <v>51</v>
      </c>
      <c r="AE2175" t="s">
        <v>51</v>
      </c>
      <c r="AF2175" t="s">
        <v>1759</v>
      </c>
    </row>
    <row r="2176" spans="1:32" ht="14.5" customHeight="1" x14ac:dyDescent="0.35">
      <c r="A2176" t="s">
        <v>73</v>
      </c>
      <c r="B2176" t="s">
        <v>74</v>
      </c>
      <c r="C2176" t="s">
        <v>47</v>
      </c>
      <c r="D2176">
        <v>3001566</v>
      </c>
      <c r="E2176">
        <v>3001565</v>
      </c>
      <c r="F2176" t="s">
        <v>1756</v>
      </c>
      <c r="G2176" t="s">
        <v>1757</v>
      </c>
      <c r="H2176" t="s">
        <v>54</v>
      </c>
      <c r="I2176">
        <v>6959366</v>
      </c>
      <c r="J2176" s="12">
        <v>46127</v>
      </c>
      <c r="K2176" s="12">
        <v>46127</v>
      </c>
      <c r="L2176" s="12">
        <v>46127</v>
      </c>
      <c r="M2176">
        <v>5</v>
      </c>
      <c r="N2176">
        <v>-163499</v>
      </c>
      <c r="O2176">
        <v>-163499</v>
      </c>
      <c r="P2176">
        <v>0</v>
      </c>
      <c r="Q2176">
        <v>-163499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 t="s">
        <v>47</v>
      </c>
      <c r="AA2176" t="s">
        <v>501</v>
      </c>
      <c r="AB2176" t="s">
        <v>51</v>
      </c>
      <c r="AC2176" t="s">
        <v>51</v>
      </c>
      <c r="AD2176" t="s">
        <v>51</v>
      </c>
      <c r="AE2176" t="s">
        <v>51</v>
      </c>
      <c r="AF2176" t="s">
        <v>1760</v>
      </c>
    </row>
    <row r="2177" spans="1:32" ht="14.5" customHeight="1" x14ac:dyDescent="0.35">
      <c r="A2177" t="s">
        <v>73</v>
      </c>
      <c r="B2177" t="s">
        <v>74</v>
      </c>
      <c r="C2177" t="s">
        <v>47</v>
      </c>
      <c r="D2177">
        <v>3001566</v>
      </c>
      <c r="E2177">
        <v>3001565</v>
      </c>
      <c r="F2177" t="s">
        <v>1756</v>
      </c>
      <c r="G2177" t="s">
        <v>1757</v>
      </c>
      <c r="H2177" t="s">
        <v>54</v>
      </c>
      <c r="I2177">
        <v>6959367</v>
      </c>
      <c r="J2177" s="12">
        <v>46127</v>
      </c>
      <c r="K2177" s="12">
        <v>46127</v>
      </c>
      <c r="L2177" s="12">
        <v>46127</v>
      </c>
      <c r="M2177">
        <v>5</v>
      </c>
      <c r="N2177">
        <v>-61897</v>
      </c>
      <c r="O2177">
        <v>-61897</v>
      </c>
      <c r="P2177">
        <v>0</v>
      </c>
      <c r="Q2177">
        <v>-61897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 t="s">
        <v>47</v>
      </c>
      <c r="AA2177" t="s">
        <v>501</v>
      </c>
      <c r="AB2177" t="s">
        <v>51</v>
      </c>
      <c r="AC2177" t="s">
        <v>51</v>
      </c>
      <c r="AD2177" t="s">
        <v>51</v>
      </c>
      <c r="AE2177" t="s">
        <v>51</v>
      </c>
      <c r="AF2177" t="s">
        <v>1761</v>
      </c>
    </row>
    <row r="2178" spans="1:32" ht="14.5" customHeight="1" x14ac:dyDescent="0.35">
      <c r="A2178" t="s">
        <v>73</v>
      </c>
      <c r="B2178" t="s">
        <v>74</v>
      </c>
      <c r="C2178" t="s">
        <v>47</v>
      </c>
      <c r="D2178">
        <v>3001566</v>
      </c>
      <c r="E2178">
        <v>3001565</v>
      </c>
      <c r="F2178" t="s">
        <v>1756</v>
      </c>
      <c r="G2178" t="s">
        <v>1757</v>
      </c>
      <c r="H2178" t="s">
        <v>54</v>
      </c>
      <c r="I2178">
        <v>6959368</v>
      </c>
      <c r="J2178" s="12">
        <v>46127</v>
      </c>
      <c r="K2178" s="12">
        <v>46127</v>
      </c>
      <c r="L2178" s="12">
        <v>46127</v>
      </c>
      <c r="M2178">
        <v>5</v>
      </c>
      <c r="N2178">
        <v>-154345</v>
      </c>
      <c r="O2178">
        <v>-154345</v>
      </c>
      <c r="P2178">
        <v>0</v>
      </c>
      <c r="Q2178">
        <v>-154345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 t="s">
        <v>47</v>
      </c>
      <c r="AA2178" t="s">
        <v>501</v>
      </c>
      <c r="AB2178" t="s">
        <v>51</v>
      </c>
      <c r="AC2178" t="s">
        <v>51</v>
      </c>
      <c r="AD2178" t="s">
        <v>51</v>
      </c>
      <c r="AE2178" t="s">
        <v>51</v>
      </c>
      <c r="AF2178" t="s">
        <v>1760</v>
      </c>
    </row>
    <row r="2179" spans="1:32" ht="14.5" customHeight="1" x14ac:dyDescent="0.35">
      <c r="A2179" t="s">
        <v>73</v>
      </c>
      <c r="B2179" t="s">
        <v>74</v>
      </c>
      <c r="C2179" t="s">
        <v>47</v>
      </c>
      <c r="D2179">
        <v>3001566</v>
      </c>
      <c r="E2179">
        <v>3001565</v>
      </c>
      <c r="F2179" t="s">
        <v>1756</v>
      </c>
      <c r="G2179" t="s">
        <v>1757</v>
      </c>
      <c r="H2179" t="s">
        <v>54</v>
      </c>
      <c r="I2179">
        <v>6959369</v>
      </c>
      <c r="J2179" s="12">
        <v>46127</v>
      </c>
      <c r="K2179" s="12">
        <v>46127</v>
      </c>
      <c r="L2179" s="12">
        <v>46127</v>
      </c>
      <c r="M2179">
        <v>5</v>
      </c>
      <c r="N2179">
        <v>-94985</v>
      </c>
      <c r="O2179">
        <v>-94985</v>
      </c>
      <c r="P2179">
        <v>0</v>
      </c>
      <c r="Q2179">
        <v>-94985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 t="s">
        <v>47</v>
      </c>
      <c r="AA2179" t="s">
        <v>501</v>
      </c>
      <c r="AB2179" t="s">
        <v>51</v>
      </c>
      <c r="AC2179" t="s">
        <v>51</v>
      </c>
      <c r="AD2179" t="s">
        <v>51</v>
      </c>
      <c r="AE2179" t="s">
        <v>51</v>
      </c>
      <c r="AF2179" t="s">
        <v>1762</v>
      </c>
    </row>
    <row r="2180" spans="1:32" ht="14.5" customHeight="1" x14ac:dyDescent="0.35">
      <c r="A2180" t="s">
        <v>73</v>
      </c>
      <c r="B2180" t="s">
        <v>74</v>
      </c>
      <c r="C2180" t="s">
        <v>47</v>
      </c>
      <c r="D2180">
        <v>3001566</v>
      </c>
      <c r="E2180">
        <v>3001565</v>
      </c>
      <c r="F2180" t="s">
        <v>1756</v>
      </c>
      <c r="G2180" t="s">
        <v>1757</v>
      </c>
      <c r="H2180" t="s">
        <v>54</v>
      </c>
      <c r="I2180">
        <v>6959370</v>
      </c>
      <c r="J2180" s="12">
        <v>46127</v>
      </c>
      <c r="K2180" s="12">
        <v>46127</v>
      </c>
      <c r="L2180" s="12">
        <v>46127</v>
      </c>
      <c r="M2180">
        <v>5</v>
      </c>
      <c r="N2180">
        <v>-545000</v>
      </c>
      <c r="O2180">
        <v>-545000</v>
      </c>
      <c r="P2180">
        <v>0</v>
      </c>
      <c r="Q2180">
        <v>-545000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 t="s">
        <v>47</v>
      </c>
      <c r="AA2180" t="s">
        <v>501</v>
      </c>
      <c r="AB2180" t="s">
        <v>51</v>
      </c>
      <c r="AC2180" t="s">
        <v>51</v>
      </c>
      <c r="AD2180" t="s">
        <v>51</v>
      </c>
      <c r="AE2180" t="s">
        <v>51</v>
      </c>
      <c r="AF2180" t="s">
        <v>1763</v>
      </c>
    </row>
    <row r="2181" spans="1:32" ht="14.5" customHeight="1" x14ac:dyDescent="0.35">
      <c r="A2181" t="s">
        <v>73</v>
      </c>
      <c r="B2181" t="s">
        <v>74</v>
      </c>
      <c r="C2181" t="s">
        <v>47</v>
      </c>
      <c r="D2181">
        <v>3001566</v>
      </c>
      <c r="E2181">
        <v>3001565</v>
      </c>
      <c r="F2181" t="s">
        <v>1756</v>
      </c>
      <c r="G2181" t="s">
        <v>1757</v>
      </c>
      <c r="H2181" t="s">
        <v>54</v>
      </c>
      <c r="I2181">
        <v>6959598</v>
      </c>
      <c r="J2181" s="12">
        <v>46127</v>
      </c>
      <c r="K2181" s="12">
        <v>46127</v>
      </c>
      <c r="L2181" s="12">
        <v>46127</v>
      </c>
      <c r="M2181">
        <v>5</v>
      </c>
      <c r="N2181">
        <v>-24312054</v>
      </c>
      <c r="O2181">
        <v>-24312054</v>
      </c>
      <c r="P2181">
        <v>0</v>
      </c>
      <c r="Q2181">
        <v>-24312054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 t="s">
        <v>47</v>
      </c>
      <c r="AA2181" t="s">
        <v>501</v>
      </c>
      <c r="AB2181" t="s">
        <v>51</v>
      </c>
      <c r="AC2181" t="s">
        <v>51</v>
      </c>
      <c r="AD2181" t="s">
        <v>51</v>
      </c>
      <c r="AE2181" t="s">
        <v>51</v>
      </c>
      <c r="AF2181" t="s">
        <v>1764</v>
      </c>
    </row>
    <row r="2182" spans="1:32" ht="14.5" customHeight="1" x14ac:dyDescent="0.35">
      <c r="A2182" t="s">
        <v>73</v>
      </c>
      <c r="B2182" t="s">
        <v>74</v>
      </c>
      <c r="C2182" t="s">
        <v>47</v>
      </c>
      <c r="D2182">
        <v>3001566</v>
      </c>
      <c r="E2182">
        <v>3001565</v>
      </c>
      <c r="F2182" t="s">
        <v>1756</v>
      </c>
      <c r="G2182" t="s">
        <v>1757</v>
      </c>
      <c r="H2182" t="s">
        <v>54</v>
      </c>
      <c r="I2182">
        <v>9919722</v>
      </c>
      <c r="J2182" s="12">
        <v>46109</v>
      </c>
      <c r="K2182" s="12">
        <v>46109</v>
      </c>
      <c r="L2182" s="12">
        <v>46140</v>
      </c>
      <c r="M2182">
        <v>-8</v>
      </c>
      <c r="N2182">
        <v>10461155</v>
      </c>
      <c r="O2182">
        <v>0</v>
      </c>
      <c r="P2182">
        <v>10461155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 t="s">
        <v>47</v>
      </c>
      <c r="AA2182" t="s">
        <v>501</v>
      </c>
      <c r="AB2182" t="s">
        <v>51</v>
      </c>
      <c r="AC2182" t="s">
        <v>51</v>
      </c>
      <c r="AD2182" t="s">
        <v>1765</v>
      </c>
      <c r="AE2182" t="s">
        <v>51</v>
      </c>
      <c r="AF2182" t="s">
        <v>946</v>
      </c>
    </row>
    <row r="2183" spans="1:32" ht="14.5" customHeight="1" x14ac:dyDescent="0.35">
      <c r="A2183" t="s">
        <v>73</v>
      </c>
      <c r="B2183" t="s">
        <v>74</v>
      </c>
      <c r="C2183" t="s">
        <v>47</v>
      </c>
      <c r="D2183">
        <v>3001566</v>
      </c>
      <c r="E2183">
        <v>3001565</v>
      </c>
      <c r="F2183" t="s">
        <v>1756</v>
      </c>
      <c r="G2183" t="s">
        <v>1757</v>
      </c>
      <c r="H2183" t="s">
        <v>54</v>
      </c>
      <c r="I2183">
        <v>9920033</v>
      </c>
      <c r="J2183" s="12">
        <v>46110</v>
      </c>
      <c r="K2183" s="12">
        <v>46110</v>
      </c>
      <c r="L2183" s="12">
        <v>46141</v>
      </c>
      <c r="M2183">
        <v>-9</v>
      </c>
      <c r="N2183">
        <v>163774055</v>
      </c>
      <c r="O2183">
        <v>0</v>
      </c>
      <c r="P2183">
        <v>163774055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 t="s">
        <v>47</v>
      </c>
      <c r="AA2183" t="s">
        <v>501</v>
      </c>
      <c r="AB2183" t="s">
        <v>51</v>
      </c>
      <c r="AC2183" t="s">
        <v>51</v>
      </c>
      <c r="AD2183" t="s">
        <v>1766</v>
      </c>
      <c r="AE2183" t="s">
        <v>51</v>
      </c>
      <c r="AF2183" t="s">
        <v>366</v>
      </c>
    </row>
    <row r="2184" spans="1:32" ht="14.5" customHeight="1" x14ac:dyDescent="0.35">
      <c r="A2184" t="s">
        <v>73</v>
      </c>
      <c r="B2184" t="s">
        <v>74</v>
      </c>
      <c r="C2184" t="s">
        <v>47</v>
      </c>
      <c r="D2184">
        <v>3001566</v>
      </c>
      <c r="E2184">
        <v>3001565</v>
      </c>
      <c r="F2184" t="s">
        <v>1756</v>
      </c>
      <c r="G2184" t="s">
        <v>1757</v>
      </c>
      <c r="H2184" t="s">
        <v>54</v>
      </c>
      <c r="I2184">
        <v>9921367</v>
      </c>
      <c r="J2184" s="12">
        <v>46112</v>
      </c>
      <c r="K2184" s="12">
        <v>46112</v>
      </c>
      <c r="L2184" s="12">
        <v>46143</v>
      </c>
      <c r="M2184">
        <v>-11</v>
      </c>
      <c r="N2184">
        <v>398051883</v>
      </c>
      <c r="O2184">
        <v>0</v>
      </c>
      <c r="P2184">
        <v>398051883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 t="s">
        <v>47</v>
      </c>
      <c r="AA2184" t="s">
        <v>501</v>
      </c>
      <c r="AB2184" t="s">
        <v>51</v>
      </c>
      <c r="AC2184" t="s">
        <v>51</v>
      </c>
      <c r="AD2184" t="s">
        <v>1767</v>
      </c>
      <c r="AE2184" t="s">
        <v>51</v>
      </c>
      <c r="AF2184" t="s">
        <v>62</v>
      </c>
    </row>
    <row r="2185" spans="1:32" ht="14.5" customHeight="1" x14ac:dyDescent="0.35">
      <c r="A2185" t="s">
        <v>73</v>
      </c>
      <c r="B2185" t="s">
        <v>74</v>
      </c>
      <c r="C2185" t="s">
        <v>47</v>
      </c>
      <c r="D2185">
        <v>3001566</v>
      </c>
      <c r="E2185">
        <v>3001565</v>
      </c>
      <c r="F2185" t="s">
        <v>1756</v>
      </c>
      <c r="G2185" t="s">
        <v>1757</v>
      </c>
      <c r="H2185" t="s">
        <v>54</v>
      </c>
      <c r="I2185">
        <v>9922173</v>
      </c>
      <c r="J2185" s="12">
        <v>46116</v>
      </c>
      <c r="K2185" s="12">
        <v>46116</v>
      </c>
      <c r="L2185" s="12">
        <v>46147</v>
      </c>
      <c r="M2185">
        <v>-15</v>
      </c>
      <c r="N2185">
        <v>234572795</v>
      </c>
      <c r="O2185">
        <v>0</v>
      </c>
      <c r="P2185">
        <v>234572795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 t="s">
        <v>47</v>
      </c>
      <c r="AA2185" t="s">
        <v>501</v>
      </c>
      <c r="AB2185" t="s">
        <v>51</v>
      </c>
      <c r="AC2185" t="s">
        <v>51</v>
      </c>
      <c r="AD2185" t="s">
        <v>51</v>
      </c>
      <c r="AE2185" t="s">
        <v>1768</v>
      </c>
      <c r="AF2185" t="s">
        <v>62</v>
      </c>
    </row>
    <row r="2186" spans="1:32" ht="14.5" customHeight="1" x14ac:dyDescent="0.35">
      <c r="A2186" t="s">
        <v>73</v>
      </c>
      <c r="B2186" t="s">
        <v>74</v>
      </c>
      <c r="C2186" t="s">
        <v>47</v>
      </c>
      <c r="D2186">
        <v>3001566</v>
      </c>
      <c r="E2186">
        <v>3001565</v>
      </c>
      <c r="F2186" t="s">
        <v>1756</v>
      </c>
      <c r="G2186" t="s">
        <v>1757</v>
      </c>
      <c r="H2186" t="s">
        <v>54</v>
      </c>
      <c r="I2186">
        <v>9922175</v>
      </c>
      <c r="J2186" s="12">
        <v>46116</v>
      </c>
      <c r="K2186" s="12">
        <v>46116</v>
      </c>
      <c r="L2186" s="12">
        <v>46147</v>
      </c>
      <c r="M2186">
        <v>-15</v>
      </c>
      <c r="N2186">
        <v>4212983</v>
      </c>
      <c r="O2186">
        <v>0</v>
      </c>
      <c r="P2186">
        <v>4212983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 t="s">
        <v>47</v>
      </c>
      <c r="AA2186" t="s">
        <v>501</v>
      </c>
      <c r="AB2186" t="s">
        <v>51</v>
      </c>
      <c r="AC2186" t="s">
        <v>51</v>
      </c>
      <c r="AD2186" t="s">
        <v>51</v>
      </c>
      <c r="AE2186" t="s">
        <v>1769</v>
      </c>
      <c r="AF2186" t="s">
        <v>455</v>
      </c>
    </row>
    <row r="2187" spans="1:32" ht="14.5" customHeight="1" x14ac:dyDescent="0.35">
      <c r="A2187" t="s">
        <v>73</v>
      </c>
      <c r="B2187" t="s">
        <v>74</v>
      </c>
      <c r="C2187" t="s">
        <v>47</v>
      </c>
      <c r="D2187">
        <v>3001566</v>
      </c>
      <c r="E2187">
        <v>3001565</v>
      </c>
      <c r="F2187" t="s">
        <v>1756</v>
      </c>
      <c r="G2187" t="s">
        <v>1757</v>
      </c>
      <c r="H2187" t="s">
        <v>54</v>
      </c>
      <c r="I2187">
        <v>9922246</v>
      </c>
      <c r="J2187" s="12">
        <v>46118</v>
      </c>
      <c r="K2187" s="12">
        <v>46118</v>
      </c>
      <c r="L2187" s="12">
        <v>46149</v>
      </c>
      <c r="M2187">
        <v>-17</v>
      </c>
      <c r="N2187">
        <v>9732391</v>
      </c>
      <c r="O2187">
        <v>0</v>
      </c>
      <c r="P2187">
        <v>9732391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 t="s">
        <v>47</v>
      </c>
      <c r="AA2187" t="s">
        <v>501</v>
      </c>
      <c r="AB2187" t="s">
        <v>51</v>
      </c>
      <c r="AC2187" t="s">
        <v>51</v>
      </c>
      <c r="AD2187" t="s">
        <v>51</v>
      </c>
      <c r="AE2187" t="s">
        <v>1770</v>
      </c>
      <c r="AF2187" t="s">
        <v>1771</v>
      </c>
    </row>
    <row r="2188" spans="1:32" ht="14.5" customHeight="1" x14ac:dyDescent="0.35">
      <c r="A2188" t="s">
        <v>73</v>
      </c>
      <c r="B2188" t="s">
        <v>74</v>
      </c>
      <c r="C2188" t="s">
        <v>47</v>
      </c>
      <c r="D2188">
        <v>3001566</v>
      </c>
      <c r="E2188">
        <v>3001565</v>
      </c>
      <c r="F2188" t="s">
        <v>1756</v>
      </c>
      <c r="G2188" t="s">
        <v>1757</v>
      </c>
      <c r="H2188" t="s">
        <v>140</v>
      </c>
      <c r="I2188">
        <v>9923234</v>
      </c>
      <c r="J2188" s="12">
        <v>46121</v>
      </c>
      <c r="K2188" s="12">
        <v>46121</v>
      </c>
      <c r="L2188" s="12">
        <v>46151</v>
      </c>
      <c r="M2188">
        <v>-19</v>
      </c>
      <c r="N2188">
        <v>300869</v>
      </c>
      <c r="O2188">
        <v>0</v>
      </c>
      <c r="P2188">
        <v>300869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 t="s">
        <v>47</v>
      </c>
      <c r="AA2188" t="s">
        <v>501</v>
      </c>
      <c r="AB2188" t="s">
        <v>51</v>
      </c>
      <c r="AC2188" t="s">
        <v>51</v>
      </c>
      <c r="AD2188" t="s">
        <v>51</v>
      </c>
      <c r="AE2188" t="s">
        <v>1772</v>
      </c>
      <c r="AF2188" t="s">
        <v>56</v>
      </c>
    </row>
    <row r="2189" spans="1:32" ht="14.5" customHeight="1" x14ac:dyDescent="0.35">
      <c r="A2189" t="s">
        <v>73</v>
      </c>
      <c r="B2189" t="s">
        <v>74</v>
      </c>
      <c r="C2189" t="s">
        <v>47</v>
      </c>
      <c r="D2189">
        <v>3001566</v>
      </c>
      <c r="E2189">
        <v>3001565</v>
      </c>
      <c r="F2189" t="s">
        <v>1756</v>
      </c>
      <c r="G2189" t="s">
        <v>1757</v>
      </c>
      <c r="H2189" t="s">
        <v>140</v>
      </c>
      <c r="I2189">
        <v>9923774</v>
      </c>
      <c r="J2189" s="12">
        <v>46122</v>
      </c>
      <c r="K2189" s="12">
        <v>46122</v>
      </c>
      <c r="L2189" s="12">
        <v>46152</v>
      </c>
      <c r="M2189">
        <v>-20</v>
      </c>
      <c r="N2189">
        <v>490500</v>
      </c>
      <c r="O2189">
        <v>0</v>
      </c>
      <c r="P2189">
        <v>490500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 t="s">
        <v>47</v>
      </c>
      <c r="AA2189" t="s">
        <v>501</v>
      </c>
      <c r="AB2189" t="s">
        <v>51</v>
      </c>
      <c r="AC2189" t="s">
        <v>51</v>
      </c>
      <c r="AD2189" t="s">
        <v>51</v>
      </c>
      <c r="AE2189" t="s">
        <v>1773</v>
      </c>
      <c r="AF2189" t="s">
        <v>1774</v>
      </c>
    </row>
    <row r="2190" spans="1:32" ht="14.5" customHeight="1" x14ac:dyDescent="0.35">
      <c r="A2190" t="s">
        <v>73</v>
      </c>
      <c r="B2190" t="s">
        <v>74</v>
      </c>
      <c r="C2190" t="s">
        <v>47</v>
      </c>
      <c r="D2190">
        <v>3001566</v>
      </c>
      <c r="E2190">
        <v>3001565</v>
      </c>
      <c r="F2190" t="s">
        <v>1756</v>
      </c>
      <c r="G2190" t="s">
        <v>1757</v>
      </c>
      <c r="H2190" t="s">
        <v>54</v>
      </c>
      <c r="I2190">
        <v>9924112</v>
      </c>
      <c r="J2190" s="12">
        <v>46122</v>
      </c>
      <c r="K2190" s="12">
        <v>46122</v>
      </c>
      <c r="L2190" s="12">
        <v>46153</v>
      </c>
      <c r="M2190">
        <v>-21</v>
      </c>
      <c r="N2190">
        <v>298900047</v>
      </c>
      <c r="O2190">
        <v>0</v>
      </c>
      <c r="P2190">
        <v>298900047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 t="s">
        <v>47</v>
      </c>
      <c r="AA2190" t="s">
        <v>501</v>
      </c>
      <c r="AB2190" t="s">
        <v>51</v>
      </c>
      <c r="AC2190" t="s">
        <v>51</v>
      </c>
      <c r="AD2190" t="s">
        <v>51</v>
      </c>
      <c r="AE2190" t="s">
        <v>1775</v>
      </c>
      <c r="AF2190" t="s">
        <v>62</v>
      </c>
    </row>
    <row r="2191" spans="1:32" ht="14.5" customHeight="1" x14ac:dyDescent="0.35">
      <c r="A2191" t="s">
        <v>73</v>
      </c>
      <c r="B2191" t="s">
        <v>74</v>
      </c>
      <c r="C2191" t="s">
        <v>47</v>
      </c>
      <c r="D2191">
        <v>3001566</v>
      </c>
      <c r="E2191">
        <v>3001565</v>
      </c>
      <c r="F2191" t="s">
        <v>1756</v>
      </c>
      <c r="G2191" t="s">
        <v>1757</v>
      </c>
      <c r="H2191" t="s">
        <v>54</v>
      </c>
      <c r="I2191">
        <v>9924113</v>
      </c>
      <c r="J2191" s="12">
        <v>46122</v>
      </c>
      <c r="K2191" s="12">
        <v>46122</v>
      </c>
      <c r="L2191" s="12">
        <v>46153</v>
      </c>
      <c r="M2191">
        <v>-21</v>
      </c>
      <c r="N2191">
        <v>2186469</v>
      </c>
      <c r="O2191">
        <v>0</v>
      </c>
      <c r="P2191">
        <v>2186469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 t="s">
        <v>47</v>
      </c>
      <c r="AA2191" t="s">
        <v>501</v>
      </c>
      <c r="AB2191" t="s">
        <v>51</v>
      </c>
      <c r="AC2191" t="s">
        <v>51</v>
      </c>
      <c r="AD2191" t="s">
        <v>51</v>
      </c>
      <c r="AE2191" t="s">
        <v>1776</v>
      </c>
      <c r="AF2191" t="s">
        <v>163</v>
      </c>
    </row>
    <row r="2192" spans="1:32" ht="14.5" customHeight="1" x14ac:dyDescent="0.35">
      <c r="A2192" t="s">
        <v>73</v>
      </c>
      <c r="B2192" t="s">
        <v>74</v>
      </c>
      <c r="C2192" t="s">
        <v>47</v>
      </c>
      <c r="D2192">
        <v>3001566</v>
      </c>
      <c r="E2192">
        <v>3001565</v>
      </c>
      <c r="F2192" t="s">
        <v>1756</v>
      </c>
      <c r="G2192" t="s">
        <v>1757</v>
      </c>
      <c r="H2192" t="s">
        <v>54</v>
      </c>
      <c r="I2192">
        <v>9924915</v>
      </c>
      <c r="J2192" s="12">
        <v>46125</v>
      </c>
      <c r="K2192" s="12">
        <v>46125</v>
      </c>
      <c r="L2192" s="12">
        <v>46156</v>
      </c>
      <c r="M2192">
        <v>-24</v>
      </c>
      <c r="N2192">
        <v>302296401</v>
      </c>
      <c r="O2192">
        <v>0</v>
      </c>
      <c r="P2192">
        <v>302296401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 t="s">
        <v>47</v>
      </c>
      <c r="AA2192" t="s">
        <v>501</v>
      </c>
      <c r="AB2192" t="s">
        <v>51</v>
      </c>
      <c r="AC2192" t="s">
        <v>51</v>
      </c>
      <c r="AD2192" t="s">
        <v>51</v>
      </c>
      <c r="AE2192" t="s">
        <v>1777</v>
      </c>
      <c r="AF2192" t="s">
        <v>928</v>
      </c>
    </row>
    <row r="2193" spans="1:32" ht="14.5" customHeight="1" x14ac:dyDescent="0.35">
      <c r="A2193" t="s">
        <v>73</v>
      </c>
      <c r="B2193" t="s">
        <v>74</v>
      </c>
      <c r="C2193" t="s">
        <v>47</v>
      </c>
      <c r="D2193">
        <v>3001566</v>
      </c>
      <c r="E2193">
        <v>3001565</v>
      </c>
      <c r="F2193" t="s">
        <v>1756</v>
      </c>
      <c r="G2193" t="s">
        <v>1757</v>
      </c>
      <c r="H2193" t="s">
        <v>54</v>
      </c>
      <c r="I2193">
        <v>9927504</v>
      </c>
      <c r="J2193" s="12">
        <v>46130</v>
      </c>
      <c r="K2193" s="12">
        <v>46130</v>
      </c>
      <c r="L2193" s="12">
        <v>46161</v>
      </c>
      <c r="M2193">
        <v>-29</v>
      </c>
      <c r="N2193">
        <v>279004276</v>
      </c>
      <c r="O2193">
        <v>0</v>
      </c>
      <c r="P2193">
        <v>279004276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 t="s">
        <v>47</v>
      </c>
      <c r="AA2193" t="s">
        <v>501</v>
      </c>
      <c r="AB2193" t="s">
        <v>51</v>
      </c>
      <c r="AC2193" t="s">
        <v>51</v>
      </c>
      <c r="AD2193" t="s">
        <v>51</v>
      </c>
      <c r="AE2193" t="s">
        <v>1778</v>
      </c>
      <c r="AF2193" t="s">
        <v>1167</v>
      </c>
    </row>
    <row r="2194" spans="1:32" ht="14.5" customHeight="1" x14ac:dyDescent="0.35">
      <c r="A2194" t="s">
        <v>73</v>
      </c>
      <c r="B2194" t="s">
        <v>74</v>
      </c>
      <c r="C2194" t="s">
        <v>47</v>
      </c>
      <c r="D2194">
        <v>3001568</v>
      </c>
      <c r="E2194">
        <v>3100887</v>
      </c>
      <c r="F2194" t="s">
        <v>1779</v>
      </c>
      <c r="G2194" t="s">
        <v>1780</v>
      </c>
      <c r="H2194" t="s">
        <v>54</v>
      </c>
      <c r="I2194">
        <v>6958383</v>
      </c>
      <c r="J2194" s="12">
        <v>46121</v>
      </c>
      <c r="K2194" s="12">
        <v>46121</v>
      </c>
      <c r="L2194" s="12">
        <v>46121</v>
      </c>
      <c r="M2194">
        <v>11</v>
      </c>
      <c r="N2194">
        <v>-183333</v>
      </c>
      <c r="O2194">
        <v>-183333</v>
      </c>
      <c r="P2194">
        <v>0</v>
      </c>
      <c r="Q2194">
        <v>-183333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 t="s">
        <v>47</v>
      </c>
      <c r="AA2194" t="s">
        <v>501</v>
      </c>
      <c r="AB2194" t="s">
        <v>51</v>
      </c>
      <c r="AC2194" t="s">
        <v>51</v>
      </c>
      <c r="AD2194" t="s">
        <v>51</v>
      </c>
      <c r="AE2194" t="s">
        <v>51</v>
      </c>
      <c r="AF2194" t="s">
        <v>1781</v>
      </c>
    </row>
    <row r="2195" spans="1:32" ht="14.5" customHeight="1" x14ac:dyDescent="0.35">
      <c r="A2195" t="s">
        <v>73</v>
      </c>
      <c r="B2195" t="s">
        <v>74</v>
      </c>
      <c r="C2195" t="s">
        <v>47</v>
      </c>
      <c r="D2195">
        <v>3001568</v>
      </c>
      <c r="E2195">
        <v>3100887</v>
      </c>
      <c r="F2195" t="s">
        <v>1779</v>
      </c>
      <c r="G2195" t="s">
        <v>1780</v>
      </c>
      <c r="H2195" t="s">
        <v>54</v>
      </c>
      <c r="I2195">
        <v>6958384</v>
      </c>
      <c r="J2195" s="12">
        <v>46121</v>
      </c>
      <c r="K2195" s="12">
        <v>46121</v>
      </c>
      <c r="L2195" s="12">
        <v>46121</v>
      </c>
      <c r="M2195">
        <v>11</v>
      </c>
      <c r="N2195">
        <v>-183333</v>
      </c>
      <c r="O2195">
        <v>-183333</v>
      </c>
      <c r="P2195">
        <v>0</v>
      </c>
      <c r="Q2195">
        <v>-183333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 t="s">
        <v>47</v>
      </c>
      <c r="AA2195" t="s">
        <v>501</v>
      </c>
      <c r="AB2195" t="s">
        <v>51</v>
      </c>
      <c r="AC2195" t="s">
        <v>51</v>
      </c>
      <c r="AD2195" t="s">
        <v>51</v>
      </c>
      <c r="AE2195" t="s">
        <v>51</v>
      </c>
      <c r="AF2195" t="s">
        <v>1781</v>
      </c>
    </row>
    <row r="2196" spans="1:32" ht="14.5" customHeight="1" x14ac:dyDescent="0.35">
      <c r="A2196" t="s">
        <v>73</v>
      </c>
      <c r="B2196" t="s">
        <v>74</v>
      </c>
      <c r="C2196" t="s">
        <v>47</v>
      </c>
      <c r="D2196">
        <v>3001568</v>
      </c>
      <c r="E2196">
        <v>3100887</v>
      </c>
      <c r="F2196" t="s">
        <v>1779</v>
      </c>
      <c r="G2196" t="s">
        <v>1780</v>
      </c>
      <c r="H2196" t="s">
        <v>54</v>
      </c>
      <c r="I2196">
        <v>6958385</v>
      </c>
      <c r="J2196" s="12">
        <v>46121</v>
      </c>
      <c r="K2196" s="12">
        <v>46121</v>
      </c>
      <c r="L2196" s="12">
        <v>46121</v>
      </c>
      <c r="M2196">
        <v>11</v>
      </c>
      <c r="N2196">
        <v>-183333</v>
      </c>
      <c r="O2196">
        <v>-183333</v>
      </c>
      <c r="P2196">
        <v>0</v>
      </c>
      <c r="Q2196">
        <v>-183333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 t="s">
        <v>47</v>
      </c>
      <c r="AA2196" t="s">
        <v>501</v>
      </c>
      <c r="AB2196" t="s">
        <v>51</v>
      </c>
      <c r="AC2196" t="s">
        <v>51</v>
      </c>
      <c r="AD2196" t="s">
        <v>51</v>
      </c>
      <c r="AE2196" t="s">
        <v>51</v>
      </c>
      <c r="AF2196" t="s">
        <v>1781</v>
      </c>
    </row>
    <row r="2197" spans="1:32" ht="14.5" customHeight="1" x14ac:dyDescent="0.35">
      <c r="A2197" t="s">
        <v>73</v>
      </c>
      <c r="B2197" t="s">
        <v>74</v>
      </c>
      <c r="C2197" t="s">
        <v>47</v>
      </c>
      <c r="D2197">
        <v>3001568</v>
      </c>
      <c r="E2197">
        <v>3001569</v>
      </c>
      <c r="F2197" t="s">
        <v>1779</v>
      </c>
      <c r="G2197" t="s">
        <v>1779</v>
      </c>
      <c r="H2197" t="s">
        <v>54</v>
      </c>
      <c r="I2197">
        <v>6958423</v>
      </c>
      <c r="J2197" s="12">
        <v>46121</v>
      </c>
      <c r="K2197" s="12">
        <v>46121</v>
      </c>
      <c r="L2197" s="12">
        <v>46121</v>
      </c>
      <c r="M2197">
        <v>11</v>
      </c>
      <c r="N2197">
        <v>-327000</v>
      </c>
      <c r="O2197">
        <v>-327000</v>
      </c>
      <c r="P2197">
        <v>0</v>
      </c>
      <c r="Q2197">
        <v>-327000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 t="s">
        <v>47</v>
      </c>
      <c r="AA2197" t="s">
        <v>501</v>
      </c>
      <c r="AB2197" t="s">
        <v>51</v>
      </c>
      <c r="AC2197" t="s">
        <v>51</v>
      </c>
      <c r="AD2197" t="s">
        <v>51</v>
      </c>
      <c r="AE2197" t="s">
        <v>51</v>
      </c>
      <c r="AF2197" t="s">
        <v>1782</v>
      </c>
    </row>
    <row r="2198" spans="1:32" ht="14.5" customHeight="1" x14ac:dyDescent="0.35">
      <c r="A2198" t="s">
        <v>73</v>
      </c>
      <c r="B2198" t="s">
        <v>74</v>
      </c>
      <c r="C2198" t="s">
        <v>47</v>
      </c>
      <c r="D2198">
        <v>3001568</v>
      </c>
      <c r="E2198">
        <v>3001569</v>
      </c>
      <c r="F2198" t="s">
        <v>1779</v>
      </c>
      <c r="G2198" t="s">
        <v>1779</v>
      </c>
      <c r="H2198" t="s">
        <v>54</v>
      </c>
      <c r="I2198">
        <v>6958424</v>
      </c>
      <c r="J2198" s="12">
        <v>46121</v>
      </c>
      <c r="K2198" s="12">
        <v>46121</v>
      </c>
      <c r="L2198" s="12">
        <v>46121</v>
      </c>
      <c r="M2198">
        <v>11</v>
      </c>
      <c r="N2198">
        <v>-327000</v>
      </c>
      <c r="O2198">
        <v>-327000</v>
      </c>
      <c r="P2198">
        <v>0</v>
      </c>
      <c r="Q2198">
        <v>-327000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 t="s">
        <v>47</v>
      </c>
      <c r="AA2198" t="s">
        <v>501</v>
      </c>
      <c r="AB2198" t="s">
        <v>51</v>
      </c>
      <c r="AC2198" t="s">
        <v>51</v>
      </c>
      <c r="AD2198" t="s">
        <v>51</v>
      </c>
      <c r="AE2198" t="s">
        <v>51</v>
      </c>
      <c r="AF2198" t="s">
        <v>1783</v>
      </c>
    </row>
    <row r="2199" spans="1:32" ht="14.5" customHeight="1" x14ac:dyDescent="0.35">
      <c r="A2199" t="s">
        <v>73</v>
      </c>
      <c r="B2199" t="s">
        <v>74</v>
      </c>
      <c r="C2199" t="s">
        <v>47</v>
      </c>
      <c r="D2199">
        <v>3001568</v>
      </c>
      <c r="E2199">
        <v>3001569</v>
      </c>
      <c r="F2199" t="s">
        <v>1779</v>
      </c>
      <c r="G2199" t="s">
        <v>1779</v>
      </c>
      <c r="H2199" t="s">
        <v>54</v>
      </c>
      <c r="I2199">
        <v>6958425</v>
      </c>
      <c r="J2199" s="12">
        <v>46121</v>
      </c>
      <c r="K2199" s="12">
        <v>46121</v>
      </c>
      <c r="L2199" s="12">
        <v>46121</v>
      </c>
      <c r="M2199">
        <v>11</v>
      </c>
      <c r="N2199">
        <v>-490500</v>
      </c>
      <c r="O2199">
        <v>-490500</v>
      </c>
      <c r="P2199">
        <v>0</v>
      </c>
      <c r="Q2199">
        <v>-490500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 t="s">
        <v>47</v>
      </c>
      <c r="AA2199" t="s">
        <v>501</v>
      </c>
      <c r="AB2199" t="s">
        <v>51</v>
      </c>
      <c r="AC2199" t="s">
        <v>51</v>
      </c>
      <c r="AD2199" t="s">
        <v>51</v>
      </c>
      <c r="AE2199" t="s">
        <v>51</v>
      </c>
      <c r="AF2199" t="s">
        <v>1782</v>
      </c>
    </row>
    <row r="2200" spans="1:32" ht="14.5" customHeight="1" x14ac:dyDescent="0.35">
      <c r="A2200" t="s">
        <v>73</v>
      </c>
      <c r="B2200" t="s">
        <v>74</v>
      </c>
      <c r="C2200" t="s">
        <v>47</v>
      </c>
      <c r="D2200">
        <v>3001568</v>
      </c>
      <c r="E2200">
        <v>3001569</v>
      </c>
      <c r="F2200" t="s">
        <v>1779</v>
      </c>
      <c r="G2200" t="s">
        <v>1779</v>
      </c>
      <c r="H2200" t="s">
        <v>54</v>
      </c>
      <c r="I2200">
        <v>6958426</v>
      </c>
      <c r="J2200" s="12">
        <v>46121</v>
      </c>
      <c r="K2200" s="12">
        <v>46121</v>
      </c>
      <c r="L2200" s="12">
        <v>46121</v>
      </c>
      <c r="M2200">
        <v>11</v>
      </c>
      <c r="N2200">
        <v>-490500</v>
      </c>
      <c r="O2200">
        <v>-490500</v>
      </c>
      <c r="P2200">
        <v>0</v>
      </c>
      <c r="Q2200">
        <v>-490500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 t="s">
        <v>47</v>
      </c>
      <c r="AA2200" t="s">
        <v>501</v>
      </c>
      <c r="AB2200" t="s">
        <v>51</v>
      </c>
      <c r="AC2200" t="s">
        <v>51</v>
      </c>
      <c r="AD2200" t="s">
        <v>51</v>
      </c>
      <c r="AE2200" t="s">
        <v>51</v>
      </c>
      <c r="AF2200" t="s">
        <v>1783</v>
      </c>
    </row>
    <row r="2201" spans="1:32" ht="14.5" customHeight="1" x14ac:dyDescent="0.35">
      <c r="A2201" t="s">
        <v>73</v>
      </c>
      <c r="B2201" t="s">
        <v>74</v>
      </c>
      <c r="C2201" t="s">
        <v>47</v>
      </c>
      <c r="D2201">
        <v>3001568</v>
      </c>
      <c r="E2201">
        <v>3001569</v>
      </c>
      <c r="F2201" t="s">
        <v>1779</v>
      </c>
      <c r="G2201" t="s">
        <v>1779</v>
      </c>
      <c r="H2201" t="s">
        <v>54</v>
      </c>
      <c r="I2201">
        <v>6958427</v>
      </c>
      <c r="J2201" s="12">
        <v>46121</v>
      </c>
      <c r="K2201" s="12">
        <v>46121</v>
      </c>
      <c r="L2201" s="12">
        <v>46121</v>
      </c>
      <c r="M2201">
        <v>11</v>
      </c>
      <c r="N2201">
        <v>-490500</v>
      </c>
      <c r="O2201">
        <v>-490500</v>
      </c>
      <c r="P2201">
        <v>0</v>
      </c>
      <c r="Q2201">
        <v>-490500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 t="s">
        <v>47</v>
      </c>
      <c r="AA2201" t="s">
        <v>501</v>
      </c>
      <c r="AB2201" t="s">
        <v>51</v>
      </c>
      <c r="AC2201" t="s">
        <v>51</v>
      </c>
      <c r="AD2201" t="s">
        <v>51</v>
      </c>
      <c r="AE2201" t="s">
        <v>51</v>
      </c>
      <c r="AF2201" t="s">
        <v>1784</v>
      </c>
    </row>
    <row r="2202" spans="1:32" ht="14.5" customHeight="1" x14ac:dyDescent="0.35">
      <c r="A2202" t="s">
        <v>73</v>
      </c>
      <c r="B2202" t="s">
        <v>74</v>
      </c>
      <c r="C2202" t="s">
        <v>47</v>
      </c>
      <c r="D2202">
        <v>3001568</v>
      </c>
      <c r="E2202">
        <v>3001569</v>
      </c>
      <c r="F2202" t="s">
        <v>1779</v>
      </c>
      <c r="G2202" t="s">
        <v>1779</v>
      </c>
      <c r="H2202" t="s">
        <v>54</v>
      </c>
      <c r="I2202">
        <v>6958428</v>
      </c>
      <c r="J2202" s="12">
        <v>46121</v>
      </c>
      <c r="K2202" s="12">
        <v>46121</v>
      </c>
      <c r="L2202" s="12">
        <v>46121</v>
      </c>
      <c r="M2202">
        <v>11</v>
      </c>
      <c r="N2202">
        <v>-882000</v>
      </c>
      <c r="O2202">
        <v>-882000</v>
      </c>
      <c r="P2202">
        <v>0</v>
      </c>
      <c r="Q2202">
        <v>-882000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 t="s">
        <v>47</v>
      </c>
      <c r="AA2202" t="s">
        <v>501</v>
      </c>
      <c r="AB2202" t="s">
        <v>51</v>
      </c>
      <c r="AC2202" t="s">
        <v>51</v>
      </c>
      <c r="AD2202" t="s">
        <v>51</v>
      </c>
      <c r="AE2202" t="s">
        <v>51</v>
      </c>
      <c r="AF2202" t="s">
        <v>1785</v>
      </c>
    </row>
    <row r="2203" spans="1:32" ht="14.5" customHeight="1" x14ac:dyDescent="0.35">
      <c r="A2203" t="s">
        <v>73</v>
      </c>
      <c r="B2203" t="s">
        <v>74</v>
      </c>
      <c r="C2203" t="s">
        <v>47</v>
      </c>
      <c r="D2203">
        <v>3001568</v>
      </c>
      <c r="E2203">
        <v>3001569</v>
      </c>
      <c r="F2203" t="s">
        <v>1779</v>
      </c>
      <c r="G2203" t="s">
        <v>1779</v>
      </c>
      <c r="H2203" t="s">
        <v>54</v>
      </c>
      <c r="I2203">
        <v>6958471</v>
      </c>
      <c r="J2203" s="12">
        <v>46121</v>
      </c>
      <c r="K2203" s="12">
        <v>46121</v>
      </c>
      <c r="L2203" s="12">
        <v>46121</v>
      </c>
      <c r="M2203">
        <v>11</v>
      </c>
      <c r="N2203">
        <v>-355821</v>
      </c>
      <c r="O2203">
        <v>-355821</v>
      </c>
      <c r="P2203">
        <v>0</v>
      </c>
      <c r="Q2203">
        <v>-355821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 t="s">
        <v>47</v>
      </c>
      <c r="AA2203" t="s">
        <v>501</v>
      </c>
      <c r="AB2203" t="s">
        <v>51</v>
      </c>
      <c r="AC2203" t="s">
        <v>51</v>
      </c>
      <c r="AD2203" t="s">
        <v>51</v>
      </c>
      <c r="AE2203" t="s">
        <v>51</v>
      </c>
      <c r="AF2203" t="s">
        <v>1786</v>
      </c>
    </row>
    <row r="2204" spans="1:32" ht="14.5" customHeight="1" x14ac:dyDescent="0.35">
      <c r="A2204" t="s">
        <v>73</v>
      </c>
      <c r="B2204" t="s">
        <v>74</v>
      </c>
      <c r="C2204" t="s">
        <v>47</v>
      </c>
      <c r="D2204">
        <v>3001568</v>
      </c>
      <c r="E2204">
        <v>3001569</v>
      </c>
      <c r="F2204" t="s">
        <v>1779</v>
      </c>
      <c r="G2204" t="s">
        <v>1779</v>
      </c>
      <c r="H2204" t="s">
        <v>54</v>
      </c>
      <c r="I2204">
        <v>6958472</v>
      </c>
      <c r="J2204" s="12">
        <v>46121</v>
      </c>
      <c r="K2204" s="12">
        <v>46121</v>
      </c>
      <c r="L2204" s="12">
        <v>46121</v>
      </c>
      <c r="M2204">
        <v>11</v>
      </c>
      <c r="N2204">
        <v>-348361</v>
      </c>
      <c r="O2204">
        <v>-348361</v>
      </c>
      <c r="P2204">
        <v>0</v>
      </c>
      <c r="Q2204">
        <v>-348361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 t="s">
        <v>47</v>
      </c>
      <c r="AA2204" t="s">
        <v>501</v>
      </c>
      <c r="AB2204" t="s">
        <v>51</v>
      </c>
      <c r="AC2204" t="s">
        <v>51</v>
      </c>
      <c r="AD2204" t="s">
        <v>51</v>
      </c>
      <c r="AE2204" t="s">
        <v>51</v>
      </c>
      <c r="AF2204" t="s">
        <v>1786</v>
      </c>
    </row>
    <row r="2205" spans="1:32" ht="14.5" customHeight="1" x14ac:dyDescent="0.35">
      <c r="A2205" t="s">
        <v>73</v>
      </c>
      <c r="B2205" t="s">
        <v>74</v>
      </c>
      <c r="C2205" t="s">
        <v>47</v>
      </c>
      <c r="D2205">
        <v>3001568</v>
      </c>
      <c r="E2205">
        <v>3001571</v>
      </c>
      <c r="F2205" t="s">
        <v>1779</v>
      </c>
      <c r="G2205" t="s">
        <v>1779</v>
      </c>
      <c r="H2205" t="s">
        <v>111</v>
      </c>
      <c r="I2205">
        <v>6958494</v>
      </c>
      <c r="J2205" s="12">
        <v>46121</v>
      </c>
      <c r="K2205" s="12">
        <v>46121</v>
      </c>
      <c r="L2205" s="12">
        <v>46121</v>
      </c>
      <c r="M2205">
        <v>11</v>
      </c>
      <c r="N2205">
        <v>-272128</v>
      </c>
      <c r="O2205">
        <v>-272128</v>
      </c>
      <c r="P2205">
        <v>0</v>
      </c>
      <c r="Q2205">
        <v>-272128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 t="s">
        <v>47</v>
      </c>
      <c r="AA2205" t="s">
        <v>501</v>
      </c>
      <c r="AB2205" t="s">
        <v>51</v>
      </c>
      <c r="AC2205" t="s">
        <v>51</v>
      </c>
      <c r="AD2205" t="s">
        <v>51</v>
      </c>
      <c r="AE2205" t="s">
        <v>51</v>
      </c>
      <c r="AF2205" t="s">
        <v>457</v>
      </c>
    </row>
    <row r="2206" spans="1:32" ht="14.5" customHeight="1" x14ac:dyDescent="0.35">
      <c r="A2206" t="s">
        <v>73</v>
      </c>
      <c r="B2206" t="s">
        <v>74</v>
      </c>
      <c r="C2206" t="s">
        <v>47</v>
      </c>
      <c r="D2206">
        <v>3001568</v>
      </c>
      <c r="E2206">
        <v>3001569</v>
      </c>
      <c r="F2206" t="s">
        <v>1779</v>
      </c>
      <c r="G2206" t="s">
        <v>1779</v>
      </c>
      <c r="H2206" t="s">
        <v>54</v>
      </c>
      <c r="I2206">
        <v>6958691</v>
      </c>
      <c r="J2206" s="12">
        <v>46122</v>
      </c>
      <c r="K2206" s="12">
        <v>46122</v>
      </c>
      <c r="L2206" s="12">
        <v>46122</v>
      </c>
      <c r="M2206">
        <v>10</v>
      </c>
      <c r="N2206">
        <v>-381500</v>
      </c>
      <c r="O2206">
        <v>-381500</v>
      </c>
      <c r="P2206">
        <v>0</v>
      </c>
      <c r="Q2206">
        <v>-381500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 t="s">
        <v>47</v>
      </c>
      <c r="AA2206" t="s">
        <v>501</v>
      </c>
      <c r="AB2206" t="s">
        <v>51</v>
      </c>
      <c r="AC2206" t="s">
        <v>51</v>
      </c>
      <c r="AD2206" t="s">
        <v>51</v>
      </c>
      <c r="AE2206" t="s">
        <v>51</v>
      </c>
      <c r="AF2206" t="s">
        <v>1787</v>
      </c>
    </row>
    <row r="2207" spans="1:32" ht="14.5" customHeight="1" x14ac:dyDescent="0.35">
      <c r="A2207" t="s">
        <v>73</v>
      </c>
      <c r="B2207" t="s">
        <v>74</v>
      </c>
      <c r="C2207" t="s">
        <v>47</v>
      </c>
      <c r="D2207">
        <v>3001568</v>
      </c>
      <c r="E2207">
        <v>3001569</v>
      </c>
      <c r="F2207" t="s">
        <v>1779</v>
      </c>
      <c r="G2207" t="s">
        <v>1779</v>
      </c>
      <c r="H2207" t="s">
        <v>54</v>
      </c>
      <c r="I2207">
        <v>6958692</v>
      </c>
      <c r="J2207" s="12">
        <v>46122</v>
      </c>
      <c r="K2207" s="12">
        <v>46122</v>
      </c>
      <c r="L2207" s="12">
        <v>46122</v>
      </c>
      <c r="M2207">
        <v>10</v>
      </c>
      <c r="N2207">
        <v>-381500</v>
      </c>
      <c r="O2207">
        <v>-381500</v>
      </c>
      <c r="P2207">
        <v>0</v>
      </c>
      <c r="Q2207">
        <v>-381500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 t="s">
        <v>47</v>
      </c>
      <c r="AA2207" t="s">
        <v>501</v>
      </c>
      <c r="AB2207" t="s">
        <v>51</v>
      </c>
      <c r="AC2207" t="s">
        <v>51</v>
      </c>
      <c r="AD2207" t="s">
        <v>51</v>
      </c>
      <c r="AE2207" t="s">
        <v>51</v>
      </c>
      <c r="AF2207" t="s">
        <v>1787</v>
      </c>
    </row>
    <row r="2208" spans="1:32" ht="14.5" customHeight="1" x14ac:dyDescent="0.35">
      <c r="A2208" t="s">
        <v>73</v>
      </c>
      <c r="B2208" t="s">
        <v>74</v>
      </c>
      <c r="C2208" t="s">
        <v>47</v>
      </c>
      <c r="D2208">
        <v>3001568</v>
      </c>
      <c r="E2208">
        <v>3001569</v>
      </c>
      <c r="F2208" t="s">
        <v>1779</v>
      </c>
      <c r="G2208" t="s">
        <v>1779</v>
      </c>
      <c r="H2208" t="s">
        <v>54</v>
      </c>
      <c r="I2208">
        <v>6958693</v>
      </c>
      <c r="J2208" s="12">
        <v>46122</v>
      </c>
      <c r="K2208" s="12">
        <v>46122</v>
      </c>
      <c r="L2208" s="12">
        <v>46122</v>
      </c>
      <c r="M2208">
        <v>10</v>
      </c>
      <c r="N2208">
        <v>-381500</v>
      </c>
      <c r="O2208">
        <v>-381500</v>
      </c>
      <c r="P2208">
        <v>0</v>
      </c>
      <c r="Q2208">
        <v>-381500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 t="s">
        <v>47</v>
      </c>
      <c r="AA2208" t="s">
        <v>501</v>
      </c>
      <c r="AB2208" t="s">
        <v>51</v>
      </c>
      <c r="AC2208" t="s">
        <v>51</v>
      </c>
      <c r="AD2208" t="s">
        <v>51</v>
      </c>
      <c r="AE2208" t="s">
        <v>51</v>
      </c>
      <c r="AF2208" t="s">
        <v>1787</v>
      </c>
    </row>
    <row r="2209" spans="1:32" ht="14.5" customHeight="1" x14ac:dyDescent="0.35">
      <c r="A2209" t="s">
        <v>73</v>
      </c>
      <c r="B2209" t="s">
        <v>74</v>
      </c>
      <c r="C2209" t="s">
        <v>47</v>
      </c>
      <c r="D2209">
        <v>3001568</v>
      </c>
      <c r="E2209">
        <v>3001569</v>
      </c>
      <c r="F2209" t="s">
        <v>1779</v>
      </c>
      <c r="G2209" t="s">
        <v>1779</v>
      </c>
      <c r="H2209" t="s">
        <v>54</v>
      </c>
      <c r="I2209">
        <v>6958712</v>
      </c>
      <c r="J2209" s="12">
        <v>46122</v>
      </c>
      <c r="K2209" s="12">
        <v>46122</v>
      </c>
      <c r="L2209" s="12">
        <v>46122</v>
      </c>
      <c r="M2209">
        <v>10</v>
      </c>
      <c r="N2209">
        <v>-381500</v>
      </c>
      <c r="O2209">
        <v>-381500</v>
      </c>
      <c r="P2209">
        <v>0</v>
      </c>
      <c r="Q2209">
        <v>-381500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 t="s">
        <v>47</v>
      </c>
      <c r="AA2209" t="s">
        <v>501</v>
      </c>
      <c r="AB2209" t="s">
        <v>51</v>
      </c>
      <c r="AC2209" t="s">
        <v>51</v>
      </c>
      <c r="AD2209" t="s">
        <v>51</v>
      </c>
      <c r="AE2209" t="s">
        <v>51</v>
      </c>
      <c r="AF2209" t="s">
        <v>1788</v>
      </c>
    </row>
    <row r="2210" spans="1:32" ht="14.5" customHeight="1" x14ac:dyDescent="0.35">
      <c r="A2210" t="s">
        <v>73</v>
      </c>
      <c r="B2210" t="s">
        <v>74</v>
      </c>
      <c r="C2210" t="s">
        <v>47</v>
      </c>
      <c r="D2210">
        <v>3001568</v>
      </c>
      <c r="E2210">
        <v>3001569</v>
      </c>
      <c r="F2210" t="s">
        <v>1779</v>
      </c>
      <c r="G2210" t="s">
        <v>1779</v>
      </c>
      <c r="H2210" t="s">
        <v>54</v>
      </c>
      <c r="I2210">
        <v>6958713</v>
      </c>
      <c r="J2210" s="12">
        <v>46122</v>
      </c>
      <c r="K2210" s="12">
        <v>46122</v>
      </c>
      <c r="L2210" s="12">
        <v>46122</v>
      </c>
      <c r="M2210">
        <v>10</v>
      </c>
      <c r="N2210">
        <v>-817500</v>
      </c>
      <c r="O2210">
        <v>-817500</v>
      </c>
      <c r="P2210">
        <v>0</v>
      </c>
      <c r="Q2210">
        <v>-817500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 t="s">
        <v>47</v>
      </c>
      <c r="AA2210" t="s">
        <v>501</v>
      </c>
      <c r="AB2210" t="s">
        <v>51</v>
      </c>
      <c r="AC2210" t="s">
        <v>51</v>
      </c>
      <c r="AD2210" t="s">
        <v>51</v>
      </c>
      <c r="AE2210" t="s">
        <v>51</v>
      </c>
      <c r="AF2210" t="s">
        <v>1789</v>
      </c>
    </row>
    <row r="2211" spans="1:32" ht="14.5" customHeight="1" x14ac:dyDescent="0.35">
      <c r="A2211" t="s">
        <v>73</v>
      </c>
      <c r="B2211" t="s">
        <v>74</v>
      </c>
      <c r="C2211" t="s">
        <v>47</v>
      </c>
      <c r="D2211">
        <v>3001568</v>
      </c>
      <c r="E2211">
        <v>3001569</v>
      </c>
      <c r="F2211" t="s">
        <v>1779</v>
      </c>
      <c r="G2211" t="s">
        <v>1779</v>
      </c>
      <c r="H2211" t="s">
        <v>54</v>
      </c>
      <c r="I2211">
        <v>6958714</v>
      </c>
      <c r="J2211" s="12">
        <v>46122</v>
      </c>
      <c r="K2211" s="12">
        <v>46122</v>
      </c>
      <c r="L2211" s="12">
        <v>46122</v>
      </c>
      <c r="M2211">
        <v>10</v>
      </c>
      <c r="N2211">
        <v>-327000</v>
      </c>
      <c r="O2211">
        <v>-327000</v>
      </c>
      <c r="P2211">
        <v>0</v>
      </c>
      <c r="Q2211">
        <v>-327000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 t="s">
        <v>47</v>
      </c>
      <c r="AA2211" t="s">
        <v>501</v>
      </c>
      <c r="AB2211" t="s">
        <v>51</v>
      </c>
      <c r="AC2211" t="s">
        <v>51</v>
      </c>
      <c r="AD2211" t="s">
        <v>51</v>
      </c>
      <c r="AE2211" t="s">
        <v>51</v>
      </c>
      <c r="AF2211" t="s">
        <v>1790</v>
      </c>
    </row>
    <row r="2212" spans="1:32" ht="14.5" customHeight="1" x14ac:dyDescent="0.35">
      <c r="A2212" t="s">
        <v>73</v>
      </c>
      <c r="B2212" t="s">
        <v>74</v>
      </c>
      <c r="C2212" t="s">
        <v>47</v>
      </c>
      <c r="D2212">
        <v>3001568</v>
      </c>
      <c r="E2212">
        <v>3001569</v>
      </c>
      <c r="F2212" t="s">
        <v>1779</v>
      </c>
      <c r="G2212" t="s">
        <v>1779</v>
      </c>
      <c r="H2212" t="s">
        <v>54</v>
      </c>
      <c r="I2212">
        <v>6958715</v>
      </c>
      <c r="J2212" s="12">
        <v>46122</v>
      </c>
      <c r="K2212" s="12">
        <v>46122</v>
      </c>
      <c r="L2212" s="12">
        <v>46122</v>
      </c>
      <c r="M2212">
        <v>10</v>
      </c>
      <c r="N2212">
        <v>-305200</v>
      </c>
      <c r="O2212">
        <v>-305200</v>
      </c>
      <c r="P2212">
        <v>0</v>
      </c>
      <c r="Q2212">
        <v>-305200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 t="s">
        <v>47</v>
      </c>
      <c r="AA2212" t="s">
        <v>501</v>
      </c>
      <c r="AB2212" t="s">
        <v>51</v>
      </c>
      <c r="AC2212" t="s">
        <v>51</v>
      </c>
      <c r="AD2212" t="s">
        <v>51</v>
      </c>
      <c r="AE2212" t="s">
        <v>51</v>
      </c>
      <c r="AF2212" t="s">
        <v>1791</v>
      </c>
    </row>
    <row r="2213" spans="1:32" ht="14.5" customHeight="1" x14ac:dyDescent="0.35">
      <c r="A2213" t="s">
        <v>73</v>
      </c>
      <c r="B2213" t="s">
        <v>74</v>
      </c>
      <c r="C2213" t="s">
        <v>47</v>
      </c>
      <c r="D2213">
        <v>3001568</v>
      </c>
      <c r="E2213">
        <v>3001569</v>
      </c>
      <c r="F2213" t="s">
        <v>1779</v>
      </c>
      <c r="G2213" t="s">
        <v>1779</v>
      </c>
      <c r="H2213" t="s">
        <v>54</v>
      </c>
      <c r="I2213">
        <v>6958716</v>
      </c>
      <c r="J2213" s="12">
        <v>46122</v>
      </c>
      <c r="K2213" s="12">
        <v>46122</v>
      </c>
      <c r="L2213" s="12">
        <v>46122</v>
      </c>
      <c r="M2213">
        <v>10</v>
      </c>
      <c r="N2213">
        <v>-381500</v>
      </c>
      <c r="O2213">
        <v>-381500</v>
      </c>
      <c r="P2213">
        <v>0</v>
      </c>
      <c r="Q2213">
        <v>-381500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 t="s">
        <v>47</v>
      </c>
      <c r="AA2213" t="s">
        <v>501</v>
      </c>
      <c r="AB2213" t="s">
        <v>51</v>
      </c>
      <c r="AC2213" t="s">
        <v>51</v>
      </c>
      <c r="AD2213" t="s">
        <v>51</v>
      </c>
      <c r="AE2213" t="s">
        <v>51</v>
      </c>
      <c r="AF2213" t="s">
        <v>1788</v>
      </c>
    </row>
    <row r="2214" spans="1:32" ht="14.5" customHeight="1" x14ac:dyDescent="0.35">
      <c r="A2214" t="s">
        <v>73</v>
      </c>
      <c r="B2214" t="s">
        <v>74</v>
      </c>
      <c r="C2214" t="s">
        <v>47</v>
      </c>
      <c r="D2214">
        <v>3001568</v>
      </c>
      <c r="E2214">
        <v>3001569</v>
      </c>
      <c r="F2214" t="s">
        <v>1779</v>
      </c>
      <c r="G2214" t="s">
        <v>1779</v>
      </c>
      <c r="H2214" t="s">
        <v>54</v>
      </c>
      <c r="I2214">
        <v>6958717</v>
      </c>
      <c r="J2214" s="12">
        <v>46122</v>
      </c>
      <c r="K2214" s="12">
        <v>46122</v>
      </c>
      <c r="L2214" s="12">
        <v>46122</v>
      </c>
      <c r="M2214">
        <v>10</v>
      </c>
      <c r="N2214">
        <v>-152600</v>
      </c>
      <c r="O2214">
        <v>-152600</v>
      </c>
      <c r="P2214">
        <v>0</v>
      </c>
      <c r="Q2214">
        <v>-152600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 t="s">
        <v>47</v>
      </c>
      <c r="AA2214" t="s">
        <v>501</v>
      </c>
      <c r="AB2214" t="s">
        <v>51</v>
      </c>
      <c r="AC2214" t="s">
        <v>51</v>
      </c>
      <c r="AD2214" t="s">
        <v>51</v>
      </c>
      <c r="AE2214" t="s">
        <v>51</v>
      </c>
      <c r="AF2214" t="s">
        <v>1791</v>
      </c>
    </row>
    <row r="2215" spans="1:32" ht="14.5" customHeight="1" x14ac:dyDescent="0.35">
      <c r="A2215" t="s">
        <v>73</v>
      </c>
      <c r="B2215" t="s">
        <v>74</v>
      </c>
      <c r="C2215" t="s">
        <v>47</v>
      </c>
      <c r="D2215">
        <v>3001568</v>
      </c>
      <c r="E2215">
        <v>3001569</v>
      </c>
      <c r="F2215" t="s">
        <v>1779</v>
      </c>
      <c r="G2215" t="s">
        <v>1779</v>
      </c>
      <c r="H2215" t="s">
        <v>54</v>
      </c>
      <c r="I2215">
        <v>6958718</v>
      </c>
      <c r="J2215" s="12">
        <v>46122</v>
      </c>
      <c r="K2215" s="12">
        <v>46122</v>
      </c>
      <c r="L2215" s="12">
        <v>46122</v>
      </c>
      <c r="M2215">
        <v>10</v>
      </c>
      <c r="N2215">
        <v>-381500</v>
      </c>
      <c r="O2215">
        <v>-381500</v>
      </c>
      <c r="P2215">
        <v>0</v>
      </c>
      <c r="Q2215">
        <v>-381500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 t="s">
        <v>47</v>
      </c>
      <c r="AA2215" t="s">
        <v>501</v>
      </c>
      <c r="AB2215" t="s">
        <v>51</v>
      </c>
      <c r="AC2215" t="s">
        <v>51</v>
      </c>
      <c r="AD2215" t="s">
        <v>51</v>
      </c>
      <c r="AE2215" t="s">
        <v>51</v>
      </c>
      <c r="AF2215" t="s">
        <v>1788</v>
      </c>
    </row>
    <row r="2216" spans="1:32" ht="14.5" customHeight="1" x14ac:dyDescent="0.35">
      <c r="A2216" t="s">
        <v>73</v>
      </c>
      <c r="B2216" t="s">
        <v>74</v>
      </c>
      <c r="C2216" t="s">
        <v>47</v>
      </c>
      <c r="D2216">
        <v>3001568</v>
      </c>
      <c r="E2216">
        <v>3001570</v>
      </c>
      <c r="F2216" t="s">
        <v>1779</v>
      </c>
      <c r="G2216" t="s">
        <v>1779</v>
      </c>
      <c r="H2216" t="s">
        <v>54</v>
      </c>
      <c r="I2216">
        <v>6958719</v>
      </c>
      <c r="J2216" s="12">
        <v>46122</v>
      </c>
      <c r="K2216" s="12">
        <v>46122</v>
      </c>
      <c r="L2216" s="12">
        <v>46122</v>
      </c>
      <c r="M2216">
        <v>10</v>
      </c>
      <c r="N2216">
        <v>-381500</v>
      </c>
      <c r="O2216">
        <v>-381500</v>
      </c>
      <c r="P2216">
        <v>0</v>
      </c>
      <c r="Q2216">
        <v>-381500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 t="s">
        <v>47</v>
      </c>
      <c r="AA2216" t="s">
        <v>501</v>
      </c>
      <c r="AB2216" t="s">
        <v>51</v>
      </c>
      <c r="AC2216" t="s">
        <v>51</v>
      </c>
      <c r="AD2216" t="s">
        <v>51</v>
      </c>
      <c r="AE2216" t="s">
        <v>51</v>
      </c>
      <c r="AF2216" t="s">
        <v>1792</v>
      </c>
    </row>
    <row r="2217" spans="1:32" ht="14.5" customHeight="1" x14ac:dyDescent="0.35">
      <c r="A2217" t="s">
        <v>73</v>
      </c>
      <c r="B2217" t="s">
        <v>74</v>
      </c>
      <c r="C2217" t="s">
        <v>47</v>
      </c>
      <c r="D2217">
        <v>3001568</v>
      </c>
      <c r="E2217">
        <v>3001570</v>
      </c>
      <c r="F2217" t="s">
        <v>1779</v>
      </c>
      <c r="G2217" t="s">
        <v>1779</v>
      </c>
      <c r="H2217" t="s">
        <v>54</v>
      </c>
      <c r="I2217">
        <v>6958720</v>
      </c>
      <c r="J2217" s="12">
        <v>46122</v>
      </c>
      <c r="K2217" s="12">
        <v>46122</v>
      </c>
      <c r="L2217" s="12">
        <v>46122</v>
      </c>
      <c r="M2217">
        <v>10</v>
      </c>
      <c r="N2217">
        <v>-381500</v>
      </c>
      <c r="O2217">
        <v>-381500</v>
      </c>
      <c r="P2217">
        <v>0</v>
      </c>
      <c r="Q2217">
        <v>-381500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 t="s">
        <v>47</v>
      </c>
      <c r="AA2217" t="s">
        <v>501</v>
      </c>
      <c r="AB2217" t="s">
        <v>51</v>
      </c>
      <c r="AC2217" t="s">
        <v>51</v>
      </c>
      <c r="AD2217" t="s">
        <v>51</v>
      </c>
      <c r="AE2217" t="s">
        <v>51</v>
      </c>
      <c r="AF2217" t="s">
        <v>1792</v>
      </c>
    </row>
    <row r="2218" spans="1:32" ht="14.5" customHeight="1" x14ac:dyDescent="0.35">
      <c r="A2218" t="s">
        <v>73</v>
      </c>
      <c r="B2218" t="s">
        <v>74</v>
      </c>
      <c r="C2218" t="s">
        <v>47</v>
      </c>
      <c r="D2218">
        <v>3001568</v>
      </c>
      <c r="E2218">
        <v>3001570</v>
      </c>
      <c r="F2218" t="s">
        <v>1779</v>
      </c>
      <c r="G2218" t="s">
        <v>1779</v>
      </c>
      <c r="H2218" t="s">
        <v>54</v>
      </c>
      <c r="I2218">
        <v>6958721</v>
      </c>
      <c r="J2218" s="12">
        <v>46122</v>
      </c>
      <c r="K2218" s="12">
        <v>46122</v>
      </c>
      <c r="L2218" s="12">
        <v>46122</v>
      </c>
      <c r="M2218">
        <v>10</v>
      </c>
      <c r="N2218">
        <v>-381500</v>
      </c>
      <c r="O2218">
        <v>-381500</v>
      </c>
      <c r="P2218">
        <v>0</v>
      </c>
      <c r="Q2218">
        <v>-381500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 t="s">
        <v>47</v>
      </c>
      <c r="AA2218" t="s">
        <v>501</v>
      </c>
      <c r="AB2218" t="s">
        <v>51</v>
      </c>
      <c r="AC2218" t="s">
        <v>51</v>
      </c>
      <c r="AD2218" t="s">
        <v>51</v>
      </c>
      <c r="AE2218" t="s">
        <v>51</v>
      </c>
      <c r="AF2218" t="s">
        <v>1792</v>
      </c>
    </row>
    <row r="2219" spans="1:32" ht="14.5" customHeight="1" x14ac:dyDescent="0.35">
      <c r="A2219" t="s">
        <v>73</v>
      </c>
      <c r="B2219" t="s">
        <v>74</v>
      </c>
      <c r="C2219" t="s">
        <v>47</v>
      </c>
      <c r="D2219">
        <v>3001568</v>
      </c>
      <c r="E2219">
        <v>3100887</v>
      </c>
      <c r="F2219" t="s">
        <v>1779</v>
      </c>
      <c r="G2219" t="s">
        <v>1780</v>
      </c>
      <c r="H2219" t="s">
        <v>54</v>
      </c>
      <c r="I2219">
        <v>6958778</v>
      </c>
      <c r="J2219" s="12">
        <v>46122</v>
      </c>
      <c r="K2219" s="12">
        <v>46122</v>
      </c>
      <c r="L2219" s="12">
        <v>46122</v>
      </c>
      <c r="M2219">
        <v>10</v>
      </c>
      <c r="N2219">
        <v>-18402501</v>
      </c>
      <c r="O2219">
        <v>-18402501</v>
      </c>
      <c r="P2219">
        <v>0</v>
      </c>
      <c r="Q2219">
        <v>-18402501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 t="s">
        <v>47</v>
      </c>
      <c r="AA2219" t="s">
        <v>501</v>
      </c>
      <c r="AB2219" t="s">
        <v>51</v>
      </c>
      <c r="AC2219" t="s">
        <v>51</v>
      </c>
      <c r="AD2219" t="s">
        <v>51</v>
      </c>
      <c r="AE2219" t="s">
        <v>51</v>
      </c>
      <c r="AF2219" t="s">
        <v>1793</v>
      </c>
    </row>
    <row r="2220" spans="1:32" ht="14.5" customHeight="1" x14ac:dyDescent="0.35">
      <c r="A2220" t="s">
        <v>73</v>
      </c>
      <c r="B2220" t="s">
        <v>74</v>
      </c>
      <c r="C2220" t="s">
        <v>47</v>
      </c>
      <c r="D2220">
        <v>3001568</v>
      </c>
      <c r="E2220">
        <v>3001570</v>
      </c>
      <c r="F2220" t="s">
        <v>1779</v>
      </c>
      <c r="G2220" t="s">
        <v>1779</v>
      </c>
      <c r="H2220" t="s">
        <v>54</v>
      </c>
      <c r="I2220">
        <v>6959423</v>
      </c>
      <c r="J2220" s="12">
        <v>46127</v>
      </c>
      <c r="K2220" s="12">
        <v>46127</v>
      </c>
      <c r="L2220" s="12">
        <v>46127</v>
      </c>
      <c r="M2220">
        <v>5</v>
      </c>
      <c r="N2220">
        <v>-218000</v>
      </c>
      <c r="O2220">
        <v>-218000</v>
      </c>
      <c r="P2220">
        <v>0</v>
      </c>
      <c r="Q2220">
        <v>-218000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 t="s">
        <v>47</v>
      </c>
      <c r="AA2220" t="s">
        <v>501</v>
      </c>
      <c r="AB2220" t="s">
        <v>51</v>
      </c>
      <c r="AC2220" t="s">
        <v>51</v>
      </c>
      <c r="AD2220" t="s">
        <v>51</v>
      </c>
      <c r="AE2220" t="s">
        <v>51</v>
      </c>
      <c r="AF2220" t="s">
        <v>1794</v>
      </c>
    </row>
    <row r="2221" spans="1:32" ht="14.5" customHeight="1" x14ac:dyDescent="0.35">
      <c r="A2221" t="s">
        <v>73</v>
      </c>
      <c r="B2221" t="s">
        <v>74</v>
      </c>
      <c r="C2221" t="s">
        <v>47</v>
      </c>
      <c r="D2221">
        <v>3001568</v>
      </c>
      <c r="E2221">
        <v>3001570</v>
      </c>
      <c r="F2221" t="s">
        <v>1779</v>
      </c>
      <c r="G2221" t="s">
        <v>1779</v>
      </c>
      <c r="H2221" t="s">
        <v>54</v>
      </c>
      <c r="I2221">
        <v>6959533</v>
      </c>
      <c r="J2221" s="12">
        <v>46127</v>
      </c>
      <c r="K2221" s="12">
        <v>46127</v>
      </c>
      <c r="L2221" s="12">
        <v>46127</v>
      </c>
      <c r="M2221">
        <v>5</v>
      </c>
      <c r="N2221">
        <v>-20184418</v>
      </c>
      <c r="O2221">
        <v>-20184418</v>
      </c>
      <c r="P2221">
        <v>0</v>
      </c>
      <c r="Q2221">
        <v>-20184418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 t="s">
        <v>47</v>
      </c>
      <c r="AA2221" t="s">
        <v>501</v>
      </c>
      <c r="AB2221" t="s">
        <v>51</v>
      </c>
      <c r="AC2221" t="s">
        <v>51</v>
      </c>
      <c r="AD2221" t="s">
        <v>51</v>
      </c>
      <c r="AE2221" t="s">
        <v>51</v>
      </c>
      <c r="AF2221" t="s">
        <v>1795</v>
      </c>
    </row>
    <row r="2222" spans="1:32" ht="14.5" customHeight="1" x14ac:dyDescent="0.35">
      <c r="A2222" t="s">
        <v>73</v>
      </c>
      <c r="B2222" t="s">
        <v>74</v>
      </c>
      <c r="C2222" t="s">
        <v>47</v>
      </c>
      <c r="D2222">
        <v>3001568</v>
      </c>
      <c r="E2222">
        <v>3001569</v>
      </c>
      <c r="F2222" t="s">
        <v>1779</v>
      </c>
      <c r="G2222" t="s">
        <v>1779</v>
      </c>
      <c r="H2222" t="s">
        <v>54</v>
      </c>
      <c r="I2222">
        <v>6959600</v>
      </c>
      <c r="J2222" s="12">
        <v>46127</v>
      </c>
      <c r="K2222" s="12">
        <v>46127</v>
      </c>
      <c r="L2222" s="12">
        <v>46127</v>
      </c>
      <c r="M2222">
        <v>5</v>
      </c>
      <c r="N2222">
        <v>-11445000</v>
      </c>
      <c r="O2222">
        <v>-11445000</v>
      </c>
      <c r="P2222">
        <v>0</v>
      </c>
      <c r="Q2222">
        <v>-11445000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 t="s">
        <v>47</v>
      </c>
      <c r="AA2222" t="s">
        <v>501</v>
      </c>
      <c r="AB2222" t="s">
        <v>51</v>
      </c>
      <c r="AC2222" t="s">
        <v>51</v>
      </c>
      <c r="AD2222" t="s">
        <v>51</v>
      </c>
      <c r="AE2222" t="s">
        <v>51</v>
      </c>
      <c r="AF2222" t="s">
        <v>1796</v>
      </c>
    </row>
    <row r="2223" spans="1:32" ht="14.5" customHeight="1" x14ac:dyDescent="0.35">
      <c r="A2223" t="s">
        <v>73</v>
      </c>
      <c r="B2223" t="s">
        <v>74</v>
      </c>
      <c r="C2223" t="s">
        <v>47</v>
      </c>
      <c r="D2223">
        <v>3001568</v>
      </c>
      <c r="E2223">
        <v>3001569</v>
      </c>
      <c r="F2223" t="s">
        <v>1779</v>
      </c>
      <c r="G2223" t="s">
        <v>1779</v>
      </c>
      <c r="H2223" t="s">
        <v>54</v>
      </c>
      <c r="I2223">
        <v>6959601</v>
      </c>
      <c r="J2223" s="12">
        <v>46127</v>
      </c>
      <c r="K2223" s="12">
        <v>46127</v>
      </c>
      <c r="L2223" s="12">
        <v>46127</v>
      </c>
      <c r="M2223">
        <v>5</v>
      </c>
      <c r="N2223">
        <v>-11445000</v>
      </c>
      <c r="O2223">
        <v>-11445000</v>
      </c>
      <c r="P2223">
        <v>0</v>
      </c>
      <c r="Q2223">
        <v>-11445000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 t="s">
        <v>47</v>
      </c>
      <c r="AA2223" t="s">
        <v>501</v>
      </c>
      <c r="AB2223" t="s">
        <v>51</v>
      </c>
      <c r="AC2223" t="s">
        <v>51</v>
      </c>
      <c r="AD2223" t="s">
        <v>51</v>
      </c>
      <c r="AE2223" t="s">
        <v>51</v>
      </c>
      <c r="AF2223" t="s">
        <v>1797</v>
      </c>
    </row>
    <row r="2224" spans="1:32" ht="14.5" customHeight="1" x14ac:dyDescent="0.35">
      <c r="A2224" t="s">
        <v>73</v>
      </c>
      <c r="B2224" t="s">
        <v>74</v>
      </c>
      <c r="C2224" t="s">
        <v>47</v>
      </c>
      <c r="D2224">
        <v>3001568</v>
      </c>
      <c r="E2224">
        <v>3001569</v>
      </c>
      <c r="F2224" t="s">
        <v>1779</v>
      </c>
      <c r="G2224" t="s">
        <v>1779</v>
      </c>
      <c r="H2224" t="s">
        <v>54</v>
      </c>
      <c r="I2224">
        <v>6959602</v>
      </c>
      <c r="J2224" s="12">
        <v>46127</v>
      </c>
      <c r="K2224" s="12">
        <v>46127</v>
      </c>
      <c r="L2224" s="12">
        <v>46127</v>
      </c>
      <c r="M2224">
        <v>5</v>
      </c>
      <c r="N2224">
        <v>-6737084</v>
      </c>
      <c r="O2224">
        <v>-6737084</v>
      </c>
      <c r="P2224">
        <v>0</v>
      </c>
      <c r="Q2224">
        <v>-6737084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 t="s">
        <v>47</v>
      </c>
      <c r="AA2224" t="s">
        <v>501</v>
      </c>
      <c r="AB2224" t="s">
        <v>51</v>
      </c>
      <c r="AC2224" t="s">
        <v>51</v>
      </c>
      <c r="AD2224" t="s">
        <v>51</v>
      </c>
      <c r="AE2224" t="s">
        <v>51</v>
      </c>
      <c r="AF2224" t="s">
        <v>1798</v>
      </c>
    </row>
    <row r="2225" spans="1:32" ht="14.5" customHeight="1" x14ac:dyDescent="0.35">
      <c r="A2225" t="s">
        <v>73</v>
      </c>
      <c r="B2225" t="s">
        <v>74</v>
      </c>
      <c r="C2225" t="s">
        <v>47</v>
      </c>
      <c r="D2225">
        <v>3001568</v>
      </c>
      <c r="E2225">
        <v>3001570</v>
      </c>
      <c r="F2225" t="s">
        <v>1779</v>
      </c>
      <c r="G2225" t="s">
        <v>1779</v>
      </c>
      <c r="H2225" t="s">
        <v>54</v>
      </c>
      <c r="I2225">
        <v>6959603</v>
      </c>
      <c r="J2225" s="12">
        <v>46127</v>
      </c>
      <c r="K2225" s="12">
        <v>46127</v>
      </c>
      <c r="L2225" s="12">
        <v>46127</v>
      </c>
      <c r="M2225">
        <v>5</v>
      </c>
      <c r="N2225">
        <v>-11445000</v>
      </c>
      <c r="O2225">
        <v>-11445000</v>
      </c>
      <c r="P2225">
        <v>0</v>
      </c>
      <c r="Q2225">
        <v>-11445000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 t="s">
        <v>47</v>
      </c>
      <c r="AA2225" t="s">
        <v>501</v>
      </c>
      <c r="AB2225" t="s">
        <v>51</v>
      </c>
      <c r="AC2225" t="s">
        <v>51</v>
      </c>
      <c r="AD2225" t="s">
        <v>51</v>
      </c>
      <c r="AE2225" t="s">
        <v>51</v>
      </c>
      <c r="AF2225" t="s">
        <v>1799</v>
      </c>
    </row>
    <row r="2226" spans="1:32" ht="14.5" customHeight="1" x14ac:dyDescent="0.35">
      <c r="A2226" t="s">
        <v>73</v>
      </c>
      <c r="B2226" t="s">
        <v>74</v>
      </c>
      <c r="C2226" t="s">
        <v>47</v>
      </c>
      <c r="D2226">
        <v>3001568</v>
      </c>
      <c r="E2226">
        <v>3001570</v>
      </c>
      <c r="F2226" t="s">
        <v>1779</v>
      </c>
      <c r="G2226" t="s">
        <v>1779</v>
      </c>
      <c r="H2226" t="s">
        <v>54</v>
      </c>
      <c r="I2226">
        <v>6959604</v>
      </c>
      <c r="J2226" s="12">
        <v>46127</v>
      </c>
      <c r="K2226" s="12">
        <v>46127</v>
      </c>
      <c r="L2226" s="12">
        <v>46127</v>
      </c>
      <c r="M2226">
        <v>5</v>
      </c>
      <c r="N2226">
        <v>-7357500</v>
      </c>
      <c r="O2226">
        <v>-7357500</v>
      </c>
      <c r="P2226">
        <v>0</v>
      </c>
      <c r="Q2226">
        <v>-7357500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 t="s">
        <v>47</v>
      </c>
      <c r="AA2226" t="s">
        <v>501</v>
      </c>
      <c r="AB2226" t="s">
        <v>51</v>
      </c>
      <c r="AC2226" t="s">
        <v>51</v>
      </c>
      <c r="AD2226" t="s">
        <v>51</v>
      </c>
      <c r="AE2226" t="s">
        <v>51</v>
      </c>
      <c r="AF2226" t="s">
        <v>1800</v>
      </c>
    </row>
    <row r="2227" spans="1:32" ht="14.5" customHeight="1" x14ac:dyDescent="0.35">
      <c r="A2227" t="s">
        <v>73</v>
      </c>
      <c r="B2227" t="s">
        <v>74</v>
      </c>
      <c r="C2227" t="s">
        <v>47</v>
      </c>
      <c r="D2227">
        <v>3001568</v>
      </c>
      <c r="E2227">
        <v>3001570</v>
      </c>
      <c r="F2227" t="s">
        <v>1779</v>
      </c>
      <c r="G2227" t="s">
        <v>1779</v>
      </c>
      <c r="H2227" t="s">
        <v>54</v>
      </c>
      <c r="I2227">
        <v>6959605</v>
      </c>
      <c r="J2227" s="12">
        <v>46127</v>
      </c>
      <c r="K2227" s="12">
        <v>46127</v>
      </c>
      <c r="L2227" s="12">
        <v>46127</v>
      </c>
      <c r="M2227">
        <v>5</v>
      </c>
      <c r="N2227">
        <v>-7357500</v>
      </c>
      <c r="O2227">
        <v>-7357500</v>
      </c>
      <c r="P2227">
        <v>0</v>
      </c>
      <c r="Q2227">
        <v>-7357500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 t="s">
        <v>47</v>
      </c>
      <c r="AA2227" t="s">
        <v>501</v>
      </c>
      <c r="AB2227" t="s">
        <v>51</v>
      </c>
      <c r="AC2227" t="s">
        <v>51</v>
      </c>
      <c r="AD2227" t="s">
        <v>51</v>
      </c>
      <c r="AE2227" t="s">
        <v>51</v>
      </c>
      <c r="AF2227" t="s">
        <v>1800</v>
      </c>
    </row>
    <row r="2228" spans="1:32" ht="14.5" customHeight="1" x14ac:dyDescent="0.35">
      <c r="A2228" t="s">
        <v>73</v>
      </c>
      <c r="B2228" t="s">
        <v>74</v>
      </c>
      <c r="C2228" t="s">
        <v>47</v>
      </c>
      <c r="D2228">
        <v>3001568</v>
      </c>
      <c r="E2228">
        <v>3001570</v>
      </c>
      <c r="F2228" t="s">
        <v>1779</v>
      </c>
      <c r="G2228" t="s">
        <v>1779</v>
      </c>
      <c r="H2228" t="s">
        <v>54</v>
      </c>
      <c r="I2228">
        <v>6959606</v>
      </c>
      <c r="J2228" s="12">
        <v>46127</v>
      </c>
      <c r="K2228" s="12">
        <v>46127</v>
      </c>
      <c r="L2228" s="12">
        <v>46127</v>
      </c>
      <c r="M2228">
        <v>5</v>
      </c>
      <c r="N2228">
        <v>-1323000</v>
      </c>
      <c r="O2228">
        <v>-1323000</v>
      </c>
      <c r="P2228">
        <v>0</v>
      </c>
      <c r="Q2228">
        <v>-1323000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 t="s">
        <v>47</v>
      </c>
      <c r="AA2228" t="s">
        <v>501</v>
      </c>
      <c r="AB2228" t="s">
        <v>51</v>
      </c>
      <c r="AC2228" t="s">
        <v>51</v>
      </c>
      <c r="AD2228" t="s">
        <v>51</v>
      </c>
      <c r="AE2228" t="s">
        <v>51</v>
      </c>
      <c r="AF2228" t="s">
        <v>1801</v>
      </c>
    </row>
    <row r="2229" spans="1:32" ht="14.5" customHeight="1" x14ac:dyDescent="0.35">
      <c r="A2229" t="s">
        <v>73</v>
      </c>
      <c r="B2229" t="s">
        <v>74</v>
      </c>
      <c r="C2229" t="s">
        <v>47</v>
      </c>
      <c r="D2229">
        <v>3001568</v>
      </c>
      <c r="E2229">
        <v>3001570</v>
      </c>
      <c r="F2229" t="s">
        <v>1779</v>
      </c>
      <c r="G2229" t="s">
        <v>1779</v>
      </c>
      <c r="H2229" t="s">
        <v>54</v>
      </c>
      <c r="I2229">
        <v>6959607</v>
      </c>
      <c r="J2229" s="12">
        <v>46127</v>
      </c>
      <c r="K2229" s="12">
        <v>46127</v>
      </c>
      <c r="L2229" s="12">
        <v>46127</v>
      </c>
      <c r="M2229">
        <v>5</v>
      </c>
      <c r="N2229">
        <v>-1470000</v>
      </c>
      <c r="O2229">
        <v>-1470000</v>
      </c>
      <c r="P2229">
        <v>0</v>
      </c>
      <c r="Q2229">
        <v>-1470000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 t="s">
        <v>47</v>
      </c>
      <c r="AA2229" t="s">
        <v>501</v>
      </c>
      <c r="AB2229" t="s">
        <v>51</v>
      </c>
      <c r="AC2229" t="s">
        <v>51</v>
      </c>
      <c r="AD2229" t="s">
        <v>51</v>
      </c>
      <c r="AE2229" t="s">
        <v>51</v>
      </c>
      <c r="AF2229" t="s">
        <v>1802</v>
      </c>
    </row>
    <row r="2230" spans="1:32" ht="14.5" customHeight="1" x14ac:dyDescent="0.35">
      <c r="A2230" t="s">
        <v>73</v>
      </c>
      <c r="B2230" t="s">
        <v>74</v>
      </c>
      <c r="C2230" t="s">
        <v>47</v>
      </c>
      <c r="D2230">
        <v>3001568</v>
      </c>
      <c r="E2230">
        <v>3001570</v>
      </c>
      <c r="F2230" t="s">
        <v>1779</v>
      </c>
      <c r="G2230" t="s">
        <v>1779</v>
      </c>
      <c r="H2230" t="s">
        <v>54</v>
      </c>
      <c r="I2230">
        <v>6959608</v>
      </c>
      <c r="J2230" s="12">
        <v>46127</v>
      </c>
      <c r="K2230" s="12">
        <v>46127</v>
      </c>
      <c r="L2230" s="12">
        <v>46127</v>
      </c>
      <c r="M2230">
        <v>5</v>
      </c>
      <c r="N2230">
        <v>-1323000</v>
      </c>
      <c r="O2230">
        <v>-1323000</v>
      </c>
      <c r="P2230">
        <v>0</v>
      </c>
      <c r="Q2230">
        <v>-1323000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 t="s">
        <v>47</v>
      </c>
      <c r="AA2230" t="s">
        <v>501</v>
      </c>
      <c r="AB2230" t="s">
        <v>51</v>
      </c>
      <c r="AC2230" t="s">
        <v>51</v>
      </c>
      <c r="AD2230" t="s">
        <v>51</v>
      </c>
      <c r="AE2230" t="s">
        <v>51</v>
      </c>
      <c r="AF2230" t="s">
        <v>1803</v>
      </c>
    </row>
    <row r="2231" spans="1:32" ht="14.5" customHeight="1" x14ac:dyDescent="0.35">
      <c r="A2231" t="s">
        <v>73</v>
      </c>
      <c r="B2231" t="s">
        <v>74</v>
      </c>
      <c r="C2231" t="s">
        <v>47</v>
      </c>
      <c r="D2231">
        <v>3001568</v>
      </c>
      <c r="E2231">
        <v>3001570</v>
      </c>
      <c r="F2231" t="s">
        <v>1779</v>
      </c>
      <c r="G2231" t="s">
        <v>1779</v>
      </c>
      <c r="H2231" t="s">
        <v>54</v>
      </c>
      <c r="I2231">
        <v>6959609</v>
      </c>
      <c r="J2231" s="12">
        <v>46127</v>
      </c>
      <c r="K2231" s="12">
        <v>46127</v>
      </c>
      <c r="L2231" s="12">
        <v>46127</v>
      </c>
      <c r="M2231">
        <v>5</v>
      </c>
      <c r="N2231">
        <v>-1470000</v>
      </c>
      <c r="O2231">
        <v>-1470000</v>
      </c>
      <c r="P2231">
        <v>0</v>
      </c>
      <c r="Q2231">
        <v>-1470000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 t="s">
        <v>47</v>
      </c>
      <c r="AA2231" t="s">
        <v>501</v>
      </c>
      <c r="AB2231" t="s">
        <v>51</v>
      </c>
      <c r="AC2231" t="s">
        <v>51</v>
      </c>
      <c r="AD2231" t="s">
        <v>51</v>
      </c>
      <c r="AE2231" t="s">
        <v>51</v>
      </c>
      <c r="AF2231" t="s">
        <v>1804</v>
      </c>
    </row>
    <row r="2232" spans="1:32" ht="14.5" customHeight="1" x14ac:dyDescent="0.35">
      <c r="A2232" t="s">
        <v>73</v>
      </c>
      <c r="B2232" t="s">
        <v>74</v>
      </c>
      <c r="C2232" t="s">
        <v>47</v>
      </c>
      <c r="D2232">
        <v>3001568</v>
      </c>
      <c r="E2232">
        <v>3001570</v>
      </c>
      <c r="F2232" t="s">
        <v>1779</v>
      </c>
      <c r="G2232" t="s">
        <v>1779</v>
      </c>
      <c r="H2232" t="s">
        <v>54</v>
      </c>
      <c r="I2232">
        <v>6959610</v>
      </c>
      <c r="J2232" s="12">
        <v>46127</v>
      </c>
      <c r="K2232" s="12">
        <v>46127</v>
      </c>
      <c r="L2232" s="12">
        <v>46127</v>
      </c>
      <c r="M2232">
        <v>5</v>
      </c>
      <c r="N2232">
        <v>-1470000</v>
      </c>
      <c r="O2232">
        <v>-1470000</v>
      </c>
      <c r="P2232">
        <v>0</v>
      </c>
      <c r="Q2232">
        <v>-1470000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 t="s">
        <v>47</v>
      </c>
      <c r="AA2232" t="s">
        <v>501</v>
      </c>
      <c r="AB2232" t="s">
        <v>51</v>
      </c>
      <c r="AC2232" t="s">
        <v>51</v>
      </c>
      <c r="AD2232" t="s">
        <v>51</v>
      </c>
      <c r="AE2232" t="s">
        <v>51</v>
      </c>
      <c r="AF2232" t="s">
        <v>1805</v>
      </c>
    </row>
    <row r="2233" spans="1:32" ht="14.5" customHeight="1" x14ac:dyDescent="0.35">
      <c r="A2233" t="s">
        <v>73</v>
      </c>
      <c r="B2233" t="s">
        <v>74</v>
      </c>
      <c r="C2233" t="s">
        <v>47</v>
      </c>
      <c r="D2233">
        <v>3001568</v>
      </c>
      <c r="E2233">
        <v>3001570</v>
      </c>
      <c r="F2233" t="s">
        <v>1779</v>
      </c>
      <c r="G2233" t="s">
        <v>1779</v>
      </c>
      <c r="H2233" t="s">
        <v>54</v>
      </c>
      <c r="I2233">
        <v>6959611</v>
      </c>
      <c r="J2233" s="12">
        <v>46127</v>
      </c>
      <c r="K2233" s="12">
        <v>46127</v>
      </c>
      <c r="L2233" s="12">
        <v>46127</v>
      </c>
      <c r="M2233">
        <v>5</v>
      </c>
      <c r="N2233">
        <v>-218000</v>
      </c>
      <c r="O2233">
        <v>-218000</v>
      </c>
      <c r="P2233">
        <v>0</v>
      </c>
      <c r="Q2233">
        <v>-218000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 t="s">
        <v>47</v>
      </c>
      <c r="AA2233" t="s">
        <v>501</v>
      </c>
      <c r="AB2233" t="s">
        <v>51</v>
      </c>
      <c r="AC2233" t="s">
        <v>51</v>
      </c>
      <c r="AD2233" t="s">
        <v>51</v>
      </c>
      <c r="AE2233" t="s">
        <v>51</v>
      </c>
      <c r="AF2233" t="s">
        <v>1794</v>
      </c>
    </row>
    <row r="2234" spans="1:32" ht="14.5" customHeight="1" x14ac:dyDescent="0.35">
      <c r="A2234" t="s">
        <v>73</v>
      </c>
      <c r="B2234" t="s">
        <v>74</v>
      </c>
      <c r="C2234" t="s">
        <v>47</v>
      </c>
      <c r="D2234">
        <v>3001568</v>
      </c>
      <c r="E2234">
        <v>3001570</v>
      </c>
      <c r="F2234" t="s">
        <v>1779</v>
      </c>
      <c r="G2234" t="s">
        <v>1779</v>
      </c>
      <c r="H2234" t="s">
        <v>54</v>
      </c>
      <c r="I2234">
        <v>6959612</v>
      </c>
      <c r="J2234" s="12">
        <v>46127</v>
      </c>
      <c r="K2234" s="12">
        <v>46127</v>
      </c>
      <c r="L2234" s="12">
        <v>46127</v>
      </c>
      <c r="M2234">
        <v>5</v>
      </c>
      <c r="N2234">
        <v>-218000</v>
      </c>
      <c r="O2234">
        <v>-218000</v>
      </c>
      <c r="P2234">
        <v>0</v>
      </c>
      <c r="Q2234">
        <v>-218000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 t="s">
        <v>47</v>
      </c>
      <c r="AA2234" t="s">
        <v>501</v>
      </c>
      <c r="AB2234" t="s">
        <v>51</v>
      </c>
      <c r="AC2234" t="s">
        <v>51</v>
      </c>
      <c r="AD2234" t="s">
        <v>51</v>
      </c>
      <c r="AE2234" t="s">
        <v>51</v>
      </c>
      <c r="AF2234" t="s">
        <v>1794</v>
      </c>
    </row>
    <row r="2235" spans="1:32" ht="14.5" customHeight="1" x14ac:dyDescent="0.35">
      <c r="A2235" t="s">
        <v>73</v>
      </c>
      <c r="B2235" t="s">
        <v>74</v>
      </c>
      <c r="C2235" t="s">
        <v>47</v>
      </c>
      <c r="D2235">
        <v>3001568</v>
      </c>
      <c r="E2235">
        <v>3001570</v>
      </c>
      <c r="F2235" t="s">
        <v>1779</v>
      </c>
      <c r="G2235" t="s">
        <v>1779</v>
      </c>
      <c r="H2235" t="s">
        <v>54</v>
      </c>
      <c r="I2235">
        <v>6959613</v>
      </c>
      <c r="J2235" s="12">
        <v>46127</v>
      </c>
      <c r="K2235" s="12">
        <v>46127</v>
      </c>
      <c r="L2235" s="12">
        <v>46127</v>
      </c>
      <c r="M2235">
        <v>5</v>
      </c>
      <c r="N2235">
        <v>-218000</v>
      </c>
      <c r="O2235">
        <v>-218000</v>
      </c>
      <c r="P2235">
        <v>0</v>
      </c>
      <c r="Q2235">
        <v>-218000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 t="s">
        <v>47</v>
      </c>
      <c r="AA2235" t="s">
        <v>501</v>
      </c>
      <c r="AB2235" t="s">
        <v>51</v>
      </c>
      <c r="AC2235" t="s">
        <v>51</v>
      </c>
      <c r="AD2235" t="s">
        <v>51</v>
      </c>
      <c r="AE2235" t="s">
        <v>51</v>
      </c>
      <c r="AF2235" t="s">
        <v>1794</v>
      </c>
    </row>
    <row r="2236" spans="1:32" ht="14.5" customHeight="1" x14ac:dyDescent="0.35">
      <c r="A2236" t="s">
        <v>73</v>
      </c>
      <c r="B2236" t="s">
        <v>74</v>
      </c>
      <c r="C2236" t="s">
        <v>47</v>
      </c>
      <c r="D2236">
        <v>3001568</v>
      </c>
      <c r="E2236">
        <v>3001571</v>
      </c>
      <c r="F2236" t="s">
        <v>1779</v>
      </c>
      <c r="G2236" t="s">
        <v>1779</v>
      </c>
      <c r="H2236" t="s">
        <v>54</v>
      </c>
      <c r="I2236">
        <v>6959614</v>
      </c>
      <c r="J2236" s="12">
        <v>46127</v>
      </c>
      <c r="K2236" s="12">
        <v>46127</v>
      </c>
      <c r="L2236" s="12">
        <v>46127</v>
      </c>
      <c r="M2236">
        <v>5</v>
      </c>
      <c r="N2236">
        <v>-15696000</v>
      </c>
      <c r="O2236">
        <v>-15696000</v>
      </c>
      <c r="P2236">
        <v>0</v>
      </c>
      <c r="Q2236">
        <v>-15696000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 t="s">
        <v>47</v>
      </c>
      <c r="AA2236" t="s">
        <v>501</v>
      </c>
      <c r="AB2236" t="s">
        <v>51</v>
      </c>
      <c r="AC2236" t="s">
        <v>51</v>
      </c>
      <c r="AD2236" t="s">
        <v>51</v>
      </c>
      <c r="AE2236" t="s">
        <v>51</v>
      </c>
      <c r="AF2236" t="s">
        <v>1806</v>
      </c>
    </row>
    <row r="2237" spans="1:32" ht="14.5" customHeight="1" x14ac:dyDescent="0.35">
      <c r="A2237" t="s">
        <v>73</v>
      </c>
      <c r="B2237" t="s">
        <v>74</v>
      </c>
      <c r="C2237" t="s">
        <v>47</v>
      </c>
      <c r="D2237">
        <v>3001568</v>
      </c>
      <c r="E2237">
        <v>3001569</v>
      </c>
      <c r="F2237" t="s">
        <v>1779</v>
      </c>
      <c r="G2237" t="s">
        <v>1779</v>
      </c>
      <c r="H2237" t="s">
        <v>54</v>
      </c>
      <c r="I2237">
        <v>6959640</v>
      </c>
      <c r="J2237" s="12">
        <v>46127</v>
      </c>
      <c r="K2237" s="12">
        <v>46127</v>
      </c>
      <c r="L2237" s="12">
        <v>46127</v>
      </c>
      <c r="M2237">
        <v>5</v>
      </c>
      <c r="N2237">
        <v>-4905000</v>
      </c>
      <c r="O2237">
        <v>-4905000</v>
      </c>
      <c r="P2237">
        <v>0</v>
      </c>
      <c r="Q2237">
        <v>-4905000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 t="s">
        <v>47</v>
      </c>
      <c r="AA2237" t="s">
        <v>501</v>
      </c>
      <c r="AB2237" t="s">
        <v>51</v>
      </c>
      <c r="AC2237" t="s">
        <v>51</v>
      </c>
      <c r="AD2237" t="s">
        <v>51</v>
      </c>
      <c r="AE2237" t="s">
        <v>51</v>
      </c>
      <c r="AF2237" t="s">
        <v>1807</v>
      </c>
    </row>
    <row r="2238" spans="1:32" ht="14.5" customHeight="1" x14ac:dyDescent="0.35">
      <c r="A2238" t="s">
        <v>73</v>
      </c>
      <c r="B2238" t="s">
        <v>74</v>
      </c>
      <c r="C2238" t="s">
        <v>47</v>
      </c>
      <c r="D2238">
        <v>3001568</v>
      </c>
      <c r="E2238">
        <v>3001571</v>
      </c>
      <c r="F2238" t="s">
        <v>1779</v>
      </c>
      <c r="G2238" t="s">
        <v>1779</v>
      </c>
      <c r="H2238" t="s">
        <v>54</v>
      </c>
      <c r="I2238">
        <v>6959641</v>
      </c>
      <c r="J2238" s="12">
        <v>46127</v>
      </c>
      <c r="K2238" s="12">
        <v>46127</v>
      </c>
      <c r="L2238" s="12">
        <v>46127</v>
      </c>
      <c r="M2238">
        <v>5</v>
      </c>
      <c r="N2238">
        <v>-17783669</v>
      </c>
      <c r="O2238">
        <v>-17783669</v>
      </c>
      <c r="P2238">
        <v>0</v>
      </c>
      <c r="Q2238">
        <v>-17783669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 t="s">
        <v>47</v>
      </c>
      <c r="AA2238" t="s">
        <v>501</v>
      </c>
      <c r="AB2238" t="s">
        <v>51</v>
      </c>
      <c r="AC2238" t="s">
        <v>51</v>
      </c>
      <c r="AD2238" t="s">
        <v>51</v>
      </c>
      <c r="AE2238" t="s">
        <v>51</v>
      </c>
      <c r="AF2238" t="s">
        <v>1808</v>
      </c>
    </row>
    <row r="2239" spans="1:32" ht="14.5" customHeight="1" x14ac:dyDescent="0.35">
      <c r="A2239" t="s">
        <v>73</v>
      </c>
      <c r="B2239" t="s">
        <v>74</v>
      </c>
      <c r="C2239" t="s">
        <v>47</v>
      </c>
      <c r="D2239">
        <v>3001568</v>
      </c>
      <c r="E2239">
        <v>3001571</v>
      </c>
      <c r="F2239" t="s">
        <v>1779</v>
      </c>
      <c r="G2239" t="s">
        <v>1779</v>
      </c>
      <c r="H2239" t="s">
        <v>54</v>
      </c>
      <c r="I2239">
        <v>6959642</v>
      </c>
      <c r="J2239" s="12">
        <v>46127</v>
      </c>
      <c r="K2239" s="12">
        <v>46127</v>
      </c>
      <c r="L2239" s="12">
        <v>46127</v>
      </c>
      <c r="M2239">
        <v>5</v>
      </c>
      <c r="N2239">
        <v>-13734000</v>
      </c>
      <c r="O2239">
        <v>-13734000</v>
      </c>
      <c r="P2239">
        <v>0</v>
      </c>
      <c r="Q2239">
        <v>-13734000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 t="s">
        <v>47</v>
      </c>
      <c r="AA2239" t="s">
        <v>501</v>
      </c>
      <c r="AB2239" t="s">
        <v>51</v>
      </c>
      <c r="AC2239" t="s">
        <v>51</v>
      </c>
      <c r="AD2239" t="s">
        <v>51</v>
      </c>
      <c r="AE2239" t="s">
        <v>51</v>
      </c>
      <c r="AF2239" t="s">
        <v>1806</v>
      </c>
    </row>
    <row r="2240" spans="1:32" ht="14.5" customHeight="1" x14ac:dyDescent="0.35">
      <c r="A2240" t="s">
        <v>73</v>
      </c>
      <c r="B2240" t="s">
        <v>74</v>
      </c>
      <c r="C2240" t="s">
        <v>47</v>
      </c>
      <c r="D2240">
        <v>3001568</v>
      </c>
      <c r="E2240">
        <v>3001571</v>
      </c>
      <c r="F2240" t="s">
        <v>1779</v>
      </c>
      <c r="G2240" t="s">
        <v>1779</v>
      </c>
      <c r="H2240" t="s">
        <v>54</v>
      </c>
      <c r="I2240">
        <v>6959643</v>
      </c>
      <c r="J2240" s="12">
        <v>46127</v>
      </c>
      <c r="K2240" s="12">
        <v>46127</v>
      </c>
      <c r="L2240" s="12">
        <v>46127</v>
      </c>
      <c r="M2240">
        <v>5</v>
      </c>
      <c r="N2240">
        <v>-18312000</v>
      </c>
      <c r="O2240">
        <v>-18312000</v>
      </c>
      <c r="P2240">
        <v>0</v>
      </c>
      <c r="Q2240">
        <v>-18312000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 t="s">
        <v>47</v>
      </c>
      <c r="AA2240" t="s">
        <v>501</v>
      </c>
      <c r="AB2240" t="s">
        <v>51</v>
      </c>
      <c r="AC2240" t="s">
        <v>51</v>
      </c>
      <c r="AD2240" t="s">
        <v>51</v>
      </c>
      <c r="AE2240" t="s">
        <v>51</v>
      </c>
      <c r="AF2240" t="s">
        <v>1806</v>
      </c>
    </row>
    <row r="2241" spans="1:32" ht="14.5" customHeight="1" x14ac:dyDescent="0.35">
      <c r="A2241" t="s">
        <v>73</v>
      </c>
      <c r="B2241" t="s">
        <v>74</v>
      </c>
      <c r="C2241" t="s">
        <v>47</v>
      </c>
      <c r="D2241">
        <v>3001568</v>
      </c>
      <c r="E2241">
        <v>3001569</v>
      </c>
      <c r="F2241" t="s">
        <v>1779</v>
      </c>
      <c r="G2241" t="s">
        <v>1779</v>
      </c>
      <c r="H2241" t="s">
        <v>54</v>
      </c>
      <c r="I2241">
        <v>6959868</v>
      </c>
      <c r="J2241" s="12">
        <v>46129</v>
      </c>
      <c r="K2241" s="12">
        <v>46129</v>
      </c>
      <c r="L2241" s="12">
        <v>46129</v>
      </c>
      <c r="M2241">
        <v>3</v>
      </c>
      <c r="N2241">
        <v>-136099144</v>
      </c>
      <c r="O2241">
        <v>-136099144</v>
      </c>
      <c r="P2241">
        <v>0</v>
      </c>
      <c r="Q2241">
        <v>-136099144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 t="s">
        <v>47</v>
      </c>
      <c r="AA2241" t="s">
        <v>501</v>
      </c>
      <c r="AB2241" t="s">
        <v>51</v>
      </c>
      <c r="AC2241" t="s">
        <v>51</v>
      </c>
      <c r="AD2241" t="s">
        <v>51</v>
      </c>
      <c r="AE2241" t="s">
        <v>51</v>
      </c>
      <c r="AF2241" t="s">
        <v>1809</v>
      </c>
    </row>
    <row r="2242" spans="1:32" ht="14.5" customHeight="1" x14ac:dyDescent="0.35">
      <c r="A2242" t="s">
        <v>73</v>
      </c>
      <c r="B2242" t="s">
        <v>74</v>
      </c>
      <c r="C2242" t="s">
        <v>47</v>
      </c>
      <c r="D2242">
        <v>3001568</v>
      </c>
      <c r="E2242">
        <v>3001569</v>
      </c>
      <c r="F2242" t="s">
        <v>1779</v>
      </c>
      <c r="G2242" t="s">
        <v>1779</v>
      </c>
      <c r="H2242" t="s">
        <v>54</v>
      </c>
      <c r="I2242">
        <v>6959869</v>
      </c>
      <c r="J2242" s="12">
        <v>46129</v>
      </c>
      <c r="K2242" s="12">
        <v>46129</v>
      </c>
      <c r="L2242" s="12">
        <v>46129</v>
      </c>
      <c r="M2242">
        <v>3</v>
      </c>
      <c r="N2242">
        <v>-106769827</v>
      </c>
      <c r="O2242">
        <v>-106769827</v>
      </c>
      <c r="P2242">
        <v>0</v>
      </c>
      <c r="Q2242">
        <v>-106769827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 t="s">
        <v>47</v>
      </c>
      <c r="AA2242" t="s">
        <v>501</v>
      </c>
      <c r="AB2242" t="s">
        <v>51</v>
      </c>
      <c r="AC2242" t="s">
        <v>51</v>
      </c>
      <c r="AD2242" t="s">
        <v>51</v>
      </c>
      <c r="AE2242" t="s">
        <v>51</v>
      </c>
      <c r="AF2242" t="s">
        <v>334</v>
      </c>
    </row>
    <row r="2243" spans="1:32" ht="14.5" customHeight="1" x14ac:dyDescent="0.35">
      <c r="A2243" t="s">
        <v>73</v>
      </c>
      <c r="B2243" t="s">
        <v>74</v>
      </c>
      <c r="C2243" t="s">
        <v>47</v>
      </c>
      <c r="D2243">
        <v>3001568</v>
      </c>
      <c r="E2243">
        <v>3001571</v>
      </c>
      <c r="F2243" t="s">
        <v>1779</v>
      </c>
      <c r="G2243" t="s">
        <v>1779</v>
      </c>
      <c r="H2243" t="s">
        <v>54</v>
      </c>
      <c r="I2243">
        <v>6959898</v>
      </c>
      <c r="J2243" s="12">
        <v>46129</v>
      </c>
      <c r="K2243" s="12">
        <v>46129</v>
      </c>
      <c r="L2243" s="12">
        <v>46129</v>
      </c>
      <c r="M2243">
        <v>3</v>
      </c>
      <c r="N2243">
        <v>-74161709</v>
      </c>
      <c r="O2243">
        <v>-74161709</v>
      </c>
      <c r="P2243">
        <v>0</v>
      </c>
      <c r="Q2243">
        <v>-74161709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 t="s">
        <v>47</v>
      </c>
      <c r="AA2243" t="s">
        <v>501</v>
      </c>
      <c r="AB2243" t="s">
        <v>51</v>
      </c>
      <c r="AC2243" t="s">
        <v>51</v>
      </c>
      <c r="AD2243" t="s">
        <v>51</v>
      </c>
      <c r="AE2243" t="s">
        <v>51</v>
      </c>
      <c r="AF2243" t="s">
        <v>782</v>
      </c>
    </row>
    <row r="2244" spans="1:32" ht="14.5" customHeight="1" x14ac:dyDescent="0.35">
      <c r="A2244" t="s">
        <v>73</v>
      </c>
      <c r="B2244" t="s">
        <v>74</v>
      </c>
      <c r="C2244" t="s">
        <v>47</v>
      </c>
      <c r="D2244">
        <v>3001568</v>
      </c>
      <c r="E2244">
        <v>3001569</v>
      </c>
      <c r="F2244" t="s">
        <v>1779</v>
      </c>
      <c r="G2244" t="s">
        <v>1779</v>
      </c>
      <c r="H2244" t="s">
        <v>54</v>
      </c>
      <c r="I2244">
        <v>6960026</v>
      </c>
      <c r="J2244" s="12">
        <v>46130</v>
      </c>
      <c r="K2244" s="12">
        <v>46130</v>
      </c>
      <c r="L2244" s="12">
        <v>46130</v>
      </c>
      <c r="M2244">
        <v>2</v>
      </c>
      <c r="N2244">
        <v>-483553</v>
      </c>
      <c r="O2244">
        <v>-483553</v>
      </c>
      <c r="P2244">
        <v>0</v>
      </c>
      <c r="Q2244">
        <v>-483553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 t="s">
        <v>47</v>
      </c>
      <c r="AA2244" t="s">
        <v>501</v>
      </c>
      <c r="AB2244" t="s">
        <v>51</v>
      </c>
      <c r="AC2244" t="s">
        <v>51</v>
      </c>
      <c r="AD2244" t="s">
        <v>51</v>
      </c>
      <c r="AE2244" t="s">
        <v>51</v>
      </c>
      <c r="AF2244" t="s">
        <v>1810</v>
      </c>
    </row>
    <row r="2245" spans="1:32" ht="14.5" customHeight="1" x14ac:dyDescent="0.35">
      <c r="A2245" t="s">
        <v>73</v>
      </c>
      <c r="B2245" t="s">
        <v>74</v>
      </c>
      <c r="C2245" t="s">
        <v>47</v>
      </c>
      <c r="D2245">
        <v>3001568</v>
      </c>
      <c r="E2245">
        <v>3001569</v>
      </c>
      <c r="F2245" t="s">
        <v>1779</v>
      </c>
      <c r="G2245" t="s">
        <v>1779</v>
      </c>
      <c r="H2245" t="s">
        <v>54</v>
      </c>
      <c r="I2245">
        <v>6960027</v>
      </c>
      <c r="J2245" s="12">
        <v>46130</v>
      </c>
      <c r="K2245" s="12">
        <v>46130</v>
      </c>
      <c r="L2245" s="12">
        <v>46130</v>
      </c>
      <c r="M2245">
        <v>2</v>
      </c>
      <c r="N2245">
        <v>-157075</v>
      </c>
      <c r="O2245">
        <v>-157075</v>
      </c>
      <c r="P2245">
        <v>0</v>
      </c>
      <c r="Q2245">
        <v>-157075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 t="s">
        <v>47</v>
      </c>
      <c r="AA2245" t="s">
        <v>501</v>
      </c>
      <c r="AB2245" t="s">
        <v>51</v>
      </c>
      <c r="AC2245" t="s">
        <v>51</v>
      </c>
      <c r="AD2245" t="s">
        <v>51</v>
      </c>
      <c r="AE2245" t="s">
        <v>51</v>
      </c>
      <c r="AF2245" t="s">
        <v>1811</v>
      </c>
    </row>
    <row r="2246" spans="1:32" ht="14.5" customHeight="1" x14ac:dyDescent="0.35">
      <c r="A2246" t="s">
        <v>73</v>
      </c>
      <c r="B2246" t="s">
        <v>74</v>
      </c>
      <c r="C2246" t="s">
        <v>47</v>
      </c>
      <c r="D2246">
        <v>3001568</v>
      </c>
      <c r="E2246">
        <v>3001569</v>
      </c>
      <c r="F2246" t="s">
        <v>1779</v>
      </c>
      <c r="G2246" t="s">
        <v>1779</v>
      </c>
      <c r="H2246" t="s">
        <v>54</v>
      </c>
      <c r="I2246">
        <v>6960028</v>
      </c>
      <c r="J2246" s="12">
        <v>46130</v>
      </c>
      <c r="K2246" s="12">
        <v>46130</v>
      </c>
      <c r="L2246" s="12">
        <v>46130</v>
      </c>
      <c r="M2246">
        <v>2</v>
      </c>
      <c r="N2246">
        <v>-244978</v>
      </c>
      <c r="O2246">
        <v>-244978</v>
      </c>
      <c r="P2246">
        <v>0</v>
      </c>
      <c r="Q2246">
        <v>-244978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 t="s">
        <v>47</v>
      </c>
      <c r="AA2246" t="s">
        <v>501</v>
      </c>
      <c r="AB2246" t="s">
        <v>51</v>
      </c>
      <c r="AC2246" t="s">
        <v>51</v>
      </c>
      <c r="AD2246" t="s">
        <v>51</v>
      </c>
      <c r="AE2246" t="s">
        <v>51</v>
      </c>
      <c r="AF2246" t="s">
        <v>1812</v>
      </c>
    </row>
    <row r="2247" spans="1:32" ht="14.5" customHeight="1" x14ac:dyDescent="0.35">
      <c r="A2247" t="s">
        <v>73</v>
      </c>
      <c r="B2247" t="s">
        <v>74</v>
      </c>
      <c r="C2247" t="s">
        <v>47</v>
      </c>
      <c r="D2247">
        <v>3001568</v>
      </c>
      <c r="E2247">
        <v>3001569</v>
      </c>
      <c r="F2247" t="s">
        <v>1779</v>
      </c>
      <c r="G2247" t="s">
        <v>1779</v>
      </c>
      <c r="H2247" t="s">
        <v>54</v>
      </c>
      <c r="I2247">
        <v>6960029</v>
      </c>
      <c r="J2247" s="12">
        <v>46130</v>
      </c>
      <c r="K2247" s="12">
        <v>46130</v>
      </c>
      <c r="L2247" s="12">
        <v>46130</v>
      </c>
      <c r="M2247">
        <v>2</v>
      </c>
      <c r="N2247">
        <v>-5069</v>
      </c>
      <c r="O2247">
        <v>-5069</v>
      </c>
      <c r="P2247">
        <v>0</v>
      </c>
      <c r="Q2247">
        <v>-5069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 t="s">
        <v>47</v>
      </c>
      <c r="AA2247" t="s">
        <v>501</v>
      </c>
      <c r="AB2247" t="s">
        <v>51</v>
      </c>
      <c r="AC2247" t="s">
        <v>51</v>
      </c>
      <c r="AD2247" t="s">
        <v>51</v>
      </c>
      <c r="AE2247" t="s">
        <v>51</v>
      </c>
      <c r="AF2247" t="s">
        <v>1813</v>
      </c>
    </row>
    <row r="2248" spans="1:32" ht="14.5" customHeight="1" x14ac:dyDescent="0.35">
      <c r="A2248" t="s">
        <v>73</v>
      </c>
      <c r="B2248" t="s">
        <v>74</v>
      </c>
      <c r="C2248" t="s">
        <v>47</v>
      </c>
      <c r="D2248">
        <v>3001568</v>
      </c>
      <c r="E2248">
        <v>3001571</v>
      </c>
      <c r="F2248" t="s">
        <v>1779</v>
      </c>
      <c r="G2248" t="s">
        <v>1779</v>
      </c>
      <c r="H2248" t="s">
        <v>54</v>
      </c>
      <c r="I2248">
        <v>6960254</v>
      </c>
      <c r="J2248" s="12">
        <v>46130</v>
      </c>
      <c r="K2248" s="12">
        <v>46130</v>
      </c>
      <c r="L2248" s="12">
        <v>46130</v>
      </c>
      <c r="M2248">
        <v>2</v>
      </c>
      <c r="N2248">
        <v>-3145271</v>
      </c>
      <c r="O2248">
        <v>-3145271</v>
      </c>
      <c r="P2248">
        <v>0</v>
      </c>
      <c r="Q2248">
        <v>-3145271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 t="s">
        <v>47</v>
      </c>
      <c r="AA2248" t="s">
        <v>501</v>
      </c>
      <c r="AB2248" t="s">
        <v>51</v>
      </c>
      <c r="AC2248" t="s">
        <v>51</v>
      </c>
      <c r="AD2248" t="s">
        <v>51</v>
      </c>
      <c r="AE2248" t="s">
        <v>51</v>
      </c>
      <c r="AF2248" t="s">
        <v>1814</v>
      </c>
    </row>
    <row r="2249" spans="1:32" ht="14.5" customHeight="1" x14ac:dyDescent="0.35">
      <c r="A2249" t="s">
        <v>73</v>
      </c>
      <c r="B2249" t="s">
        <v>74</v>
      </c>
      <c r="C2249" t="s">
        <v>47</v>
      </c>
      <c r="D2249">
        <v>3001568</v>
      </c>
      <c r="E2249">
        <v>3100887</v>
      </c>
      <c r="F2249" t="s">
        <v>1779</v>
      </c>
      <c r="G2249" t="s">
        <v>1780</v>
      </c>
      <c r="H2249" t="s">
        <v>54</v>
      </c>
      <c r="I2249">
        <v>6960277</v>
      </c>
      <c r="J2249" s="12">
        <v>46130</v>
      </c>
      <c r="K2249" s="12">
        <v>46130</v>
      </c>
      <c r="L2249" s="12">
        <v>46130</v>
      </c>
      <c r="M2249">
        <v>2</v>
      </c>
      <c r="N2249">
        <v>-149373</v>
      </c>
      <c r="O2249">
        <v>-149373</v>
      </c>
      <c r="P2249">
        <v>0</v>
      </c>
      <c r="Q2249">
        <v>-149373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 t="s">
        <v>47</v>
      </c>
      <c r="AA2249" t="s">
        <v>501</v>
      </c>
      <c r="AB2249" t="s">
        <v>51</v>
      </c>
      <c r="AC2249" t="s">
        <v>51</v>
      </c>
      <c r="AD2249" t="s">
        <v>51</v>
      </c>
      <c r="AE2249" t="s">
        <v>51</v>
      </c>
      <c r="AF2249" t="s">
        <v>1815</v>
      </c>
    </row>
    <row r="2250" spans="1:32" ht="14.5" customHeight="1" x14ac:dyDescent="0.35">
      <c r="A2250" t="s">
        <v>73</v>
      </c>
      <c r="B2250" t="s">
        <v>74</v>
      </c>
      <c r="C2250" t="s">
        <v>47</v>
      </c>
      <c r="D2250">
        <v>3001568</v>
      </c>
      <c r="E2250">
        <v>3001569</v>
      </c>
      <c r="F2250" t="s">
        <v>1779</v>
      </c>
      <c r="G2250" t="s">
        <v>1779</v>
      </c>
      <c r="H2250" t="s">
        <v>54</v>
      </c>
      <c r="I2250">
        <v>9920024</v>
      </c>
      <c r="J2250" s="12">
        <v>46110</v>
      </c>
      <c r="K2250" s="12">
        <v>46110</v>
      </c>
      <c r="L2250" s="12">
        <v>46141</v>
      </c>
      <c r="M2250">
        <v>-9</v>
      </c>
      <c r="N2250">
        <v>758882112</v>
      </c>
      <c r="O2250">
        <v>0</v>
      </c>
      <c r="P2250">
        <v>758882112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 t="s">
        <v>47</v>
      </c>
      <c r="AA2250" t="s">
        <v>501</v>
      </c>
      <c r="AB2250" t="s">
        <v>51</v>
      </c>
      <c r="AC2250" t="s">
        <v>51</v>
      </c>
      <c r="AD2250" t="s">
        <v>1816</v>
      </c>
      <c r="AE2250" t="s">
        <v>51</v>
      </c>
      <c r="AF2250" t="s">
        <v>195</v>
      </c>
    </row>
    <row r="2251" spans="1:32" ht="14.5" customHeight="1" x14ac:dyDescent="0.35">
      <c r="A2251" t="s">
        <v>73</v>
      </c>
      <c r="B2251" t="s">
        <v>74</v>
      </c>
      <c r="C2251" t="s">
        <v>47</v>
      </c>
      <c r="D2251">
        <v>3001568</v>
      </c>
      <c r="E2251">
        <v>3001569</v>
      </c>
      <c r="F2251" t="s">
        <v>1779</v>
      </c>
      <c r="G2251" t="s">
        <v>1779</v>
      </c>
      <c r="H2251" t="s">
        <v>54</v>
      </c>
      <c r="I2251">
        <v>9920025</v>
      </c>
      <c r="J2251" s="12">
        <v>46110</v>
      </c>
      <c r="K2251" s="12">
        <v>46110</v>
      </c>
      <c r="L2251" s="12">
        <v>46141</v>
      </c>
      <c r="M2251">
        <v>-9</v>
      </c>
      <c r="N2251">
        <v>13124622</v>
      </c>
      <c r="O2251">
        <v>0</v>
      </c>
      <c r="P2251">
        <v>13124622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 t="s">
        <v>47</v>
      </c>
      <c r="AA2251" t="s">
        <v>501</v>
      </c>
      <c r="AB2251" t="s">
        <v>51</v>
      </c>
      <c r="AC2251" t="s">
        <v>51</v>
      </c>
      <c r="AD2251" t="s">
        <v>1817</v>
      </c>
      <c r="AE2251" t="s">
        <v>51</v>
      </c>
      <c r="AF2251" t="s">
        <v>155</v>
      </c>
    </row>
    <row r="2252" spans="1:32" ht="14.5" customHeight="1" x14ac:dyDescent="0.35">
      <c r="A2252" t="s">
        <v>73</v>
      </c>
      <c r="B2252" t="s">
        <v>74</v>
      </c>
      <c r="C2252" t="s">
        <v>47</v>
      </c>
      <c r="D2252">
        <v>3001568</v>
      </c>
      <c r="E2252">
        <v>3001570</v>
      </c>
      <c r="F2252" t="s">
        <v>1779</v>
      </c>
      <c r="G2252" t="s">
        <v>1779</v>
      </c>
      <c r="H2252" t="s">
        <v>54</v>
      </c>
      <c r="I2252">
        <v>9920235</v>
      </c>
      <c r="J2252" s="12">
        <v>46111</v>
      </c>
      <c r="K2252" s="12">
        <v>46111</v>
      </c>
      <c r="L2252" s="12">
        <v>46142</v>
      </c>
      <c r="M2252">
        <v>-10</v>
      </c>
      <c r="N2252">
        <v>269792571</v>
      </c>
      <c r="O2252">
        <v>0</v>
      </c>
      <c r="P2252">
        <v>269792571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 t="s">
        <v>47</v>
      </c>
      <c r="AA2252" t="s">
        <v>501</v>
      </c>
      <c r="AB2252" t="s">
        <v>51</v>
      </c>
      <c r="AC2252" t="s">
        <v>51</v>
      </c>
      <c r="AD2252" t="s">
        <v>1818</v>
      </c>
      <c r="AE2252" t="s">
        <v>51</v>
      </c>
      <c r="AF2252" t="s">
        <v>62</v>
      </c>
    </row>
    <row r="2253" spans="1:32" ht="14.5" customHeight="1" x14ac:dyDescent="0.35">
      <c r="A2253" t="s">
        <v>73</v>
      </c>
      <c r="B2253" t="s">
        <v>74</v>
      </c>
      <c r="C2253" t="s">
        <v>47</v>
      </c>
      <c r="D2253">
        <v>3001568</v>
      </c>
      <c r="E2253">
        <v>3001571</v>
      </c>
      <c r="F2253" t="s">
        <v>1779</v>
      </c>
      <c r="G2253" t="s">
        <v>1779</v>
      </c>
      <c r="H2253" t="s">
        <v>54</v>
      </c>
      <c r="I2253">
        <v>9920391</v>
      </c>
      <c r="J2253" s="12">
        <v>46112</v>
      </c>
      <c r="K2253" s="12">
        <v>46112</v>
      </c>
      <c r="L2253" s="12">
        <v>46143</v>
      </c>
      <c r="M2253">
        <v>-11</v>
      </c>
      <c r="N2253">
        <v>57911644</v>
      </c>
      <c r="O2253">
        <v>0</v>
      </c>
      <c r="P2253">
        <v>57911644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 t="s">
        <v>47</v>
      </c>
      <c r="AA2253" t="s">
        <v>501</v>
      </c>
      <c r="AB2253" t="s">
        <v>51</v>
      </c>
      <c r="AC2253" t="s">
        <v>51</v>
      </c>
      <c r="AD2253" t="s">
        <v>1819</v>
      </c>
      <c r="AE2253" t="s">
        <v>51</v>
      </c>
      <c r="AF2253" t="s">
        <v>341</v>
      </c>
    </row>
    <row r="2254" spans="1:32" ht="14.5" customHeight="1" x14ac:dyDescent="0.35">
      <c r="A2254" t="s">
        <v>73</v>
      </c>
      <c r="B2254" t="s">
        <v>74</v>
      </c>
      <c r="C2254" t="s">
        <v>47</v>
      </c>
      <c r="D2254">
        <v>3001568</v>
      </c>
      <c r="E2254">
        <v>3001571</v>
      </c>
      <c r="F2254" t="s">
        <v>1779</v>
      </c>
      <c r="G2254" t="s">
        <v>1779</v>
      </c>
      <c r="H2254" t="s">
        <v>54</v>
      </c>
      <c r="I2254">
        <v>9920818</v>
      </c>
      <c r="J2254" s="12">
        <v>46112</v>
      </c>
      <c r="K2254" s="12">
        <v>46112</v>
      </c>
      <c r="L2254" s="12">
        <v>46143</v>
      </c>
      <c r="M2254">
        <v>-11</v>
      </c>
      <c r="N2254">
        <v>2690107</v>
      </c>
      <c r="O2254">
        <v>0</v>
      </c>
      <c r="P2254">
        <v>2690107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 t="s">
        <v>47</v>
      </c>
      <c r="AA2254" t="s">
        <v>501</v>
      </c>
      <c r="AB2254" t="s">
        <v>51</v>
      </c>
      <c r="AC2254" t="s">
        <v>51</v>
      </c>
      <c r="AD2254" t="s">
        <v>1820</v>
      </c>
      <c r="AE2254" t="s">
        <v>51</v>
      </c>
      <c r="AF2254" t="s">
        <v>468</v>
      </c>
    </row>
    <row r="2255" spans="1:32" ht="14.5" customHeight="1" x14ac:dyDescent="0.35">
      <c r="A2255" t="s">
        <v>73</v>
      </c>
      <c r="B2255" t="s">
        <v>74</v>
      </c>
      <c r="C2255" t="s">
        <v>47</v>
      </c>
      <c r="D2255">
        <v>3001568</v>
      </c>
      <c r="E2255">
        <v>3001571</v>
      </c>
      <c r="F2255" t="s">
        <v>1779</v>
      </c>
      <c r="G2255" t="s">
        <v>1779</v>
      </c>
      <c r="H2255" t="s">
        <v>54</v>
      </c>
      <c r="I2255">
        <v>9920822</v>
      </c>
      <c r="J2255" s="12">
        <v>46112</v>
      </c>
      <c r="K2255" s="12">
        <v>46112</v>
      </c>
      <c r="L2255" s="12">
        <v>46143</v>
      </c>
      <c r="M2255">
        <v>-11</v>
      </c>
      <c r="N2255">
        <v>295227204</v>
      </c>
      <c r="O2255">
        <v>0</v>
      </c>
      <c r="P2255">
        <v>295227204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 t="s">
        <v>47</v>
      </c>
      <c r="AA2255" t="s">
        <v>501</v>
      </c>
      <c r="AB2255" t="s">
        <v>51</v>
      </c>
      <c r="AC2255" t="s">
        <v>51</v>
      </c>
      <c r="AD2255" t="s">
        <v>1821</v>
      </c>
      <c r="AE2255" t="s">
        <v>51</v>
      </c>
      <c r="AF2255" t="s">
        <v>399</v>
      </c>
    </row>
    <row r="2256" spans="1:32" ht="14.5" customHeight="1" x14ac:dyDescent="0.35">
      <c r="A2256" t="s">
        <v>73</v>
      </c>
      <c r="B2256" t="s">
        <v>74</v>
      </c>
      <c r="C2256" t="s">
        <v>47</v>
      </c>
      <c r="D2256">
        <v>3001568</v>
      </c>
      <c r="E2256">
        <v>3001571</v>
      </c>
      <c r="F2256" t="s">
        <v>1779</v>
      </c>
      <c r="G2256" t="s">
        <v>1779</v>
      </c>
      <c r="H2256" t="s">
        <v>54</v>
      </c>
      <c r="I2256">
        <v>9920831</v>
      </c>
      <c r="J2256" s="12">
        <v>46112</v>
      </c>
      <c r="K2256" s="12">
        <v>46112</v>
      </c>
      <c r="L2256" s="12">
        <v>46143</v>
      </c>
      <c r="M2256">
        <v>-11</v>
      </c>
      <c r="N2256">
        <v>1010699</v>
      </c>
      <c r="O2256">
        <v>0</v>
      </c>
      <c r="P2256">
        <v>1010699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 t="s">
        <v>47</v>
      </c>
      <c r="AA2256" t="s">
        <v>501</v>
      </c>
      <c r="AB2256" t="s">
        <v>51</v>
      </c>
      <c r="AC2256" t="s">
        <v>51</v>
      </c>
      <c r="AD2256" t="s">
        <v>1822</v>
      </c>
      <c r="AE2256" t="s">
        <v>51</v>
      </c>
      <c r="AF2256" t="s">
        <v>77</v>
      </c>
    </row>
    <row r="2257" spans="1:32" ht="14.5" customHeight="1" x14ac:dyDescent="0.35">
      <c r="A2257" t="s">
        <v>73</v>
      </c>
      <c r="B2257" t="s">
        <v>74</v>
      </c>
      <c r="C2257" t="s">
        <v>47</v>
      </c>
      <c r="D2257">
        <v>3001568</v>
      </c>
      <c r="E2257">
        <v>3001569</v>
      </c>
      <c r="F2257" t="s">
        <v>1779</v>
      </c>
      <c r="G2257" t="s">
        <v>1779</v>
      </c>
      <c r="H2257" t="s">
        <v>54</v>
      </c>
      <c r="I2257">
        <v>9921511</v>
      </c>
      <c r="J2257" s="12">
        <v>46112</v>
      </c>
      <c r="K2257" s="12">
        <v>46112</v>
      </c>
      <c r="L2257" s="12">
        <v>46143</v>
      </c>
      <c r="M2257">
        <v>-11</v>
      </c>
      <c r="N2257">
        <v>750027921</v>
      </c>
      <c r="O2257">
        <v>0</v>
      </c>
      <c r="P2257">
        <v>750027921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 t="s">
        <v>47</v>
      </c>
      <c r="AA2257" t="s">
        <v>501</v>
      </c>
      <c r="AB2257" t="s">
        <v>51</v>
      </c>
      <c r="AC2257" t="s">
        <v>51</v>
      </c>
      <c r="AD2257" t="s">
        <v>1823</v>
      </c>
      <c r="AE2257" t="s">
        <v>51</v>
      </c>
      <c r="AF2257" t="s">
        <v>195</v>
      </c>
    </row>
    <row r="2258" spans="1:32" ht="14.5" customHeight="1" x14ac:dyDescent="0.35">
      <c r="A2258" t="s">
        <v>73</v>
      </c>
      <c r="B2258" t="s">
        <v>74</v>
      </c>
      <c r="C2258" t="s">
        <v>47</v>
      </c>
      <c r="D2258">
        <v>3001568</v>
      </c>
      <c r="E2258">
        <v>3100887</v>
      </c>
      <c r="F2258" t="s">
        <v>1779</v>
      </c>
      <c r="G2258" t="s">
        <v>1780</v>
      </c>
      <c r="H2258" t="s">
        <v>54</v>
      </c>
      <c r="I2258">
        <v>9921518</v>
      </c>
      <c r="J2258" s="12">
        <v>46112</v>
      </c>
      <c r="K2258" s="12">
        <v>46112</v>
      </c>
      <c r="L2258" s="12">
        <v>46143</v>
      </c>
      <c r="M2258">
        <v>-11</v>
      </c>
      <c r="N2258">
        <v>234189787</v>
      </c>
      <c r="O2258">
        <v>0</v>
      </c>
      <c r="P2258">
        <v>234189787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 t="s">
        <v>47</v>
      </c>
      <c r="AA2258" t="s">
        <v>501</v>
      </c>
      <c r="AB2258" t="s">
        <v>51</v>
      </c>
      <c r="AC2258" t="s">
        <v>51</v>
      </c>
      <c r="AD2258" t="s">
        <v>1824</v>
      </c>
      <c r="AE2258" t="s">
        <v>51</v>
      </c>
      <c r="AF2258" t="s">
        <v>1825</v>
      </c>
    </row>
    <row r="2259" spans="1:32" ht="14.5" customHeight="1" x14ac:dyDescent="0.35">
      <c r="A2259" t="s">
        <v>73</v>
      </c>
      <c r="B2259" t="s">
        <v>74</v>
      </c>
      <c r="C2259" t="s">
        <v>47</v>
      </c>
      <c r="D2259">
        <v>3001568</v>
      </c>
      <c r="E2259">
        <v>3001570</v>
      </c>
      <c r="F2259" t="s">
        <v>1779</v>
      </c>
      <c r="G2259" t="s">
        <v>1779</v>
      </c>
      <c r="H2259" t="s">
        <v>54</v>
      </c>
      <c r="I2259">
        <v>9921568</v>
      </c>
      <c r="J2259" s="12">
        <v>46114</v>
      </c>
      <c r="K2259" s="12">
        <v>46114</v>
      </c>
      <c r="L2259" s="12">
        <v>46145</v>
      </c>
      <c r="M2259">
        <v>-13</v>
      </c>
      <c r="N2259">
        <v>701218</v>
      </c>
      <c r="O2259">
        <v>0</v>
      </c>
      <c r="P2259">
        <v>701218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 t="s">
        <v>47</v>
      </c>
      <c r="AA2259" t="s">
        <v>501</v>
      </c>
      <c r="AB2259" t="s">
        <v>51</v>
      </c>
      <c r="AC2259" t="s">
        <v>51</v>
      </c>
      <c r="AD2259" t="s">
        <v>1826</v>
      </c>
      <c r="AE2259" t="s">
        <v>51</v>
      </c>
      <c r="AF2259" t="s">
        <v>1026</v>
      </c>
    </row>
    <row r="2260" spans="1:32" ht="14.5" customHeight="1" x14ac:dyDescent="0.35">
      <c r="A2260" t="s">
        <v>73</v>
      </c>
      <c r="B2260" t="s">
        <v>74</v>
      </c>
      <c r="C2260" t="s">
        <v>47</v>
      </c>
      <c r="D2260">
        <v>3001568</v>
      </c>
      <c r="E2260">
        <v>3001571</v>
      </c>
      <c r="F2260" t="s">
        <v>1779</v>
      </c>
      <c r="G2260" t="s">
        <v>1779</v>
      </c>
      <c r="H2260" t="s">
        <v>140</v>
      </c>
      <c r="I2260">
        <v>9922408</v>
      </c>
      <c r="J2260" s="12">
        <v>46118</v>
      </c>
      <c r="K2260" s="12">
        <v>46118</v>
      </c>
      <c r="L2260" s="12">
        <v>46148</v>
      </c>
      <c r="M2260">
        <v>-16</v>
      </c>
      <c r="N2260">
        <v>236476</v>
      </c>
      <c r="O2260">
        <v>0</v>
      </c>
      <c r="P2260">
        <v>236476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 t="s">
        <v>47</v>
      </c>
      <c r="AA2260" t="s">
        <v>501</v>
      </c>
      <c r="AB2260" t="s">
        <v>51</v>
      </c>
      <c r="AC2260" t="s">
        <v>51</v>
      </c>
      <c r="AD2260" t="s">
        <v>51</v>
      </c>
      <c r="AE2260" t="s">
        <v>1827</v>
      </c>
      <c r="AF2260" t="s">
        <v>287</v>
      </c>
    </row>
    <row r="2261" spans="1:32" ht="14.5" customHeight="1" x14ac:dyDescent="0.35">
      <c r="A2261" t="s">
        <v>73</v>
      </c>
      <c r="B2261" t="s">
        <v>74</v>
      </c>
      <c r="C2261" t="s">
        <v>47</v>
      </c>
      <c r="D2261">
        <v>3001568</v>
      </c>
      <c r="E2261">
        <v>3001570</v>
      </c>
      <c r="F2261" t="s">
        <v>1779</v>
      </c>
      <c r="G2261" t="s">
        <v>1779</v>
      </c>
      <c r="H2261" t="s">
        <v>54</v>
      </c>
      <c r="I2261">
        <v>9923166</v>
      </c>
      <c r="J2261" s="12">
        <v>46120</v>
      </c>
      <c r="K2261" s="12">
        <v>46120</v>
      </c>
      <c r="L2261" s="12">
        <v>46151</v>
      </c>
      <c r="M2261">
        <v>-19</v>
      </c>
      <c r="N2261">
        <v>344758503</v>
      </c>
      <c r="O2261">
        <v>0</v>
      </c>
      <c r="P2261">
        <v>344758503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 t="s">
        <v>47</v>
      </c>
      <c r="AA2261" t="s">
        <v>501</v>
      </c>
      <c r="AB2261" t="s">
        <v>51</v>
      </c>
      <c r="AC2261" t="s">
        <v>51</v>
      </c>
      <c r="AD2261" t="s">
        <v>51</v>
      </c>
      <c r="AE2261" t="s">
        <v>1828</v>
      </c>
      <c r="AF2261" t="s">
        <v>1434</v>
      </c>
    </row>
    <row r="2262" spans="1:32" ht="14.5" customHeight="1" x14ac:dyDescent="0.35">
      <c r="A2262" t="s">
        <v>73</v>
      </c>
      <c r="B2262" t="s">
        <v>74</v>
      </c>
      <c r="C2262" t="s">
        <v>47</v>
      </c>
      <c r="D2262">
        <v>3001568</v>
      </c>
      <c r="E2262">
        <v>3001571</v>
      </c>
      <c r="F2262" t="s">
        <v>1779</v>
      </c>
      <c r="G2262" t="s">
        <v>1779</v>
      </c>
      <c r="H2262" t="s">
        <v>54</v>
      </c>
      <c r="I2262">
        <v>9924949</v>
      </c>
      <c r="J2262" s="12">
        <v>46125</v>
      </c>
      <c r="K2262" s="12">
        <v>46125</v>
      </c>
      <c r="L2262" s="12">
        <v>46156</v>
      </c>
      <c r="M2262">
        <v>-24</v>
      </c>
      <c r="N2262">
        <v>330506709</v>
      </c>
      <c r="O2262">
        <v>0</v>
      </c>
      <c r="P2262">
        <v>330506709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 t="s">
        <v>47</v>
      </c>
      <c r="AA2262" t="s">
        <v>501</v>
      </c>
      <c r="AB2262" t="s">
        <v>51</v>
      </c>
      <c r="AC2262" t="s">
        <v>51</v>
      </c>
      <c r="AD2262" t="s">
        <v>51</v>
      </c>
      <c r="AE2262" t="s">
        <v>1829</v>
      </c>
      <c r="AF2262" t="s">
        <v>1830</v>
      </c>
    </row>
    <row r="2263" spans="1:32" ht="14.5" customHeight="1" x14ac:dyDescent="0.35">
      <c r="A2263" t="s">
        <v>73</v>
      </c>
      <c r="B2263" t="s">
        <v>74</v>
      </c>
      <c r="C2263" t="s">
        <v>47</v>
      </c>
      <c r="D2263">
        <v>3001568</v>
      </c>
      <c r="E2263">
        <v>3001571</v>
      </c>
      <c r="F2263" t="s">
        <v>1779</v>
      </c>
      <c r="G2263" t="s">
        <v>1779</v>
      </c>
      <c r="H2263" t="s">
        <v>54</v>
      </c>
      <c r="I2263">
        <v>9924972</v>
      </c>
      <c r="J2263" s="12">
        <v>46125</v>
      </c>
      <c r="K2263" s="12">
        <v>46125</v>
      </c>
      <c r="L2263" s="12">
        <v>46156</v>
      </c>
      <c r="M2263">
        <v>-24</v>
      </c>
      <c r="N2263">
        <v>329119</v>
      </c>
      <c r="O2263">
        <v>0</v>
      </c>
      <c r="P2263">
        <v>329119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 t="s">
        <v>47</v>
      </c>
      <c r="AA2263" t="s">
        <v>501</v>
      </c>
      <c r="AB2263" t="s">
        <v>51</v>
      </c>
      <c r="AC2263" t="s">
        <v>51</v>
      </c>
      <c r="AD2263" t="s">
        <v>51</v>
      </c>
      <c r="AE2263" t="s">
        <v>1204</v>
      </c>
      <c r="AF2263" t="s">
        <v>163</v>
      </c>
    </row>
    <row r="2264" spans="1:32" ht="14.5" customHeight="1" x14ac:dyDescent="0.35">
      <c r="A2264" t="s">
        <v>73</v>
      </c>
      <c r="B2264" t="s">
        <v>74</v>
      </c>
      <c r="C2264" t="s">
        <v>47</v>
      </c>
      <c r="D2264">
        <v>3001568</v>
      </c>
      <c r="E2264">
        <v>3100887</v>
      </c>
      <c r="F2264" t="s">
        <v>1779</v>
      </c>
      <c r="G2264" t="s">
        <v>1780</v>
      </c>
      <c r="H2264" t="s">
        <v>54</v>
      </c>
      <c r="I2264">
        <v>9925002</v>
      </c>
      <c r="J2264" s="12">
        <v>46126</v>
      </c>
      <c r="K2264" s="12">
        <v>46126</v>
      </c>
      <c r="L2264" s="12">
        <v>46157</v>
      </c>
      <c r="M2264">
        <v>-25</v>
      </c>
      <c r="N2264">
        <v>217140729</v>
      </c>
      <c r="O2264">
        <v>0</v>
      </c>
      <c r="P2264">
        <v>217140729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 t="s">
        <v>47</v>
      </c>
      <c r="AA2264" t="s">
        <v>501</v>
      </c>
      <c r="AB2264" t="s">
        <v>51</v>
      </c>
      <c r="AC2264" t="s">
        <v>51</v>
      </c>
      <c r="AD2264" t="s">
        <v>51</v>
      </c>
      <c r="AE2264" t="s">
        <v>1831</v>
      </c>
      <c r="AF2264" t="s">
        <v>334</v>
      </c>
    </row>
    <row r="2265" spans="1:32" ht="14.5" customHeight="1" x14ac:dyDescent="0.35">
      <c r="A2265" t="s">
        <v>73</v>
      </c>
      <c r="B2265" t="s">
        <v>74</v>
      </c>
      <c r="C2265" t="s">
        <v>47</v>
      </c>
      <c r="D2265">
        <v>3001568</v>
      </c>
      <c r="E2265">
        <v>3100887</v>
      </c>
      <c r="F2265" t="s">
        <v>1779</v>
      </c>
      <c r="G2265" t="s">
        <v>1780</v>
      </c>
      <c r="H2265" t="s">
        <v>54</v>
      </c>
      <c r="I2265">
        <v>9925003</v>
      </c>
      <c r="J2265" s="12">
        <v>46126</v>
      </c>
      <c r="K2265" s="12">
        <v>46126</v>
      </c>
      <c r="L2265" s="12">
        <v>46157</v>
      </c>
      <c r="M2265">
        <v>-25</v>
      </c>
      <c r="N2265">
        <v>329119</v>
      </c>
      <c r="O2265">
        <v>0</v>
      </c>
      <c r="P2265">
        <v>329119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 t="s">
        <v>47</v>
      </c>
      <c r="AA2265" t="s">
        <v>501</v>
      </c>
      <c r="AB2265" t="s">
        <v>51</v>
      </c>
      <c r="AC2265" t="s">
        <v>51</v>
      </c>
      <c r="AD2265" t="s">
        <v>51</v>
      </c>
      <c r="AE2265" t="s">
        <v>1204</v>
      </c>
      <c r="AF2265" t="s">
        <v>163</v>
      </c>
    </row>
    <row r="2266" spans="1:32" ht="14.5" customHeight="1" x14ac:dyDescent="0.35">
      <c r="A2266" t="s">
        <v>73</v>
      </c>
      <c r="B2266" t="s">
        <v>74</v>
      </c>
      <c r="C2266" t="s">
        <v>47</v>
      </c>
      <c r="D2266">
        <v>3001568</v>
      </c>
      <c r="E2266">
        <v>3001570</v>
      </c>
      <c r="F2266" t="s">
        <v>1779</v>
      </c>
      <c r="G2266" t="s">
        <v>1779</v>
      </c>
      <c r="H2266" t="s">
        <v>54</v>
      </c>
      <c r="I2266">
        <v>9925004</v>
      </c>
      <c r="J2266" s="12">
        <v>46126</v>
      </c>
      <c r="K2266" s="12">
        <v>46126</v>
      </c>
      <c r="L2266" s="12">
        <v>46157</v>
      </c>
      <c r="M2266">
        <v>-25</v>
      </c>
      <c r="N2266">
        <v>186065249</v>
      </c>
      <c r="O2266">
        <v>0</v>
      </c>
      <c r="P2266">
        <v>186065249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 t="s">
        <v>47</v>
      </c>
      <c r="AA2266" t="s">
        <v>501</v>
      </c>
      <c r="AB2266" t="s">
        <v>51</v>
      </c>
      <c r="AC2266" t="s">
        <v>51</v>
      </c>
      <c r="AD2266" t="s">
        <v>51</v>
      </c>
      <c r="AE2266" t="s">
        <v>1832</v>
      </c>
      <c r="AF2266" t="s">
        <v>1256</v>
      </c>
    </row>
    <row r="2267" spans="1:32" ht="14.5" customHeight="1" x14ac:dyDescent="0.35">
      <c r="A2267" t="s">
        <v>73</v>
      </c>
      <c r="B2267" t="s">
        <v>74</v>
      </c>
      <c r="C2267" t="s">
        <v>47</v>
      </c>
      <c r="D2267">
        <v>3001568</v>
      </c>
      <c r="E2267">
        <v>3001570</v>
      </c>
      <c r="F2267" t="s">
        <v>1779</v>
      </c>
      <c r="G2267" t="s">
        <v>1779</v>
      </c>
      <c r="H2267" t="s">
        <v>54</v>
      </c>
      <c r="I2267">
        <v>9925005</v>
      </c>
      <c r="J2267" s="12">
        <v>46126</v>
      </c>
      <c r="K2267" s="12">
        <v>46126</v>
      </c>
      <c r="L2267" s="12">
        <v>46157</v>
      </c>
      <c r="M2267">
        <v>-25</v>
      </c>
      <c r="N2267">
        <v>987358</v>
      </c>
      <c r="O2267">
        <v>0</v>
      </c>
      <c r="P2267">
        <v>987358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 t="s">
        <v>47</v>
      </c>
      <c r="AA2267" t="s">
        <v>501</v>
      </c>
      <c r="AB2267" t="s">
        <v>51</v>
      </c>
      <c r="AC2267" t="s">
        <v>51</v>
      </c>
      <c r="AD2267" t="s">
        <v>51</v>
      </c>
      <c r="AE2267" t="s">
        <v>848</v>
      </c>
      <c r="AF2267" t="s">
        <v>163</v>
      </c>
    </row>
    <row r="2268" spans="1:32" ht="14.5" customHeight="1" x14ac:dyDescent="0.35">
      <c r="A2268" t="s">
        <v>73</v>
      </c>
      <c r="B2268" t="s">
        <v>74</v>
      </c>
      <c r="C2268" t="s">
        <v>47</v>
      </c>
      <c r="D2268">
        <v>3001568</v>
      </c>
      <c r="E2268">
        <v>3001569</v>
      </c>
      <c r="F2268" t="s">
        <v>1779</v>
      </c>
      <c r="G2268" t="s">
        <v>1779</v>
      </c>
      <c r="H2268" t="s">
        <v>54</v>
      </c>
      <c r="I2268">
        <v>9925026</v>
      </c>
      <c r="J2268" s="12">
        <v>46126</v>
      </c>
      <c r="K2268" s="12">
        <v>46126</v>
      </c>
      <c r="L2268" s="12">
        <v>46157</v>
      </c>
      <c r="M2268">
        <v>-25</v>
      </c>
      <c r="N2268">
        <v>866745833</v>
      </c>
      <c r="O2268">
        <v>0</v>
      </c>
      <c r="P2268">
        <v>866745833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 t="s">
        <v>47</v>
      </c>
      <c r="AA2268" t="s">
        <v>501</v>
      </c>
      <c r="AB2268" t="s">
        <v>51</v>
      </c>
      <c r="AC2268" t="s">
        <v>51</v>
      </c>
      <c r="AD2268" t="s">
        <v>51</v>
      </c>
      <c r="AE2268" t="s">
        <v>1833</v>
      </c>
      <c r="AF2268" t="s">
        <v>62</v>
      </c>
    </row>
    <row r="2269" spans="1:32" ht="14.5" customHeight="1" x14ac:dyDescent="0.35">
      <c r="A2269" t="s">
        <v>73</v>
      </c>
      <c r="B2269" t="s">
        <v>74</v>
      </c>
      <c r="C2269" t="s">
        <v>47</v>
      </c>
      <c r="D2269">
        <v>3001568</v>
      </c>
      <c r="E2269">
        <v>3001569</v>
      </c>
      <c r="F2269" t="s">
        <v>1779</v>
      </c>
      <c r="G2269" t="s">
        <v>1779</v>
      </c>
      <c r="H2269" t="s">
        <v>54</v>
      </c>
      <c r="I2269">
        <v>9925031</v>
      </c>
      <c r="J2269" s="12">
        <v>46126</v>
      </c>
      <c r="K2269" s="12">
        <v>46126</v>
      </c>
      <c r="L2269" s="12">
        <v>46157</v>
      </c>
      <c r="M2269">
        <v>-25</v>
      </c>
      <c r="N2269">
        <v>114448956</v>
      </c>
      <c r="O2269">
        <v>0</v>
      </c>
      <c r="P2269">
        <v>114448956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 t="s">
        <v>47</v>
      </c>
      <c r="AA2269" t="s">
        <v>501</v>
      </c>
      <c r="AB2269" t="s">
        <v>51</v>
      </c>
      <c r="AC2269" t="s">
        <v>51</v>
      </c>
      <c r="AD2269" t="s">
        <v>51</v>
      </c>
      <c r="AE2269" t="s">
        <v>1834</v>
      </c>
      <c r="AF2269" t="s">
        <v>183</v>
      </c>
    </row>
    <row r="2270" spans="1:32" ht="14.5" customHeight="1" x14ac:dyDescent="0.35">
      <c r="A2270" t="s">
        <v>73</v>
      </c>
      <c r="B2270" t="s">
        <v>74</v>
      </c>
      <c r="C2270" t="s">
        <v>47</v>
      </c>
      <c r="D2270">
        <v>3001568</v>
      </c>
      <c r="E2270">
        <v>3001569</v>
      </c>
      <c r="F2270" t="s">
        <v>1779</v>
      </c>
      <c r="G2270" t="s">
        <v>1779</v>
      </c>
      <c r="H2270" t="s">
        <v>54</v>
      </c>
      <c r="I2270">
        <v>9925039</v>
      </c>
      <c r="J2270" s="12">
        <v>46126</v>
      </c>
      <c r="K2270" s="12">
        <v>46126</v>
      </c>
      <c r="L2270" s="12">
        <v>46157</v>
      </c>
      <c r="M2270">
        <v>-25</v>
      </c>
      <c r="N2270">
        <v>2527355</v>
      </c>
      <c r="O2270">
        <v>0</v>
      </c>
      <c r="P2270">
        <v>2527355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 t="s">
        <v>47</v>
      </c>
      <c r="AA2270" t="s">
        <v>501</v>
      </c>
      <c r="AB2270" t="s">
        <v>51</v>
      </c>
      <c r="AC2270" t="s">
        <v>51</v>
      </c>
      <c r="AD2270" t="s">
        <v>51</v>
      </c>
      <c r="AE2270" t="s">
        <v>1835</v>
      </c>
      <c r="AF2270" t="s">
        <v>163</v>
      </c>
    </row>
    <row r="2271" spans="1:32" ht="14.5" customHeight="1" x14ac:dyDescent="0.35">
      <c r="A2271" t="s">
        <v>73</v>
      </c>
      <c r="B2271" t="s">
        <v>74</v>
      </c>
      <c r="C2271" t="s">
        <v>47</v>
      </c>
      <c r="D2271">
        <v>3001568</v>
      </c>
      <c r="E2271">
        <v>3001569</v>
      </c>
      <c r="F2271" t="s">
        <v>1779</v>
      </c>
      <c r="G2271" t="s">
        <v>1779</v>
      </c>
      <c r="H2271" t="s">
        <v>54</v>
      </c>
      <c r="I2271">
        <v>9925561</v>
      </c>
      <c r="J2271" s="12">
        <v>46126</v>
      </c>
      <c r="K2271" s="12">
        <v>46126</v>
      </c>
      <c r="L2271" s="12">
        <v>46157</v>
      </c>
      <c r="M2271">
        <v>-25</v>
      </c>
      <c r="N2271">
        <v>168827111</v>
      </c>
      <c r="O2271">
        <v>0</v>
      </c>
      <c r="P2271">
        <v>168827111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 t="s">
        <v>47</v>
      </c>
      <c r="AA2271" t="s">
        <v>501</v>
      </c>
      <c r="AB2271" t="s">
        <v>51</v>
      </c>
      <c r="AC2271" t="s">
        <v>51</v>
      </c>
      <c r="AD2271" t="s">
        <v>51</v>
      </c>
      <c r="AE2271" t="s">
        <v>1836</v>
      </c>
      <c r="AF2271" t="s">
        <v>781</v>
      </c>
    </row>
    <row r="2272" spans="1:32" ht="14.5" customHeight="1" x14ac:dyDescent="0.35">
      <c r="A2272" t="s">
        <v>73</v>
      </c>
      <c r="B2272" t="s">
        <v>74</v>
      </c>
      <c r="C2272" t="s">
        <v>47</v>
      </c>
      <c r="D2272">
        <v>3001568</v>
      </c>
      <c r="E2272">
        <v>3001569</v>
      </c>
      <c r="F2272" t="s">
        <v>1779</v>
      </c>
      <c r="G2272" t="s">
        <v>1779</v>
      </c>
      <c r="H2272" t="s">
        <v>140</v>
      </c>
      <c r="I2272">
        <v>9926627</v>
      </c>
      <c r="J2272" s="12">
        <v>46129</v>
      </c>
      <c r="K2272" s="12">
        <v>46129</v>
      </c>
      <c r="L2272" s="12">
        <v>46159</v>
      </c>
      <c r="M2272">
        <v>-27</v>
      </c>
      <c r="N2272">
        <v>6617380</v>
      </c>
      <c r="O2272">
        <v>0</v>
      </c>
      <c r="P2272">
        <v>6617380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 t="s">
        <v>47</v>
      </c>
      <c r="AA2272" t="s">
        <v>501</v>
      </c>
      <c r="AB2272" t="s">
        <v>51</v>
      </c>
      <c r="AC2272" t="s">
        <v>51</v>
      </c>
      <c r="AD2272" t="s">
        <v>51</v>
      </c>
      <c r="AE2272" t="s">
        <v>1837</v>
      </c>
      <c r="AF2272" t="s">
        <v>56</v>
      </c>
    </row>
    <row r="2273" spans="1:32" ht="14.5" customHeight="1" x14ac:dyDescent="0.35">
      <c r="A2273" t="s">
        <v>73</v>
      </c>
      <c r="B2273" t="s">
        <v>74</v>
      </c>
      <c r="C2273" t="s">
        <v>47</v>
      </c>
      <c r="D2273">
        <v>3001568</v>
      </c>
      <c r="E2273">
        <v>3001571</v>
      </c>
      <c r="F2273" t="s">
        <v>1779</v>
      </c>
      <c r="G2273" t="s">
        <v>1779</v>
      </c>
      <c r="H2273" t="s">
        <v>140</v>
      </c>
      <c r="I2273">
        <v>9926635</v>
      </c>
      <c r="J2273" s="12">
        <v>46129</v>
      </c>
      <c r="K2273" s="12">
        <v>46129</v>
      </c>
      <c r="L2273" s="12">
        <v>46159</v>
      </c>
      <c r="M2273">
        <v>-27</v>
      </c>
      <c r="N2273">
        <v>109405</v>
      </c>
      <c r="O2273">
        <v>0</v>
      </c>
      <c r="P2273">
        <v>109405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 t="s">
        <v>47</v>
      </c>
      <c r="AA2273" t="s">
        <v>501</v>
      </c>
      <c r="AB2273" t="s">
        <v>51</v>
      </c>
      <c r="AC2273" t="s">
        <v>51</v>
      </c>
      <c r="AD2273" t="s">
        <v>51</v>
      </c>
      <c r="AE2273" t="s">
        <v>1838</v>
      </c>
      <c r="AF2273" t="s">
        <v>330</v>
      </c>
    </row>
    <row r="2274" spans="1:32" ht="14.5" customHeight="1" x14ac:dyDescent="0.35">
      <c r="A2274" t="s">
        <v>73</v>
      </c>
      <c r="B2274" t="s">
        <v>74</v>
      </c>
      <c r="C2274" t="s">
        <v>47</v>
      </c>
      <c r="D2274">
        <v>3001568</v>
      </c>
      <c r="E2274">
        <v>3001568</v>
      </c>
      <c r="F2274" t="s">
        <v>1779</v>
      </c>
      <c r="G2274" t="s">
        <v>1779</v>
      </c>
      <c r="H2274" t="s">
        <v>761</v>
      </c>
      <c r="I2274">
        <v>9103019329</v>
      </c>
      <c r="J2274" s="12">
        <v>46106</v>
      </c>
      <c r="K2274" s="12">
        <v>46106</v>
      </c>
      <c r="L2274" s="12">
        <v>46106</v>
      </c>
      <c r="M2274">
        <v>26</v>
      </c>
      <c r="N2274">
        <v>2530006</v>
      </c>
      <c r="O2274">
        <v>0</v>
      </c>
      <c r="P2274">
        <v>0</v>
      </c>
      <c r="Q2274">
        <v>2530006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 t="s">
        <v>47</v>
      </c>
      <c r="AA2274" t="s">
        <v>50</v>
      </c>
      <c r="AB2274" t="s">
        <v>51</v>
      </c>
      <c r="AC2274" t="s">
        <v>51</v>
      </c>
      <c r="AD2274" t="s">
        <v>51</v>
      </c>
      <c r="AE2274" t="s">
        <v>51</v>
      </c>
      <c r="AF2274" t="s">
        <v>921</v>
      </c>
    </row>
    <row r="2275" spans="1:32" ht="14.5" customHeight="1" x14ac:dyDescent="0.35">
      <c r="A2275" t="s">
        <v>84</v>
      </c>
      <c r="B2275" t="s">
        <v>85</v>
      </c>
      <c r="C2275" t="s">
        <v>47</v>
      </c>
      <c r="D2275">
        <v>3100048</v>
      </c>
      <c r="E2275">
        <v>3100048</v>
      </c>
      <c r="F2275" t="s">
        <v>1839</v>
      </c>
      <c r="G2275" t="s">
        <v>1839</v>
      </c>
      <c r="H2275" t="s">
        <v>49</v>
      </c>
      <c r="I2275">
        <v>9102033141</v>
      </c>
      <c r="J2275" s="12">
        <v>45257</v>
      </c>
      <c r="K2275" s="12">
        <v>45257</v>
      </c>
      <c r="L2275" s="12">
        <v>45257</v>
      </c>
      <c r="M2275">
        <v>875</v>
      </c>
      <c r="N2275">
        <v>-111043</v>
      </c>
      <c r="O2275">
        <v>-111043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-111043</v>
      </c>
      <c r="Y2275" t="s">
        <v>548</v>
      </c>
      <c r="AA2275"/>
      <c r="AB2275" t="s">
        <v>51</v>
      </c>
      <c r="AC2275" t="s">
        <v>51</v>
      </c>
      <c r="AD2275" t="s">
        <v>51</v>
      </c>
      <c r="AE2275" t="s">
        <v>51</v>
      </c>
      <c r="AF2275" t="s">
        <v>1840</v>
      </c>
    </row>
    <row r="2276" spans="1:32" ht="14.5" customHeight="1" x14ac:dyDescent="0.35">
      <c r="A2276" t="s">
        <v>84</v>
      </c>
      <c r="B2276" t="s">
        <v>1230</v>
      </c>
      <c r="C2276" t="s">
        <v>47</v>
      </c>
      <c r="D2276">
        <v>3100056</v>
      </c>
      <c r="E2276">
        <v>3100066</v>
      </c>
      <c r="F2276" t="s">
        <v>12</v>
      </c>
      <c r="G2276" t="s">
        <v>12</v>
      </c>
      <c r="H2276" t="s">
        <v>54</v>
      </c>
      <c r="I2276">
        <v>6958896</v>
      </c>
      <c r="J2276" s="12">
        <v>46125</v>
      </c>
      <c r="K2276" s="12">
        <v>46125</v>
      </c>
      <c r="L2276" s="12">
        <v>46125</v>
      </c>
      <c r="M2276">
        <v>7</v>
      </c>
      <c r="N2276">
        <v>-282555917</v>
      </c>
      <c r="O2276">
        <v>-282555917</v>
      </c>
      <c r="P2276">
        <v>0</v>
      </c>
      <c r="Q2276">
        <v>-282555917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 t="s">
        <v>47</v>
      </c>
      <c r="AA2276" t="s">
        <v>501</v>
      </c>
      <c r="AB2276" t="s">
        <v>51</v>
      </c>
      <c r="AC2276" t="s">
        <v>51</v>
      </c>
      <c r="AD2276" t="s">
        <v>51</v>
      </c>
      <c r="AE2276" t="s">
        <v>51</v>
      </c>
      <c r="AF2276" t="s">
        <v>325</v>
      </c>
    </row>
    <row r="2277" spans="1:32" ht="14.5" customHeight="1" x14ac:dyDescent="0.35">
      <c r="A2277" t="s">
        <v>84</v>
      </c>
      <c r="B2277" t="s">
        <v>1230</v>
      </c>
      <c r="C2277" t="s">
        <v>47</v>
      </c>
      <c r="D2277">
        <v>3100056</v>
      </c>
      <c r="E2277">
        <v>3100066</v>
      </c>
      <c r="F2277" t="s">
        <v>12</v>
      </c>
      <c r="G2277" t="s">
        <v>12</v>
      </c>
      <c r="H2277" t="s">
        <v>54</v>
      </c>
      <c r="I2277">
        <v>6958897</v>
      </c>
      <c r="J2277" s="12">
        <v>46125</v>
      </c>
      <c r="K2277" s="12">
        <v>46125</v>
      </c>
      <c r="L2277" s="12">
        <v>46125</v>
      </c>
      <c r="M2277">
        <v>7</v>
      </c>
      <c r="N2277">
        <v>-3550579</v>
      </c>
      <c r="O2277">
        <v>-3550579</v>
      </c>
      <c r="P2277">
        <v>0</v>
      </c>
      <c r="Q2277">
        <v>-3550579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 t="s">
        <v>47</v>
      </c>
      <c r="AA2277" t="s">
        <v>501</v>
      </c>
      <c r="AB2277" t="s">
        <v>51</v>
      </c>
      <c r="AC2277" t="s">
        <v>51</v>
      </c>
      <c r="AD2277" t="s">
        <v>51</v>
      </c>
      <c r="AE2277" t="s">
        <v>51</v>
      </c>
      <c r="AF2277" t="s">
        <v>64</v>
      </c>
    </row>
    <row r="2278" spans="1:32" ht="14.5" customHeight="1" x14ac:dyDescent="0.35">
      <c r="A2278" t="s">
        <v>84</v>
      </c>
      <c r="B2278" t="s">
        <v>1230</v>
      </c>
      <c r="C2278" t="s">
        <v>47</v>
      </c>
      <c r="D2278">
        <v>3100056</v>
      </c>
      <c r="E2278">
        <v>3100066</v>
      </c>
      <c r="F2278" t="s">
        <v>12</v>
      </c>
      <c r="G2278" t="s">
        <v>12</v>
      </c>
      <c r="H2278" t="s">
        <v>54</v>
      </c>
      <c r="I2278">
        <v>6958898</v>
      </c>
      <c r="J2278" s="12">
        <v>46125</v>
      </c>
      <c r="K2278" s="12">
        <v>46125</v>
      </c>
      <c r="L2278" s="12">
        <v>46125</v>
      </c>
      <c r="M2278">
        <v>7</v>
      </c>
      <c r="N2278">
        <v>-117706971</v>
      </c>
      <c r="O2278">
        <v>-117706971</v>
      </c>
      <c r="P2278">
        <v>0</v>
      </c>
      <c r="Q2278">
        <v>-117706971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 t="s">
        <v>47</v>
      </c>
      <c r="AA2278" t="s">
        <v>501</v>
      </c>
      <c r="AB2278" t="s">
        <v>51</v>
      </c>
      <c r="AC2278" t="s">
        <v>51</v>
      </c>
      <c r="AD2278" t="s">
        <v>51</v>
      </c>
      <c r="AE2278" t="s">
        <v>51</v>
      </c>
      <c r="AF2278" t="s">
        <v>623</v>
      </c>
    </row>
    <row r="2279" spans="1:32" ht="14.5" customHeight="1" x14ac:dyDescent="0.35">
      <c r="A2279" t="s">
        <v>84</v>
      </c>
      <c r="B2279" t="s">
        <v>1230</v>
      </c>
      <c r="C2279" t="s">
        <v>47</v>
      </c>
      <c r="D2279">
        <v>3100056</v>
      </c>
      <c r="E2279">
        <v>3100611</v>
      </c>
      <c r="F2279" t="s">
        <v>12</v>
      </c>
      <c r="G2279" t="s">
        <v>12</v>
      </c>
      <c r="H2279" t="s">
        <v>54</v>
      </c>
      <c r="I2279">
        <v>6958899</v>
      </c>
      <c r="J2279" s="12">
        <v>46125</v>
      </c>
      <c r="K2279" s="12">
        <v>46125</v>
      </c>
      <c r="L2279" s="12">
        <v>46125</v>
      </c>
      <c r="M2279">
        <v>7</v>
      </c>
      <c r="N2279">
        <v>-145197330</v>
      </c>
      <c r="O2279">
        <v>-145197330</v>
      </c>
      <c r="P2279">
        <v>0</v>
      </c>
      <c r="Q2279">
        <v>-145197330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 t="s">
        <v>47</v>
      </c>
      <c r="AA2279" t="s">
        <v>501</v>
      </c>
      <c r="AB2279" t="s">
        <v>51</v>
      </c>
      <c r="AC2279" t="s">
        <v>51</v>
      </c>
      <c r="AD2279" t="s">
        <v>51</v>
      </c>
      <c r="AE2279" t="s">
        <v>51</v>
      </c>
      <c r="AF2279" t="s">
        <v>285</v>
      </c>
    </row>
    <row r="2280" spans="1:32" ht="14.5" customHeight="1" x14ac:dyDescent="0.35">
      <c r="A2280" t="s">
        <v>84</v>
      </c>
      <c r="B2280" t="s">
        <v>1230</v>
      </c>
      <c r="C2280" t="s">
        <v>47</v>
      </c>
      <c r="D2280">
        <v>3100056</v>
      </c>
      <c r="E2280">
        <v>3100611</v>
      </c>
      <c r="F2280" t="s">
        <v>12</v>
      </c>
      <c r="G2280" t="s">
        <v>12</v>
      </c>
      <c r="H2280" t="s">
        <v>54</v>
      </c>
      <c r="I2280">
        <v>6958900</v>
      </c>
      <c r="J2280" s="12">
        <v>46125</v>
      </c>
      <c r="K2280" s="12">
        <v>46125</v>
      </c>
      <c r="L2280" s="12">
        <v>46125</v>
      </c>
      <c r="M2280">
        <v>7</v>
      </c>
      <c r="N2280">
        <v>-2899018</v>
      </c>
      <c r="O2280">
        <v>-2899018</v>
      </c>
      <c r="P2280">
        <v>0</v>
      </c>
      <c r="Q2280">
        <v>-2899018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 t="s">
        <v>47</v>
      </c>
      <c r="AA2280" t="s">
        <v>501</v>
      </c>
      <c r="AB2280" t="s">
        <v>51</v>
      </c>
      <c r="AC2280" t="s">
        <v>51</v>
      </c>
      <c r="AD2280" t="s">
        <v>51</v>
      </c>
      <c r="AE2280" t="s">
        <v>51</v>
      </c>
      <c r="AF2280" t="s">
        <v>69</v>
      </c>
    </row>
    <row r="2281" spans="1:32" ht="14.5" customHeight="1" x14ac:dyDescent="0.35">
      <c r="A2281" t="s">
        <v>84</v>
      </c>
      <c r="B2281" t="s">
        <v>1230</v>
      </c>
      <c r="C2281" t="s">
        <v>47</v>
      </c>
      <c r="D2281">
        <v>3100056</v>
      </c>
      <c r="E2281">
        <v>3100613</v>
      </c>
      <c r="F2281" t="s">
        <v>12</v>
      </c>
      <c r="G2281" t="s">
        <v>12</v>
      </c>
      <c r="H2281" t="s">
        <v>54</v>
      </c>
      <c r="I2281">
        <v>6958901</v>
      </c>
      <c r="J2281" s="12">
        <v>46125</v>
      </c>
      <c r="K2281" s="12">
        <v>46125</v>
      </c>
      <c r="L2281" s="12">
        <v>46125</v>
      </c>
      <c r="M2281">
        <v>7</v>
      </c>
      <c r="N2281">
        <v>-30146740</v>
      </c>
      <c r="O2281">
        <v>-30146740</v>
      </c>
      <c r="P2281">
        <v>0</v>
      </c>
      <c r="Q2281">
        <v>-30146740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 t="s">
        <v>47</v>
      </c>
      <c r="AA2281" t="s">
        <v>501</v>
      </c>
      <c r="AB2281" t="s">
        <v>51</v>
      </c>
      <c r="AC2281" t="s">
        <v>51</v>
      </c>
      <c r="AD2281" t="s">
        <v>51</v>
      </c>
      <c r="AE2281" t="s">
        <v>51</v>
      </c>
      <c r="AF2281" t="s">
        <v>325</v>
      </c>
    </row>
    <row r="2282" spans="1:32" ht="14.5" customHeight="1" x14ac:dyDescent="0.35">
      <c r="A2282" t="s">
        <v>84</v>
      </c>
      <c r="B2282" t="s">
        <v>1230</v>
      </c>
      <c r="C2282" t="s">
        <v>47</v>
      </c>
      <c r="D2282">
        <v>3100056</v>
      </c>
      <c r="E2282">
        <v>3100615</v>
      </c>
      <c r="F2282" t="s">
        <v>12</v>
      </c>
      <c r="G2282" t="s">
        <v>12</v>
      </c>
      <c r="H2282" t="s">
        <v>54</v>
      </c>
      <c r="I2282">
        <v>6958902</v>
      </c>
      <c r="J2282" s="12">
        <v>46125</v>
      </c>
      <c r="K2282" s="12">
        <v>46125</v>
      </c>
      <c r="L2282" s="12">
        <v>46125</v>
      </c>
      <c r="M2282">
        <v>7</v>
      </c>
      <c r="N2282">
        <v>-10115512</v>
      </c>
      <c r="O2282">
        <v>-10115512</v>
      </c>
      <c r="P2282">
        <v>0</v>
      </c>
      <c r="Q2282">
        <v>-10115512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 t="s">
        <v>47</v>
      </c>
      <c r="AA2282" t="s">
        <v>501</v>
      </c>
      <c r="AB2282" t="s">
        <v>51</v>
      </c>
      <c r="AC2282" t="s">
        <v>51</v>
      </c>
      <c r="AD2282" t="s">
        <v>51</v>
      </c>
      <c r="AE2282" t="s">
        <v>51</v>
      </c>
      <c r="AF2282" t="s">
        <v>285</v>
      </c>
    </row>
    <row r="2283" spans="1:32" ht="14.5" customHeight="1" x14ac:dyDescent="0.35">
      <c r="A2283" t="s">
        <v>84</v>
      </c>
      <c r="B2283" t="s">
        <v>1230</v>
      </c>
      <c r="C2283" t="s">
        <v>47</v>
      </c>
      <c r="D2283">
        <v>3100056</v>
      </c>
      <c r="E2283">
        <v>3100617</v>
      </c>
      <c r="F2283" t="s">
        <v>12</v>
      </c>
      <c r="G2283" t="s">
        <v>12</v>
      </c>
      <c r="H2283" t="s">
        <v>54</v>
      </c>
      <c r="I2283">
        <v>6958903</v>
      </c>
      <c r="J2283" s="12">
        <v>46125</v>
      </c>
      <c r="K2283" s="12">
        <v>46125</v>
      </c>
      <c r="L2283" s="12">
        <v>46125</v>
      </c>
      <c r="M2283">
        <v>7</v>
      </c>
      <c r="N2283">
        <v>-28804059</v>
      </c>
      <c r="O2283">
        <v>-28804059</v>
      </c>
      <c r="P2283">
        <v>0</v>
      </c>
      <c r="Q2283">
        <v>-28804059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 t="s">
        <v>47</v>
      </c>
      <c r="AA2283" t="s">
        <v>501</v>
      </c>
      <c r="AB2283" t="s">
        <v>51</v>
      </c>
      <c r="AC2283" t="s">
        <v>51</v>
      </c>
      <c r="AD2283" t="s">
        <v>51</v>
      </c>
      <c r="AE2283" t="s">
        <v>51</v>
      </c>
      <c r="AF2283" t="s">
        <v>56</v>
      </c>
    </row>
    <row r="2284" spans="1:32" ht="14.5" customHeight="1" x14ac:dyDescent="0.35">
      <c r="A2284" t="s">
        <v>84</v>
      </c>
      <c r="B2284" t="s">
        <v>1230</v>
      </c>
      <c r="C2284" t="s">
        <v>47</v>
      </c>
      <c r="D2284">
        <v>3100056</v>
      </c>
      <c r="E2284">
        <v>3100066</v>
      </c>
      <c r="F2284" t="s">
        <v>12</v>
      </c>
      <c r="G2284" t="s">
        <v>12</v>
      </c>
      <c r="H2284" t="s">
        <v>54</v>
      </c>
      <c r="I2284">
        <v>6960261</v>
      </c>
      <c r="J2284" s="12">
        <v>46130</v>
      </c>
      <c r="K2284" s="12">
        <v>46130</v>
      </c>
      <c r="L2284" s="12">
        <v>46130</v>
      </c>
      <c r="M2284">
        <v>2</v>
      </c>
      <c r="N2284">
        <v>-1507109</v>
      </c>
      <c r="O2284">
        <v>-1507109</v>
      </c>
      <c r="P2284">
        <v>0</v>
      </c>
      <c r="Q2284">
        <v>-1507109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 t="s">
        <v>47</v>
      </c>
      <c r="AA2284" t="s">
        <v>501</v>
      </c>
      <c r="AB2284" t="s">
        <v>51</v>
      </c>
      <c r="AC2284" t="s">
        <v>51</v>
      </c>
      <c r="AD2284" t="s">
        <v>51</v>
      </c>
      <c r="AE2284" t="s">
        <v>51</v>
      </c>
      <c r="AF2284" t="s">
        <v>1841</v>
      </c>
    </row>
    <row r="2285" spans="1:32" ht="14.5" customHeight="1" x14ac:dyDescent="0.35">
      <c r="A2285" t="s">
        <v>84</v>
      </c>
      <c r="B2285" t="s">
        <v>1230</v>
      </c>
      <c r="C2285" t="s">
        <v>47</v>
      </c>
      <c r="D2285">
        <v>3100056</v>
      </c>
      <c r="E2285">
        <v>3100066</v>
      </c>
      <c r="F2285" t="s">
        <v>12</v>
      </c>
      <c r="G2285" t="s">
        <v>12</v>
      </c>
      <c r="H2285" t="s">
        <v>54</v>
      </c>
      <c r="I2285">
        <v>6960262</v>
      </c>
      <c r="J2285" s="12">
        <v>46130</v>
      </c>
      <c r="K2285" s="12">
        <v>46130</v>
      </c>
      <c r="L2285" s="12">
        <v>46130</v>
      </c>
      <c r="M2285">
        <v>2</v>
      </c>
      <c r="N2285">
        <v>-169478152</v>
      </c>
      <c r="O2285">
        <v>-169478152</v>
      </c>
      <c r="P2285">
        <v>0</v>
      </c>
      <c r="Q2285">
        <v>-169478152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 t="s">
        <v>47</v>
      </c>
      <c r="AA2285" t="s">
        <v>501</v>
      </c>
      <c r="AB2285" t="s">
        <v>51</v>
      </c>
      <c r="AC2285" t="s">
        <v>51</v>
      </c>
      <c r="AD2285" t="s">
        <v>51</v>
      </c>
      <c r="AE2285" t="s">
        <v>51</v>
      </c>
      <c r="AF2285" t="s">
        <v>1842</v>
      </c>
    </row>
    <row r="2286" spans="1:32" ht="14.5" customHeight="1" x14ac:dyDescent="0.35">
      <c r="A2286" t="s">
        <v>84</v>
      </c>
      <c r="B2286" t="s">
        <v>1230</v>
      </c>
      <c r="C2286" t="s">
        <v>47</v>
      </c>
      <c r="D2286">
        <v>3100056</v>
      </c>
      <c r="E2286">
        <v>3100615</v>
      </c>
      <c r="F2286" t="s">
        <v>12</v>
      </c>
      <c r="G2286" t="s">
        <v>12</v>
      </c>
      <c r="H2286" t="s">
        <v>54</v>
      </c>
      <c r="I2286">
        <v>6960302</v>
      </c>
      <c r="J2286" s="12">
        <v>46130</v>
      </c>
      <c r="K2286" s="12">
        <v>46130</v>
      </c>
      <c r="L2286" s="12">
        <v>46130</v>
      </c>
      <c r="M2286">
        <v>2</v>
      </c>
      <c r="N2286">
        <v>-7610535</v>
      </c>
      <c r="O2286">
        <v>-7610535</v>
      </c>
      <c r="P2286">
        <v>0</v>
      </c>
      <c r="Q2286">
        <v>-7610535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 t="s">
        <v>47</v>
      </c>
      <c r="AA2286" t="s">
        <v>501</v>
      </c>
      <c r="AB2286" t="s">
        <v>51</v>
      </c>
      <c r="AC2286" t="s">
        <v>51</v>
      </c>
      <c r="AD2286" t="s">
        <v>51</v>
      </c>
      <c r="AE2286" t="s">
        <v>51</v>
      </c>
      <c r="AF2286" t="s">
        <v>1843</v>
      </c>
    </row>
    <row r="2287" spans="1:32" ht="14.5" customHeight="1" x14ac:dyDescent="0.35">
      <c r="A2287" t="s">
        <v>84</v>
      </c>
      <c r="B2287" t="s">
        <v>1230</v>
      </c>
      <c r="C2287" t="s">
        <v>47</v>
      </c>
      <c r="D2287">
        <v>3100056</v>
      </c>
      <c r="E2287">
        <v>3100613</v>
      </c>
      <c r="F2287" t="s">
        <v>12</v>
      </c>
      <c r="G2287" t="s">
        <v>12</v>
      </c>
      <c r="H2287" t="s">
        <v>54</v>
      </c>
      <c r="I2287">
        <v>6960303</v>
      </c>
      <c r="J2287" s="12">
        <v>46131</v>
      </c>
      <c r="K2287" s="12">
        <v>46131</v>
      </c>
      <c r="L2287" s="12">
        <v>46131</v>
      </c>
      <c r="M2287">
        <v>1</v>
      </c>
      <c r="N2287">
        <v>-330722</v>
      </c>
      <c r="O2287">
        <v>-330722</v>
      </c>
      <c r="P2287">
        <v>0</v>
      </c>
      <c r="Q2287">
        <v>-330722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 t="s">
        <v>47</v>
      </c>
      <c r="AA2287" t="s">
        <v>501</v>
      </c>
      <c r="AB2287" t="s">
        <v>51</v>
      </c>
      <c r="AC2287" t="s">
        <v>51</v>
      </c>
      <c r="AD2287" t="s">
        <v>51</v>
      </c>
      <c r="AE2287" t="s">
        <v>51</v>
      </c>
      <c r="AF2287" t="s">
        <v>1844</v>
      </c>
    </row>
    <row r="2288" spans="1:32" ht="14.5" customHeight="1" x14ac:dyDescent="0.35">
      <c r="A2288" t="s">
        <v>84</v>
      </c>
      <c r="B2288" t="s">
        <v>1230</v>
      </c>
      <c r="C2288" t="s">
        <v>47</v>
      </c>
      <c r="D2288">
        <v>3100056</v>
      </c>
      <c r="E2288">
        <v>3100613</v>
      </c>
      <c r="F2288" t="s">
        <v>12</v>
      </c>
      <c r="G2288" t="s">
        <v>12</v>
      </c>
      <c r="H2288" t="s">
        <v>54</v>
      </c>
      <c r="I2288">
        <v>6960304</v>
      </c>
      <c r="J2288" s="12">
        <v>46131</v>
      </c>
      <c r="K2288" s="12">
        <v>46131</v>
      </c>
      <c r="L2288" s="12">
        <v>46131</v>
      </c>
      <c r="M2288">
        <v>1</v>
      </c>
      <c r="N2288">
        <v>-532870</v>
      </c>
      <c r="O2288">
        <v>-532870</v>
      </c>
      <c r="P2288">
        <v>0</v>
      </c>
      <c r="Q2288">
        <v>-532870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 t="s">
        <v>47</v>
      </c>
      <c r="AA2288" t="s">
        <v>501</v>
      </c>
      <c r="AB2288" t="s">
        <v>51</v>
      </c>
      <c r="AC2288" t="s">
        <v>51</v>
      </c>
      <c r="AD2288" t="s">
        <v>51</v>
      </c>
      <c r="AE2288" t="s">
        <v>51</v>
      </c>
      <c r="AF2288" t="s">
        <v>1844</v>
      </c>
    </row>
    <row r="2289" spans="1:32" ht="14.5" customHeight="1" x14ac:dyDescent="0.35">
      <c r="A2289" t="s">
        <v>84</v>
      </c>
      <c r="B2289" t="s">
        <v>1230</v>
      </c>
      <c r="C2289" t="s">
        <v>47</v>
      </c>
      <c r="D2289">
        <v>3100056</v>
      </c>
      <c r="E2289">
        <v>3100615</v>
      </c>
      <c r="F2289" t="s">
        <v>12</v>
      </c>
      <c r="G2289" t="s">
        <v>12</v>
      </c>
      <c r="H2289" t="s">
        <v>54</v>
      </c>
      <c r="I2289">
        <v>6960305</v>
      </c>
      <c r="J2289" s="12">
        <v>46131</v>
      </c>
      <c r="K2289" s="12">
        <v>46131</v>
      </c>
      <c r="L2289" s="12">
        <v>46131</v>
      </c>
      <c r="M2289">
        <v>1</v>
      </c>
      <c r="N2289">
        <v>-461629</v>
      </c>
      <c r="O2289">
        <v>-461629</v>
      </c>
      <c r="P2289">
        <v>0</v>
      </c>
      <c r="Q2289">
        <v>-461629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 t="s">
        <v>47</v>
      </c>
      <c r="AA2289" t="s">
        <v>501</v>
      </c>
      <c r="AB2289" t="s">
        <v>51</v>
      </c>
      <c r="AC2289" t="s">
        <v>51</v>
      </c>
      <c r="AD2289" t="s">
        <v>51</v>
      </c>
      <c r="AE2289" t="s">
        <v>51</v>
      </c>
      <c r="AF2289" t="s">
        <v>1845</v>
      </c>
    </row>
    <row r="2290" spans="1:32" ht="14.5" customHeight="1" x14ac:dyDescent="0.35">
      <c r="A2290" t="s">
        <v>84</v>
      </c>
      <c r="B2290" t="s">
        <v>1230</v>
      </c>
      <c r="C2290" t="s">
        <v>47</v>
      </c>
      <c r="D2290">
        <v>3100056</v>
      </c>
      <c r="E2290">
        <v>3100617</v>
      </c>
      <c r="F2290" t="s">
        <v>12</v>
      </c>
      <c r="G2290" t="s">
        <v>12</v>
      </c>
      <c r="H2290" t="s">
        <v>54</v>
      </c>
      <c r="I2290">
        <v>6960306</v>
      </c>
      <c r="J2290" s="12">
        <v>46131</v>
      </c>
      <c r="K2290" s="12">
        <v>46131</v>
      </c>
      <c r="L2290" s="12">
        <v>46131</v>
      </c>
      <c r="M2290">
        <v>1</v>
      </c>
      <c r="N2290">
        <v>-232346</v>
      </c>
      <c r="O2290">
        <v>-232346</v>
      </c>
      <c r="P2290">
        <v>0</v>
      </c>
      <c r="Q2290">
        <v>-232346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 t="s">
        <v>47</v>
      </c>
      <c r="AA2290" t="s">
        <v>501</v>
      </c>
      <c r="AB2290" t="s">
        <v>51</v>
      </c>
      <c r="AC2290" t="s">
        <v>51</v>
      </c>
      <c r="AD2290" t="s">
        <v>51</v>
      </c>
      <c r="AE2290" t="s">
        <v>51</v>
      </c>
      <c r="AF2290" t="s">
        <v>1846</v>
      </c>
    </row>
    <row r="2291" spans="1:32" ht="14.5" customHeight="1" x14ac:dyDescent="0.35">
      <c r="A2291" t="s">
        <v>84</v>
      </c>
      <c r="B2291" t="s">
        <v>1230</v>
      </c>
      <c r="C2291" t="s">
        <v>846</v>
      </c>
      <c r="D2291">
        <v>3100056</v>
      </c>
      <c r="E2291">
        <v>3100612</v>
      </c>
      <c r="F2291" t="s">
        <v>12</v>
      </c>
      <c r="G2291" t="s">
        <v>12</v>
      </c>
      <c r="H2291" t="s">
        <v>54</v>
      </c>
      <c r="I2291">
        <v>9914569</v>
      </c>
      <c r="J2291" s="12">
        <v>46094</v>
      </c>
      <c r="K2291" s="12">
        <v>46094</v>
      </c>
      <c r="L2291" s="12">
        <v>46128</v>
      </c>
      <c r="M2291">
        <v>4</v>
      </c>
      <c r="N2291">
        <v>160339219</v>
      </c>
      <c r="O2291">
        <v>0</v>
      </c>
      <c r="P2291">
        <v>0</v>
      </c>
      <c r="Q2291">
        <v>160339219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 t="s">
        <v>846</v>
      </c>
      <c r="AA2291" t="s">
        <v>501</v>
      </c>
      <c r="AB2291" t="s">
        <v>51</v>
      </c>
      <c r="AC2291" t="s">
        <v>51</v>
      </c>
      <c r="AD2291" t="s">
        <v>51</v>
      </c>
      <c r="AE2291" t="s">
        <v>51</v>
      </c>
      <c r="AF2291" t="s">
        <v>1030</v>
      </c>
    </row>
    <row r="2292" spans="1:32" ht="14.5" customHeight="1" x14ac:dyDescent="0.35">
      <c r="A2292" t="s">
        <v>84</v>
      </c>
      <c r="B2292" t="s">
        <v>1230</v>
      </c>
      <c r="C2292" t="s">
        <v>846</v>
      </c>
      <c r="D2292">
        <v>3100056</v>
      </c>
      <c r="E2292">
        <v>3100056</v>
      </c>
      <c r="F2292" t="s">
        <v>12</v>
      </c>
      <c r="G2292" t="s">
        <v>12</v>
      </c>
      <c r="H2292" t="s">
        <v>54</v>
      </c>
      <c r="I2292">
        <v>9921628</v>
      </c>
      <c r="J2292" s="12">
        <v>46114</v>
      </c>
      <c r="K2292" s="12">
        <v>46114</v>
      </c>
      <c r="L2292" s="12">
        <v>46147</v>
      </c>
      <c r="M2292">
        <v>-15</v>
      </c>
      <c r="N2292">
        <v>626783109</v>
      </c>
      <c r="O2292">
        <v>0</v>
      </c>
      <c r="P2292">
        <v>626783109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 t="s">
        <v>548</v>
      </c>
      <c r="AA2292" t="s">
        <v>501</v>
      </c>
      <c r="AB2292" t="s">
        <v>51</v>
      </c>
      <c r="AC2292" t="s">
        <v>51</v>
      </c>
      <c r="AD2292" t="s">
        <v>51</v>
      </c>
      <c r="AE2292" t="s">
        <v>1847</v>
      </c>
      <c r="AF2292" t="s">
        <v>752</v>
      </c>
    </row>
    <row r="2293" spans="1:32" ht="14.5" customHeight="1" x14ac:dyDescent="0.35">
      <c r="A2293" t="s">
        <v>84</v>
      </c>
      <c r="B2293" t="s">
        <v>1230</v>
      </c>
      <c r="C2293" t="s">
        <v>846</v>
      </c>
      <c r="D2293">
        <v>3100056</v>
      </c>
      <c r="E2293">
        <v>3100612</v>
      </c>
      <c r="F2293" t="s">
        <v>12</v>
      </c>
      <c r="G2293" t="s">
        <v>12</v>
      </c>
      <c r="H2293" t="s">
        <v>54</v>
      </c>
      <c r="I2293">
        <v>9922154</v>
      </c>
      <c r="J2293" s="12">
        <v>46116</v>
      </c>
      <c r="K2293" s="12">
        <v>46116</v>
      </c>
      <c r="L2293" s="12">
        <v>46150</v>
      </c>
      <c r="M2293">
        <v>-18</v>
      </c>
      <c r="N2293">
        <v>626290336</v>
      </c>
      <c r="O2293">
        <v>0</v>
      </c>
      <c r="P2293">
        <v>626290336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 t="s">
        <v>846</v>
      </c>
      <c r="AA2293" t="s">
        <v>501</v>
      </c>
      <c r="AB2293" t="s">
        <v>51</v>
      </c>
      <c r="AC2293" t="s">
        <v>51</v>
      </c>
      <c r="AD2293" t="s">
        <v>51</v>
      </c>
      <c r="AE2293" t="s">
        <v>1848</v>
      </c>
      <c r="AF2293" t="s">
        <v>206</v>
      </c>
    </row>
    <row r="2294" spans="1:32" ht="14.5" customHeight="1" x14ac:dyDescent="0.35">
      <c r="A2294" t="s">
        <v>84</v>
      </c>
      <c r="B2294" t="s">
        <v>1230</v>
      </c>
      <c r="C2294" t="s">
        <v>846</v>
      </c>
      <c r="D2294">
        <v>3100056</v>
      </c>
      <c r="E2294">
        <v>3100056</v>
      </c>
      <c r="F2294" t="s">
        <v>12</v>
      </c>
      <c r="G2294" t="s">
        <v>12</v>
      </c>
      <c r="H2294" t="s">
        <v>54</v>
      </c>
      <c r="I2294">
        <v>9922164</v>
      </c>
      <c r="J2294" s="12">
        <v>46116</v>
      </c>
      <c r="K2294" s="12">
        <v>46116</v>
      </c>
      <c r="L2294" s="12">
        <v>46149</v>
      </c>
      <c r="M2294">
        <v>-17</v>
      </c>
      <c r="N2294">
        <v>664911609</v>
      </c>
      <c r="O2294">
        <v>0</v>
      </c>
      <c r="P2294">
        <v>664911609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 t="s">
        <v>548</v>
      </c>
      <c r="AA2294" t="s">
        <v>501</v>
      </c>
      <c r="AB2294" t="s">
        <v>51</v>
      </c>
      <c r="AC2294" t="s">
        <v>51</v>
      </c>
      <c r="AD2294" t="s">
        <v>51</v>
      </c>
      <c r="AE2294" t="s">
        <v>1849</v>
      </c>
      <c r="AF2294" t="s">
        <v>434</v>
      </c>
    </row>
    <row r="2295" spans="1:32" ht="14.5" customHeight="1" x14ac:dyDescent="0.35">
      <c r="A2295" t="s">
        <v>84</v>
      </c>
      <c r="B2295" t="s">
        <v>1230</v>
      </c>
      <c r="C2295" t="s">
        <v>846</v>
      </c>
      <c r="D2295">
        <v>3100056</v>
      </c>
      <c r="E2295">
        <v>3100056</v>
      </c>
      <c r="F2295" t="s">
        <v>12</v>
      </c>
      <c r="G2295" t="s">
        <v>12</v>
      </c>
      <c r="H2295" t="s">
        <v>54</v>
      </c>
      <c r="I2295">
        <v>9922677</v>
      </c>
      <c r="J2295" s="12">
        <v>46119</v>
      </c>
      <c r="K2295" s="12">
        <v>46119</v>
      </c>
      <c r="L2295" s="12">
        <v>46152</v>
      </c>
      <c r="M2295">
        <v>-20</v>
      </c>
      <c r="N2295">
        <v>689351985</v>
      </c>
      <c r="O2295">
        <v>0</v>
      </c>
      <c r="P2295">
        <v>689351985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 t="s">
        <v>548</v>
      </c>
      <c r="AA2295" t="s">
        <v>501</v>
      </c>
      <c r="AB2295" t="s">
        <v>51</v>
      </c>
      <c r="AC2295" t="s">
        <v>51</v>
      </c>
      <c r="AD2295" t="s">
        <v>51</v>
      </c>
      <c r="AE2295" t="s">
        <v>1850</v>
      </c>
      <c r="AF2295" t="s">
        <v>752</v>
      </c>
    </row>
    <row r="2296" spans="1:32" ht="14.5" customHeight="1" x14ac:dyDescent="0.35">
      <c r="A2296" t="s">
        <v>84</v>
      </c>
      <c r="B2296" t="s">
        <v>1230</v>
      </c>
      <c r="C2296" t="s">
        <v>846</v>
      </c>
      <c r="D2296">
        <v>3100056</v>
      </c>
      <c r="E2296">
        <v>3100614</v>
      </c>
      <c r="F2296" t="s">
        <v>12</v>
      </c>
      <c r="G2296" t="s">
        <v>12</v>
      </c>
      <c r="H2296" t="s">
        <v>54</v>
      </c>
      <c r="I2296">
        <v>9922685</v>
      </c>
      <c r="J2296" s="12">
        <v>46119</v>
      </c>
      <c r="K2296" s="12">
        <v>46119</v>
      </c>
      <c r="L2296" s="12">
        <v>46153</v>
      </c>
      <c r="M2296">
        <v>-21</v>
      </c>
      <c r="N2296">
        <v>140361724</v>
      </c>
      <c r="O2296">
        <v>0</v>
      </c>
      <c r="P2296">
        <v>140361724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 t="s">
        <v>846</v>
      </c>
      <c r="AA2296" t="s">
        <v>501</v>
      </c>
      <c r="AB2296" t="s">
        <v>51</v>
      </c>
      <c r="AC2296" t="s">
        <v>51</v>
      </c>
      <c r="AD2296" t="s">
        <v>51</v>
      </c>
      <c r="AE2296" t="s">
        <v>1851</v>
      </c>
      <c r="AF2296" t="s">
        <v>151</v>
      </c>
    </row>
    <row r="2297" spans="1:32" ht="14.5" customHeight="1" x14ac:dyDescent="0.35">
      <c r="A2297" t="s">
        <v>84</v>
      </c>
      <c r="B2297" t="s">
        <v>1230</v>
      </c>
      <c r="C2297" t="s">
        <v>846</v>
      </c>
      <c r="D2297">
        <v>3100056</v>
      </c>
      <c r="E2297">
        <v>3100616</v>
      </c>
      <c r="F2297" t="s">
        <v>12</v>
      </c>
      <c r="G2297" t="s">
        <v>12</v>
      </c>
      <c r="H2297" t="s">
        <v>54</v>
      </c>
      <c r="I2297">
        <v>9922701</v>
      </c>
      <c r="J2297" s="12">
        <v>46119</v>
      </c>
      <c r="K2297" s="12">
        <v>46119</v>
      </c>
      <c r="L2297" s="12">
        <v>46153</v>
      </c>
      <c r="M2297">
        <v>-21</v>
      </c>
      <c r="N2297">
        <v>125941810</v>
      </c>
      <c r="O2297">
        <v>0</v>
      </c>
      <c r="P2297">
        <v>125941810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 t="s">
        <v>846</v>
      </c>
      <c r="AA2297" t="s">
        <v>501</v>
      </c>
      <c r="AB2297" t="s">
        <v>51</v>
      </c>
      <c r="AC2297" t="s">
        <v>51</v>
      </c>
      <c r="AD2297" t="s">
        <v>51</v>
      </c>
      <c r="AE2297" t="s">
        <v>1852</v>
      </c>
      <c r="AF2297" t="s">
        <v>521</v>
      </c>
    </row>
    <row r="2298" spans="1:32" ht="14.5" customHeight="1" x14ac:dyDescent="0.35">
      <c r="A2298" t="s">
        <v>84</v>
      </c>
      <c r="B2298" t="s">
        <v>1230</v>
      </c>
      <c r="C2298" t="s">
        <v>846</v>
      </c>
      <c r="D2298">
        <v>3100056</v>
      </c>
      <c r="E2298">
        <v>3100618</v>
      </c>
      <c r="F2298" t="s">
        <v>12</v>
      </c>
      <c r="G2298" t="s">
        <v>12</v>
      </c>
      <c r="H2298" t="s">
        <v>54</v>
      </c>
      <c r="I2298">
        <v>9922702</v>
      </c>
      <c r="J2298" s="12">
        <v>46119</v>
      </c>
      <c r="K2298" s="12">
        <v>46119</v>
      </c>
      <c r="L2298" s="12">
        <v>46153</v>
      </c>
      <c r="M2298">
        <v>-21</v>
      </c>
      <c r="N2298">
        <v>102792189</v>
      </c>
      <c r="O2298">
        <v>0</v>
      </c>
      <c r="P2298">
        <v>102792189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 t="s">
        <v>846</v>
      </c>
      <c r="AA2298" t="s">
        <v>501</v>
      </c>
      <c r="AB2298" t="s">
        <v>51</v>
      </c>
      <c r="AC2298" t="s">
        <v>51</v>
      </c>
      <c r="AD2298" t="s">
        <v>51</v>
      </c>
      <c r="AE2298" t="s">
        <v>1853</v>
      </c>
      <c r="AF2298" t="s">
        <v>868</v>
      </c>
    </row>
    <row r="2299" spans="1:32" ht="14.5" customHeight="1" x14ac:dyDescent="0.35">
      <c r="A2299" t="s">
        <v>84</v>
      </c>
      <c r="B2299" t="s">
        <v>1230</v>
      </c>
      <c r="C2299" t="s">
        <v>47</v>
      </c>
      <c r="D2299">
        <v>3100056</v>
      </c>
      <c r="E2299">
        <v>3100611</v>
      </c>
      <c r="F2299" t="s">
        <v>12</v>
      </c>
      <c r="G2299" t="s">
        <v>12</v>
      </c>
      <c r="H2299" t="s">
        <v>140</v>
      </c>
      <c r="I2299">
        <v>9922772</v>
      </c>
      <c r="J2299" s="12">
        <v>46120</v>
      </c>
      <c r="K2299" s="12">
        <v>46120</v>
      </c>
      <c r="L2299" s="12">
        <v>46150</v>
      </c>
      <c r="M2299">
        <v>-18</v>
      </c>
      <c r="N2299">
        <v>4889619</v>
      </c>
      <c r="O2299">
        <v>0</v>
      </c>
      <c r="P2299">
        <v>4889619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 t="s">
        <v>47</v>
      </c>
      <c r="AA2299" t="s">
        <v>501</v>
      </c>
      <c r="AB2299" t="s">
        <v>51</v>
      </c>
      <c r="AC2299" t="s">
        <v>51</v>
      </c>
      <c r="AD2299" t="s">
        <v>51</v>
      </c>
      <c r="AE2299" t="s">
        <v>1854</v>
      </c>
      <c r="AF2299" t="s">
        <v>155</v>
      </c>
    </row>
    <row r="2300" spans="1:32" ht="14.5" customHeight="1" x14ac:dyDescent="0.35">
      <c r="A2300" t="s">
        <v>84</v>
      </c>
      <c r="B2300" t="s">
        <v>1230</v>
      </c>
      <c r="C2300" t="s">
        <v>47</v>
      </c>
      <c r="D2300">
        <v>3100056</v>
      </c>
      <c r="E2300">
        <v>3100613</v>
      </c>
      <c r="F2300" t="s">
        <v>12</v>
      </c>
      <c r="G2300" t="s">
        <v>12</v>
      </c>
      <c r="H2300" t="s">
        <v>140</v>
      </c>
      <c r="I2300">
        <v>9922773</v>
      </c>
      <c r="J2300" s="12">
        <v>46120</v>
      </c>
      <c r="K2300" s="12">
        <v>46120</v>
      </c>
      <c r="L2300" s="12">
        <v>46150</v>
      </c>
      <c r="M2300">
        <v>-18</v>
      </c>
      <c r="N2300">
        <v>3144</v>
      </c>
      <c r="O2300">
        <v>0</v>
      </c>
      <c r="P2300">
        <v>3144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 t="s">
        <v>47</v>
      </c>
      <c r="AA2300" t="s">
        <v>501</v>
      </c>
      <c r="AB2300" t="s">
        <v>51</v>
      </c>
      <c r="AC2300" t="s">
        <v>51</v>
      </c>
      <c r="AD2300" t="s">
        <v>51</v>
      </c>
      <c r="AE2300" t="s">
        <v>1855</v>
      </c>
      <c r="AF2300" t="s">
        <v>631</v>
      </c>
    </row>
    <row r="2301" spans="1:32" ht="14.5" customHeight="1" x14ac:dyDescent="0.35">
      <c r="A2301" t="s">
        <v>84</v>
      </c>
      <c r="B2301" t="s">
        <v>1230</v>
      </c>
      <c r="C2301" t="s">
        <v>47</v>
      </c>
      <c r="D2301">
        <v>3100056</v>
      </c>
      <c r="E2301">
        <v>3100615</v>
      </c>
      <c r="F2301" t="s">
        <v>12</v>
      </c>
      <c r="G2301" t="s">
        <v>12</v>
      </c>
      <c r="H2301" t="s">
        <v>140</v>
      </c>
      <c r="I2301">
        <v>9922776</v>
      </c>
      <c r="J2301" s="12">
        <v>46120</v>
      </c>
      <c r="K2301" s="12">
        <v>46120</v>
      </c>
      <c r="L2301" s="12">
        <v>46150</v>
      </c>
      <c r="M2301">
        <v>-18</v>
      </c>
      <c r="N2301">
        <v>27942</v>
      </c>
      <c r="O2301">
        <v>0</v>
      </c>
      <c r="P2301">
        <v>27942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 t="s">
        <v>47</v>
      </c>
      <c r="AA2301" t="s">
        <v>501</v>
      </c>
      <c r="AB2301" t="s">
        <v>51</v>
      </c>
      <c r="AC2301" t="s">
        <v>51</v>
      </c>
      <c r="AD2301" t="s">
        <v>51</v>
      </c>
      <c r="AE2301" t="s">
        <v>1856</v>
      </c>
      <c r="AF2301" t="s">
        <v>144</v>
      </c>
    </row>
    <row r="2302" spans="1:32" ht="14.5" customHeight="1" x14ac:dyDescent="0.35">
      <c r="A2302" t="s">
        <v>84</v>
      </c>
      <c r="B2302" t="s">
        <v>1230</v>
      </c>
      <c r="C2302" t="s">
        <v>47</v>
      </c>
      <c r="D2302">
        <v>3100056</v>
      </c>
      <c r="E2302">
        <v>3100617</v>
      </c>
      <c r="F2302" t="s">
        <v>12</v>
      </c>
      <c r="G2302" t="s">
        <v>12</v>
      </c>
      <c r="H2302" t="s">
        <v>140</v>
      </c>
      <c r="I2302">
        <v>9922777</v>
      </c>
      <c r="J2302" s="12">
        <v>46120</v>
      </c>
      <c r="K2302" s="12">
        <v>46120</v>
      </c>
      <c r="L2302" s="12">
        <v>46150</v>
      </c>
      <c r="M2302">
        <v>-18</v>
      </c>
      <c r="N2302">
        <v>8482</v>
      </c>
      <c r="O2302">
        <v>0</v>
      </c>
      <c r="P2302">
        <v>8482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 t="s">
        <v>47</v>
      </c>
      <c r="AA2302" t="s">
        <v>501</v>
      </c>
      <c r="AB2302" t="s">
        <v>51</v>
      </c>
      <c r="AC2302" t="s">
        <v>51</v>
      </c>
      <c r="AD2302" t="s">
        <v>51</v>
      </c>
      <c r="AE2302" t="s">
        <v>1857</v>
      </c>
      <c r="AF2302" t="s">
        <v>1074</v>
      </c>
    </row>
    <row r="2303" spans="1:32" ht="14.5" customHeight="1" x14ac:dyDescent="0.35">
      <c r="A2303" t="s">
        <v>84</v>
      </c>
      <c r="B2303" t="s">
        <v>1230</v>
      </c>
      <c r="C2303" t="s">
        <v>846</v>
      </c>
      <c r="D2303">
        <v>3100056</v>
      </c>
      <c r="E2303">
        <v>3100056</v>
      </c>
      <c r="F2303" t="s">
        <v>12</v>
      </c>
      <c r="G2303" t="s">
        <v>12</v>
      </c>
      <c r="H2303" t="s">
        <v>54</v>
      </c>
      <c r="I2303">
        <v>9923226</v>
      </c>
      <c r="J2303" s="12">
        <v>46121</v>
      </c>
      <c r="K2303" s="12">
        <v>46121</v>
      </c>
      <c r="L2303" s="12">
        <v>46154</v>
      </c>
      <c r="M2303">
        <v>-22</v>
      </c>
      <c r="N2303">
        <v>662576893</v>
      </c>
      <c r="O2303">
        <v>0</v>
      </c>
      <c r="P2303">
        <v>662576893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 t="s">
        <v>548</v>
      </c>
      <c r="AA2303" t="s">
        <v>501</v>
      </c>
      <c r="AB2303" t="s">
        <v>51</v>
      </c>
      <c r="AC2303" t="s">
        <v>51</v>
      </c>
      <c r="AD2303" t="s">
        <v>51</v>
      </c>
      <c r="AE2303" t="s">
        <v>1858</v>
      </c>
      <c r="AF2303" t="s">
        <v>752</v>
      </c>
    </row>
    <row r="2304" spans="1:32" ht="14.5" customHeight="1" x14ac:dyDescent="0.35">
      <c r="A2304" t="s">
        <v>84</v>
      </c>
      <c r="B2304" t="s">
        <v>1230</v>
      </c>
      <c r="C2304" t="s">
        <v>47</v>
      </c>
      <c r="D2304">
        <v>3100056</v>
      </c>
      <c r="E2304">
        <v>3100066</v>
      </c>
      <c r="F2304" t="s">
        <v>12</v>
      </c>
      <c r="G2304" t="s">
        <v>12</v>
      </c>
      <c r="H2304" t="s">
        <v>140</v>
      </c>
      <c r="I2304">
        <v>9924615</v>
      </c>
      <c r="J2304" s="12">
        <v>46125</v>
      </c>
      <c r="K2304" s="12">
        <v>46125</v>
      </c>
      <c r="L2304" s="12">
        <v>46155</v>
      </c>
      <c r="M2304">
        <v>-23</v>
      </c>
      <c r="N2304">
        <v>6173207</v>
      </c>
      <c r="O2304">
        <v>0</v>
      </c>
      <c r="P2304">
        <v>6173207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 t="s">
        <v>47</v>
      </c>
      <c r="AA2304" t="s">
        <v>501</v>
      </c>
      <c r="AB2304" t="s">
        <v>51</v>
      </c>
      <c r="AC2304" t="s">
        <v>51</v>
      </c>
      <c r="AD2304" t="s">
        <v>51</v>
      </c>
      <c r="AE2304" t="s">
        <v>1859</v>
      </c>
      <c r="AF2304" t="s">
        <v>325</v>
      </c>
    </row>
    <row r="2305" spans="1:32" ht="14.5" customHeight="1" x14ac:dyDescent="0.35">
      <c r="A2305" t="s">
        <v>84</v>
      </c>
      <c r="B2305" t="s">
        <v>1230</v>
      </c>
      <c r="C2305" t="s">
        <v>846</v>
      </c>
      <c r="D2305">
        <v>3100056</v>
      </c>
      <c r="E2305">
        <v>3100614</v>
      </c>
      <c r="F2305" t="s">
        <v>12</v>
      </c>
      <c r="G2305" t="s">
        <v>12</v>
      </c>
      <c r="H2305" t="s">
        <v>54</v>
      </c>
      <c r="I2305">
        <v>9924714</v>
      </c>
      <c r="J2305" s="12">
        <v>46125</v>
      </c>
      <c r="K2305" s="12">
        <v>46125</v>
      </c>
      <c r="L2305" s="12">
        <v>46159</v>
      </c>
      <c r="M2305">
        <v>-27</v>
      </c>
      <c r="N2305">
        <v>313982077</v>
      </c>
      <c r="O2305">
        <v>0</v>
      </c>
      <c r="P2305">
        <v>313982077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 t="s">
        <v>846</v>
      </c>
      <c r="AA2305" t="s">
        <v>501</v>
      </c>
      <c r="AB2305" t="s">
        <v>51</v>
      </c>
      <c r="AC2305" t="s">
        <v>51</v>
      </c>
      <c r="AD2305" t="s">
        <v>51</v>
      </c>
      <c r="AE2305" t="s">
        <v>1860</v>
      </c>
      <c r="AF2305" t="s">
        <v>161</v>
      </c>
    </row>
    <row r="2306" spans="1:32" ht="14.5" customHeight="1" x14ac:dyDescent="0.35">
      <c r="A2306" t="s">
        <v>84</v>
      </c>
      <c r="B2306" t="s">
        <v>1230</v>
      </c>
      <c r="C2306" t="s">
        <v>846</v>
      </c>
      <c r="D2306">
        <v>3100056</v>
      </c>
      <c r="E2306">
        <v>3100614</v>
      </c>
      <c r="F2306" t="s">
        <v>12</v>
      </c>
      <c r="G2306" t="s">
        <v>12</v>
      </c>
      <c r="H2306" t="s">
        <v>54</v>
      </c>
      <c r="I2306">
        <v>9924715</v>
      </c>
      <c r="J2306" s="12">
        <v>46125</v>
      </c>
      <c r="K2306" s="12">
        <v>46125</v>
      </c>
      <c r="L2306" s="12">
        <v>46159</v>
      </c>
      <c r="M2306">
        <v>-27</v>
      </c>
      <c r="N2306">
        <v>5894873</v>
      </c>
      <c r="O2306">
        <v>0</v>
      </c>
      <c r="P2306">
        <v>5894873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 t="s">
        <v>846</v>
      </c>
      <c r="AA2306" t="s">
        <v>501</v>
      </c>
      <c r="AB2306" t="s">
        <v>51</v>
      </c>
      <c r="AC2306" t="s">
        <v>51</v>
      </c>
      <c r="AD2306" t="s">
        <v>51</v>
      </c>
      <c r="AE2306" t="s">
        <v>1861</v>
      </c>
      <c r="AF2306" t="s">
        <v>320</v>
      </c>
    </row>
    <row r="2307" spans="1:32" ht="14.5" customHeight="1" x14ac:dyDescent="0.35">
      <c r="A2307" t="s">
        <v>84</v>
      </c>
      <c r="B2307" t="s">
        <v>1230</v>
      </c>
      <c r="C2307" t="s">
        <v>846</v>
      </c>
      <c r="D2307">
        <v>3100056</v>
      </c>
      <c r="E2307">
        <v>3100616</v>
      </c>
      <c r="F2307" t="s">
        <v>12</v>
      </c>
      <c r="G2307" t="s">
        <v>12</v>
      </c>
      <c r="H2307" t="s">
        <v>54</v>
      </c>
      <c r="I2307">
        <v>9924716</v>
      </c>
      <c r="J2307" s="12">
        <v>46125</v>
      </c>
      <c r="K2307" s="12">
        <v>46125</v>
      </c>
      <c r="L2307" s="12">
        <v>46159</v>
      </c>
      <c r="M2307">
        <v>-27</v>
      </c>
      <c r="N2307">
        <v>133909496</v>
      </c>
      <c r="O2307">
        <v>0</v>
      </c>
      <c r="P2307">
        <v>133909496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 t="s">
        <v>846</v>
      </c>
      <c r="AA2307" t="s">
        <v>501</v>
      </c>
      <c r="AB2307" t="s">
        <v>51</v>
      </c>
      <c r="AC2307" t="s">
        <v>51</v>
      </c>
      <c r="AD2307" t="s">
        <v>51</v>
      </c>
      <c r="AE2307" t="s">
        <v>1862</v>
      </c>
      <c r="AF2307" t="s">
        <v>781</v>
      </c>
    </row>
    <row r="2308" spans="1:32" ht="14.5" customHeight="1" x14ac:dyDescent="0.35">
      <c r="A2308" t="s">
        <v>84</v>
      </c>
      <c r="B2308" t="s">
        <v>1230</v>
      </c>
      <c r="C2308" t="s">
        <v>846</v>
      </c>
      <c r="D2308">
        <v>3100056</v>
      </c>
      <c r="E2308">
        <v>3100618</v>
      </c>
      <c r="F2308" t="s">
        <v>12</v>
      </c>
      <c r="G2308" t="s">
        <v>12</v>
      </c>
      <c r="H2308" t="s">
        <v>54</v>
      </c>
      <c r="I2308">
        <v>9924732</v>
      </c>
      <c r="J2308" s="12">
        <v>46125</v>
      </c>
      <c r="K2308" s="12">
        <v>46125</v>
      </c>
      <c r="L2308" s="12">
        <v>46159</v>
      </c>
      <c r="M2308">
        <v>-27</v>
      </c>
      <c r="N2308">
        <v>354484205</v>
      </c>
      <c r="O2308">
        <v>0</v>
      </c>
      <c r="P2308">
        <v>354484205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 t="s">
        <v>846</v>
      </c>
      <c r="AA2308" t="s">
        <v>501</v>
      </c>
      <c r="AB2308" t="s">
        <v>51</v>
      </c>
      <c r="AC2308" t="s">
        <v>51</v>
      </c>
      <c r="AD2308" t="s">
        <v>51</v>
      </c>
      <c r="AE2308" t="s">
        <v>1863</v>
      </c>
      <c r="AF2308" t="s">
        <v>1864</v>
      </c>
    </row>
    <row r="2309" spans="1:32" ht="14.5" customHeight="1" x14ac:dyDescent="0.35">
      <c r="A2309" t="s">
        <v>84</v>
      </c>
      <c r="B2309" t="s">
        <v>1230</v>
      </c>
      <c r="C2309" t="s">
        <v>846</v>
      </c>
      <c r="D2309">
        <v>3100056</v>
      </c>
      <c r="E2309">
        <v>3100618</v>
      </c>
      <c r="F2309" t="s">
        <v>12</v>
      </c>
      <c r="G2309" t="s">
        <v>12</v>
      </c>
      <c r="H2309" t="s">
        <v>54</v>
      </c>
      <c r="I2309">
        <v>9924737</v>
      </c>
      <c r="J2309" s="12">
        <v>46125</v>
      </c>
      <c r="K2309" s="12">
        <v>46125</v>
      </c>
      <c r="L2309" s="12">
        <v>46159</v>
      </c>
      <c r="M2309">
        <v>-27</v>
      </c>
      <c r="N2309">
        <v>9738092</v>
      </c>
      <c r="O2309">
        <v>0</v>
      </c>
      <c r="P2309">
        <v>9738092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 t="s">
        <v>846</v>
      </c>
      <c r="AA2309" t="s">
        <v>501</v>
      </c>
      <c r="AB2309" t="s">
        <v>51</v>
      </c>
      <c r="AC2309" t="s">
        <v>51</v>
      </c>
      <c r="AD2309" t="s">
        <v>51</v>
      </c>
      <c r="AE2309" t="s">
        <v>1865</v>
      </c>
      <c r="AF2309" t="s">
        <v>155</v>
      </c>
    </row>
    <row r="2310" spans="1:32" ht="14.5" customHeight="1" x14ac:dyDescent="0.35">
      <c r="A2310" t="s">
        <v>84</v>
      </c>
      <c r="B2310" t="s">
        <v>1230</v>
      </c>
      <c r="C2310" t="s">
        <v>846</v>
      </c>
      <c r="D2310">
        <v>3100056</v>
      </c>
      <c r="E2310">
        <v>3100056</v>
      </c>
      <c r="F2310" t="s">
        <v>12</v>
      </c>
      <c r="G2310" t="s">
        <v>12</v>
      </c>
      <c r="H2310" t="s">
        <v>54</v>
      </c>
      <c r="I2310">
        <v>9924767</v>
      </c>
      <c r="J2310" s="12">
        <v>46125</v>
      </c>
      <c r="K2310" s="12">
        <v>46125</v>
      </c>
      <c r="L2310" s="12">
        <v>46158</v>
      </c>
      <c r="M2310">
        <v>-26</v>
      </c>
      <c r="N2310">
        <v>902877725</v>
      </c>
      <c r="O2310">
        <v>0</v>
      </c>
      <c r="P2310">
        <v>902877725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 t="s">
        <v>548</v>
      </c>
      <c r="AA2310" t="s">
        <v>501</v>
      </c>
      <c r="AB2310" t="s">
        <v>51</v>
      </c>
      <c r="AC2310" t="s">
        <v>51</v>
      </c>
      <c r="AD2310" t="s">
        <v>51</v>
      </c>
      <c r="AE2310" t="s">
        <v>1866</v>
      </c>
      <c r="AF2310" t="s">
        <v>1809</v>
      </c>
    </row>
    <row r="2311" spans="1:32" ht="14.5" customHeight="1" x14ac:dyDescent="0.35">
      <c r="A2311" t="s">
        <v>84</v>
      </c>
      <c r="B2311" t="s">
        <v>1230</v>
      </c>
      <c r="C2311" t="s">
        <v>846</v>
      </c>
      <c r="D2311">
        <v>3100056</v>
      </c>
      <c r="E2311">
        <v>3100612</v>
      </c>
      <c r="F2311" t="s">
        <v>12</v>
      </c>
      <c r="G2311" t="s">
        <v>12</v>
      </c>
      <c r="H2311" t="s">
        <v>54</v>
      </c>
      <c r="I2311">
        <v>9924769</v>
      </c>
      <c r="J2311" s="12">
        <v>46125</v>
      </c>
      <c r="K2311" s="12">
        <v>46125</v>
      </c>
      <c r="L2311" s="12">
        <v>46159</v>
      </c>
      <c r="M2311">
        <v>-27</v>
      </c>
      <c r="N2311">
        <v>713705780</v>
      </c>
      <c r="O2311">
        <v>0</v>
      </c>
      <c r="P2311">
        <v>713705780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 t="s">
        <v>846</v>
      </c>
      <c r="AA2311" t="s">
        <v>501</v>
      </c>
      <c r="AB2311" t="s">
        <v>51</v>
      </c>
      <c r="AC2311" t="s">
        <v>51</v>
      </c>
      <c r="AD2311" t="s">
        <v>51</v>
      </c>
      <c r="AE2311" t="s">
        <v>1867</v>
      </c>
      <c r="AF2311" t="s">
        <v>1228</v>
      </c>
    </row>
    <row r="2312" spans="1:32" ht="14.5" customHeight="1" x14ac:dyDescent="0.35">
      <c r="A2312" t="s">
        <v>84</v>
      </c>
      <c r="B2312" t="s">
        <v>1230</v>
      </c>
      <c r="C2312" t="s">
        <v>846</v>
      </c>
      <c r="D2312">
        <v>3100056</v>
      </c>
      <c r="E2312">
        <v>3100056</v>
      </c>
      <c r="F2312" t="s">
        <v>12</v>
      </c>
      <c r="G2312" t="s">
        <v>12</v>
      </c>
      <c r="H2312" t="s">
        <v>54</v>
      </c>
      <c r="I2312">
        <v>9925450</v>
      </c>
      <c r="J2312" s="12">
        <v>46126</v>
      </c>
      <c r="K2312" s="12">
        <v>46126</v>
      </c>
      <c r="L2312" s="12">
        <v>46159</v>
      </c>
      <c r="M2312">
        <v>-27</v>
      </c>
      <c r="N2312">
        <v>844695724</v>
      </c>
      <c r="O2312">
        <v>0</v>
      </c>
      <c r="P2312">
        <v>844695724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 t="s">
        <v>548</v>
      </c>
      <c r="AA2312" t="s">
        <v>501</v>
      </c>
      <c r="AB2312" t="s">
        <v>51</v>
      </c>
      <c r="AC2312" t="s">
        <v>51</v>
      </c>
      <c r="AD2312" t="s">
        <v>51</v>
      </c>
      <c r="AE2312" t="s">
        <v>1868</v>
      </c>
      <c r="AF2312" t="s">
        <v>528</v>
      </c>
    </row>
    <row r="2313" spans="1:32" ht="14.5" customHeight="1" x14ac:dyDescent="0.35">
      <c r="A2313" t="s">
        <v>84</v>
      </c>
      <c r="B2313" t="s">
        <v>1230</v>
      </c>
      <c r="C2313" t="s">
        <v>846</v>
      </c>
      <c r="D2313">
        <v>3100056</v>
      </c>
      <c r="E2313">
        <v>3100612</v>
      </c>
      <c r="F2313" t="s">
        <v>12</v>
      </c>
      <c r="G2313" t="s">
        <v>12</v>
      </c>
      <c r="H2313" t="s">
        <v>54</v>
      </c>
      <c r="I2313">
        <v>9926749</v>
      </c>
      <c r="J2313" s="12">
        <v>46129</v>
      </c>
      <c r="K2313" s="12">
        <v>46129</v>
      </c>
      <c r="L2313" s="12">
        <v>46163</v>
      </c>
      <c r="M2313">
        <v>-31</v>
      </c>
      <c r="N2313">
        <v>826230209</v>
      </c>
      <c r="O2313">
        <v>0</v>
      </c>
      <c r="P2313">
        <v>826230209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 t="s">
        <v>846</v>
      </c>
      <c r="AA2313" t="s">
        <v>501</v>
      </c>
      <c r="AB2313" t="s">
        <v>51</v>
      </c>
      <c r="AC2313" t="s">
        <v>51</v>
      </c>
      <c r="AD2313" t="s">
        <v>51</v>
      </c>
      <c r="AE2313" t="s">
        <v>1869</v>
      </c>
      <c r="AF2313" t="s">
        <v>1870</v>
      </c>
    </row>
    <row r="2314" spans="1:32" ht="14.5" customHeight="1" x14ac:dyDescent="0.35">
      <c r="A2314" t="s">
        <v>84</v>
      </c>
      <c r="B2314" t="s">
        <v>1230</v>
      </c>
      <c r="C2314" t="s">
        <v>846</v>
      </c>
      <c r="D2314">
        <v>3100056</v>
      </c>
      <c r="E2314">
        <v>3100056</v>
      </c>
      <c r="F2314" t="s">
        <v>12</v>
      </c>
      <c r="G2314" t="s">
        <v>12</v>
      </c>
      <c r="H2314" t="s">
        <v>54</v>
      </c>
      <c r="I2314">
        <v>9926751</v>
      </c>
      <c r="J2314" s="12">
        <v>46129</v>
      </c>
      <c r="K2314" s="12">
        <v>46129</v>
      </c>
      <c r="L2314" s="12">
        <v>46162</v>
      </c>
      <c r="M2314">
        <v>-30</v>
      </c>
      <c r="N2314">
        <v>741295777</v>
      </c>
      <c r="O2314">
        <v>0</v>
      </c>
      <c r="P2314">
        <v>741295777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 t="s">
        <v>548</v>
      </c>
      <c r="AA2314" t="s">
        <v>501</v>
      </c>
      <c r="AB2314" t="s">
        <v>51</v>
      </c>
      <c r="AC2314" t="s">
        <v>51</v>
      </c>
      <c r="AD2314" t="s">
        <v>51</v>
      </c>
      <c r="AE2314" t="s">
        <v>1871</v>
      </c>
      <c r="AF2314" t="s">
        <v>1679</v>
      </c>
    </row>
    <row r="2315" spans="1:32" ht="14.5" customHeight="1" x14ac:dyDescent="0.35">
      <c r="A2315" t="s">
        <v>774</v>
      </c>
      <c r="B2315" t="s">
        <v>1297</v>
      </c>
      <c r="C2315" t="s">
        <v>47</v>
      </c>
      <c r="D2315">
        <v>3100058</v>
      </c>
      <c r="E2315">
        <v>3100058</v>
      </c>
      <c r="F2315" t="s">
        <v>1263</v>
      </c>
      <c r="G2315" t="s">
        <v>1263</v>
      </c>
      <c r="H2315" t="s">
        <v>54</v>
      </c>
      <c r="I2315">
        <v>6955008</v>
      </c>
      <c r="J2315" s="12">
        <v>46091</v>
      </c>
      <c r="K2315" s="12">
        <v>46091</v>
      </c>
      <c r="L2315" s="12">
        <v>46091</v>
      </c>
      <c r="M2315">
        <v>41</v>
      </c>
      <c r="N2315">
        <v>-827214</v>
      </c>
      <c r="O2315">
        <v>-827214</v>
      </c>
      <c r="P2315">
        <v>0</v>
      </c>
      <c r="Q2315">
        <v>0</v>
      </c>
      <c r="R2315">
        <v>-827214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 t="s">
        <v>47</v>
      </c>
      <c r="AA2315" t="s">
        <v>501</v>
      </c>
      <c r="AB2315" t="s">
        <v>51</v>
      </c>
      <c r="AC2315" t="s">
        <v>51</v>
      </c>
      <c r="AD2315" t="s">
        <v>51</v>
      </c>
      <c r="AE2315" t="s">
        <v>51</v>
      </c>
      <c r="AF2315" t="s">
        <v>107</v>
      </c>
    </row>
    <row r="2316" spans="1:32" ht="14.5" customHeight="1" x14ac:dyDescent="0.35">
      <c r="A2316" t="s">
        <v>774</v>
      </c>
      <c r="B2316" t="s">
        <v>1297</v>
      </c>
      <c r="C2316" t="s">
        <v>47</v>
      </c>
      <c r="D2316">
        <v>3100058</v>
      </c>
      <c r="E2316">
        <v>3100058</v>
      </c>
      <c r="F2316" t="s">
        <v>1263</v>
      </c>
      <c r="G2316" t="s">
        <v>1263</v>
      </c>
      <c r="H2316" t="s">
        <v>54</v>
      </c>
      <c r="I2316">
        <v>6955009</v>
      </c>
      <c r="J2316" s="12">
        <v>46091</v>
      </c>
      <c r="K2316" s="12">
        <v>46091</v>
      </c>
      <c r="L2316" s="12">
        <v>46091</v>
      </c>
      <c r="M2316">
        <v>41</v>
      </c>
      <c r="N2316">
        <v>-519640</v>
      </c>
      <c r="O2316">
        <v>-519640</v>
      </c>
      <c r="P2316">
        <v>0</v>
      </c>
      <c r="Q2316">
        <v>0</v>
      </c>
      <c r="R2316">
        <v>-519640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 t="s">
        <v>47</v>
      </c>
      <c r="AA2316" t="s">
        <v>501</v>
      </c>
      <c r="AB2316" t="s">
        <v>51</v>
      </c>
      <c r="AC2316" t="s">
        <v>51</v>
      </c>
      <c r="AD2316" t="s">
        <v>51</v>
      </c>
      <c r="AE2316" t="s">
        <v>51</v>
      </c>
      <c r="AF2316" t="s">
        <v>108</v>
      </c>
    </row>
    <row r="2317" spans="1:32" ht="14.5" customHeight="1" x14ac:dyDescent="0.35">
      <c r="A2317" t="s">
        <v>774</v>
      </c>
      <c r="B2317" t="s">
        <v>1297</v>
      </c>
      <c r="C2317" t="s">
        <v>47</v>
      </c>
      <c r="D2317">
        <v>3100058</v>
      </c>
      <c r="E2317">
        <v>3100058</v>
      </c>
      <c r="F2317" t="s">
        <v>1263</v>
      </c>
      <c r="G2317" t="s">
        <v>1263</v>
      </c>
      <c r="H2317" t="s">
        <v>54</v>
      </c>
      <c r="I2317">
        <v>6955167</v>
      </c>
      <c r="J2317" s="12">
        <v>46093</v>
      </c>
      <c r="K2317" s="12">
        <v>46093</v>
      </c>
      <c r="L2317" s="12">
        <v>46093</v>
      </c>
      <c r="M2317">
        <v>39</v>
      </c>
      <c r="N2317">
        <v>-119521406</v>
      </c>
      <c r="O2317">
        <v>-119521406</v>
      </c>
      <c r="P2317">
        <v>0</v>
      </c>
      <c r="Q2317">
        <v>0</v>
      </c>
      <c r="R2317">
        <v>-119521406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 t="s">
        <v>47</v>
      </c>
      <c r="AA2317" t="s">
        <v>501</v>
      </c>
      <c r="AB2317" t="s">
        <v>51</v>
      </c>
      <c r="AC2317" t="s">
        <v>51</v>
      </c>
      <c r="AD2317" t="s">
        <v>51</v>
      </c>
      <c r="AE2317" t="s">
        <v>51</v>
      </c>
      <c r="AF2317" t="s">
        <v>56</v>
      </c>
    </row>
    <row r="2318" spans="1:32" ht="14.5" customHeight="1" x14ac:dyDescent="0.35">
      <c r="A2318" t="s">
        <v>774</v>
      </c>
      <c r="B2318" t="s">
        <v>775</v>
      </c>
      <c r="C2318" t="s">
        <v>47</v>
      </c>
      <c r="D2318">
        <v>3100058</v>
      </c>
      <c r="E2318">
        <v>3100059</v>
      </c>
      <c r="F2318" t="s">
        <v>1263</v>
      </c>
      <c r="G2318" t="s">
        <v>1263</v>
      </c>
      <c r="H2318" t="s">
        <v>54</v>
      </c>
      <c r="I2318">
        <v>6955168</v>
      </c>
      <c r="J2318" s="12">
        <v>46093</v>
      </c>
      <c r="K2318" s="12">
        <v>46093</v>
      </c>
      <c r="L2318" s="12">
        <v>46093</v>
      </c>
      <c r="M2318">
        <v>39</v>
      </c>
      <c r="N2318">
        <v>-179975364</v>
      </c>
      <c r="O2318">
        <v>-179975364</v>
      </c>
      <c r="P2318">
        <v>0</v>
      </c>
      <c r="Q2318">
        <v>0</v>
      </c>
      <c r="R2318">
        <v>-179975364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 t="s">
        <v>47</v>
      </c>
      <c r="AA2318" t="s">
        <v>501</v>
      </c>
      <c r="AB2318" t="s">
        <v>51</v>
      </c>
      <c r="AC2318" t="s">
        <v>51</v>
      </c>
      <c r="AD2318" t="s">
        <v>51</v>
      </c>
      <c r="AE2318" t="s">
        <v>51</v>
      </c>
      <c r="AF2318" t="s">
        <v>56</v>
      </c>
    </row>
    <row r="2319" spans="1:32" ht="14.5" customHeight="1" x14ac:dyDescent="0.35">
      <c r="A2319" t="s">
        <v>774</v>
      </c>
      <c r="B2319" t="s">
        <v>775</v>
      </c>
      <c r="C2319" t="s">
        <v>47</v>
      </c>
      <c r="D2319">
        <v>3100058</v>
      </c>
      <c r="E2319">
        <v>3100059</v>
      </c>
      <c r="F2319" t="s">
        <v>1263</v>
      </c>
      <c r="G2319" t="s">
        <v>1263</v>
      </c>
      <c r="H2319" t="s">
        <v>54</v>
      </c>
      <c r="I2319">
        <v>6955273</v>
      </c>
      <c r="J2319" s="12">
        <v>46093</v>
      </c>
      <c r="K2319" s="12">
        <v>46093</v>
      </c>
      <c r="L2319" s="12">
        <v>46093</v>
      </c>
      <c r="M2319">
        <v>39</v>
      </c>
      <c r="N2319">
        <v>-1471500</v>
      </c>
      <c r="O2319">
        <v>-1471500</v>
      </c>
      <c r="P2319">
        <v>0</v>
      </c>
      <c r="Q2319">
        <v>0</v>
      </c>
      <c r="R2319">
        <v>-1471500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 t="s">
        <v>47</v>
      </c>
      <c r="AA2319" t="s">
        <v>501</v>
      </c>
      <c r="AB2319" t="s">
        <v>51</v>
      </c>
      <c r="AC2319" t="s">
        <v>51</v>
      </c>
      <c r="AD2319" t="s">
        <v>51</v>
      </c>
      <c r="AE2319" t="s">
        <v>51</v>
      </c>
      <c r="AF2319" t="s">
        <v>1872</v>
      </c>
    </row>
    <row r="2320" spans="1:32" ht="14.5" customHeight="1" x14ac:dyDescent="0.35">
      <c r="A2320" t="s">
        <v>774</v>
      </c>
      <c r="B2320" t="s">
        <v>775</v>
      </c>
      <c r="C2320" t="s">
        <v>47</v>
      </c>
      <c r="D2320">
        <v>3100058</v>
      </c>
      <c r="E2320">
        <v>3100059</v>
      </c>
      <c r="F2320" t="s">
        <v>1263</v>
      </c>
      <c r="G2320" t="s">
        <v>1263</v>
      </c>
      <c r="H2320" t="s">
        <v>54</v>
      </c>
      <c r="I2320">
        <v>6955274</v>
      </c>
      <c r="J2320" s="12">
        <v>46093</v>
      </c>
      <c r="K2320" s="12">
        <v>46093</v>
      </c>
      <c r="L2320" s="12">
        <v>46093</v>
      </c>
      <c r="M2320">
        <v>39</v>
      </c>
      <c r="N2320">
        <v>-2561500</v>
      </c>
      <c r="O2320">
        <v>-2561500</v>
      </c>
      <c r="P2320">
        <v>0</v>
      </c>
      <c r="Q2320">
        <v>0</v>
      </c>
      <c r="R2320">
        <v>-2561500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 t="s">
        <v>47</v>
      </c>
      <c r="AA2320" t="s">
        <v>501</v>
      </c>
      <c r="AB2320" t="s">
        <v>51</v>
      </c>
      <c r="AC2320" t="s">
        <v>51</v>
      </c>
      <c r="AD2320" t="s">
        <v>51</v>
      </c>
      <c r="AE2320" t="s">
        <v>51</v>
      </c>
      <c r="AF2320" t="s">
        <v>1872</v>
      </c>
    </row>
    <row r="2321" spans="1:32" ht="14.5" customHeight="1" x14ac:dyDescent="0.35">
      <c r="A2321" t="s">
        <v>774</v>
      </c>
      <c r="B2321" t="s">
        <v>1297</v>
      </c>
      <c r="C2321" t="s">
        <v>47</v>
      </c>
      <c r="D2321">
        <v>3100058</v>
      </c>
      <c r="E2321">
        <v>3100058</v>
      </c>
      <c r="F2321" t="s">
        <v>1263</v>
      </c>
      <c r="G2321" t="s">
        <v>1263</v>
      </c>
      <c r="H2321" t="s">
        <v>54</v>
      </c>
      <c r="I2321">
        <v>6955315</v>
      </c>
      <c r="J2321" s="12">
        <v>46093</v>
      </c>
      <c r="K2321" s="12">
        <v>46093</v>
      </c>
      <c r="L2321" s="12">
        <v>46093</v>
      </c>
      <c r="M2321">
        <v>39</v>
      </c>
      <c r="N2321">
        <v>-2616000</v>
      </c>
      <c r="O2321">
        <v>-2616000</v>
      </c>
      <c r="P2321">
        <v>0</v>
      </c>
      <c r="Q2321">
        <v>0</v>
      </c>
      <c r="R2321">
        <v>-2616000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 t="s">
        <v>47</v>
      </c>
      <c r="AA2321" t="s">
        <v>501</v>
      </c>
      <c r="AB2321" t="s">
        <v>51</v>
      </c>
      <c r="AC2321" t="s">
        <v>51</v>
      </c>
      <c r="AD2321" t="s">
        <v>51</v>
      </c>
      <c r="AE2321" t="s">
        <v>51</v>
      </c>
      <c r="AF2321" t="s">
        <v>1873</v>
      </c>
    </row>
    <row r="2322" spans="1:32" ht="14.5" customHeight="1" x14ac:dyDescent="0.35">
      <c r="A2322" t="s">
        <v>774</v>
      </c>
      <c r="B2322" t="s">
        <v>775</v>
      </c>
      <c r="C2322" t="s">
        <v>47</v>
      </c>
      <c r="D2322">
        <v>3100058</v>
      </c>
      <c r="E2322">
        <v>3100059</v>
      </c>
      <c r="F2322" t="s">
        <v>1263</v>
      </c>
      <c r="G2322" t="s">
        <v>1263</v>
      </c>
      <c r="H2322" t="s">
        <v>54</v>
      </c>
      <c r="I2322">
        <v>6955316</v>
      </c>
      <c r="J2322" s="12">
        <v>46093</v>
      </c>
      <c r="K2322" s="12">
        <v>46093</v>
      </c>
      <c r="L2322" s="12">
        <v>46093</v>
      </c>
      <c r="M2322">
        <v>39</v>
      </c>
      <c r="N2322">
        <v>-15532500</v>
      </c>
      <c r="O2322">
        <v>-15532500</v>
      </c>
      <c r="P2322">
        <v>0</v>
      </c>
      <c r="Q2322">
        <v>0</v>
      </c>
      <c r="R2322">
        <v>-15532500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 t="s">
        <v>47</v>
      </c>
      <c r="AA2322" t="s">
        <v>501</v>
      </c>
      <c r="AB2322" t="s">
        <v>51</v>
      </c>
      <c r="AC2322" t="s">
        <v>51</v>
      </c>
      <c r="AD2322" t="s">
        <v>51</v>
      </c>
      <c r="AE2322" t="s">
        <v>51</v>
      </c>
      <c r="AF2322" t="s">
        <v>1874</v>
      </c>
    </row>
    <row r="2323" spans="1:32" ht="14.5" customHeight="1" x14ac:dyDescent="0.35">
      <c r="A2323" t="s">
        <v>774</v>
      </c>
      <c r="B2323" t="s">
        <v>775</v>
      </c>
      <c r="C2323" t="s">
        <v>47</v>
      </c>
      <c r="D2323">
        <v>3100058</v>
      </c>
      <c r="E2323">
        <v>3100059</v>
      </c>
      <c r="F2323" t="s">
        <v>1263</v>
      </c>
      <c r="G2323" t="s">
        <v>1263</v>
      </c>
      <c r="H2323" t="s">
        <v>54</v>
      </c>
      <c r="I2323">
        <v>6955317</v>
      </c>
      <c r="J2323" s="12">
        <v>46093</v>
      </c>
      <c r="K2323" s="12">
        <v>46093</v>
      </c>
      <c r="L2323" s="12">
        <v>46093</v>
      </c>
      <c r="M2323">
        <v>39</v>
      </c>
      <c r="N2323">
        <v>-1308000</v>
      </c>
      <c r="O2323">
        <v>-1308000</v>
      </c>
      <c r="P2323">
        <v>0</v>
      </c>
      <c r="Q2323">
        <v>0</v>
      </c>
      <c r="R2323">
        <v>-1308000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 t="s">
        <v>47</v>
      </c>
      <c r="AA2323" t="s">
        <v>501</v>
      </c>
      <c r="AB2323" t="s">
        <v>51</v>
      </c>
      <c r="AC2323" t="s">
        <v>51</v>
      </c>
      <c r="AD2323" t="s">
        <v>51</v>
      </c>
      <c r="AE2323" t="s">
        <v>51</v>
      </c>
      <c r="AF2323" t="s">
        <v>1874</v>
      </c>
    </row>
    <row r="2324" spans="1:32" ht="14.5" customHeight="1" x14ac:dyDescent="0.35">
      <c r="A2324" t="s">
        <v>774</v>
      </c>
      <c r="B2324" t="s">
        <v>775</v>
      </c>
      <c r="C2324" t="s">
        <v>47</v>
      </c>
      <c r="D2324">
        <v>3100058</v>
      </c>
      <c r="E2324">
        <v>3100059</v>
      </c>
      <c r="F2324" t="s">
        <v>1263</v>
      </c>
      <c r="G2324" t="s">
        <v>1263</v>
      </c>
      <c r="H2324" t="s">
        <v>54</v>
      </c>
      <c r="I2324">
        <v>6955318</v>
      </c>
      <c r="J2324" s="12">
        <v>46093</v>
      </c>
      <c r="K2324" s="12">
        <v>46093</v>
      </c>
      <c r="L2324" s="12">
        <v>46093</v>
      </c>
      <c r="M2324">
        <v>39</v>
      </c>
      <c r="N2324">
        <v>-17422500</v>
      </c>
      <c r="O2324">
        <v>-17422500</v>
      </c>
      <c r="P2324">
        <v>0</v>
      </c>
      <c r="Q2324">
        <v>0</v>
      </c>
      <c r="R2324">
        <v>-17422500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 t="s">
        <v>47</v>
      </c>
      <c r="AA2324" t="s">
        <v>501</v>
      </c>
      <c r="AB2324" t="s">
        <v>51</v>
      </c>
      <c r="AC2324" t="s">
        <v>51</v>
      </c>
      <c r="AD2324" t="s">
        <v>51</v>
      </c>
      <c r="AE2324" t="s">
        <v>51</v>
      </c>
      <c r="AF2324" t="s">
        <v>1874</v>
      </c>
    </row>
    <row r="2325" spans="1:32" ht="14.5" customHeight="1" x14ac:dyDescent="0.35">
      <c r="A2325" t="s">
        <v>774</v>
      </c>
      <c r="B2325" t="s">
        <v>775</v>
      </c>
      <c r="C2325" t="s">
        <v>47</v>
      </c>
      <c r="D2325">
        <v>3100058</v>
      </c>
      <c r="E2325">
        <v>3100059</v>
      </c>
      <c r="F2325" t="s">
        <v>1263</v>
      </c>
      <c r="G2325" t="s">
        <v>1263</v>
      </c>
      <c r="H2325" t="s">
        <v>54</v>
      </c>
      <c r="I2325">
        <v>6955319</v>
      </c>
      <c r="J2325" s="12">
        <v>46093</v>
      </c>
      <c r="K2325" s="12">
        <v>46093</v>
      </c>
      <c r="L2325" s="12">
        <v>46093</v>
      </c>
      <c r="M2325">
        <v>39</v>
      </c>
      <c r="N2325">
        <v>-15532500</v>
      </c>
      <c r="O2325">
        <v>-15532500</v>
      </c>
      <c r="P2325">
        <v>0</v>
      </c>
      <c r="Q2325">
        <v>0</v>
      </c>
      <c r="R2325">
        <v>-15532500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 t="s">
        <v>47</v>
      </c>
      <c r="AA2325" t="s">
        <v>501</v>
      </c>
      <c r="AB2325" t="s">
        <v>51</v>
      </c>
      <c r="AC2325" t="s">
        <v>51</v>
      </c>
      <c r="AD2325" t="s">
        <v>51</v>
      </c>
      <c r="AE2325" t="s">
        <v>51</v>
      </c>
      <c r="AF2325" t="s">
        <v>1875</v>
      </c>
    </row>
    <row r="2326" spans="1:32" ht="14.5" customHeight="1" x14ac:dyDescent="0.35">
      <c r="A2326" t="s">
        <v>774</v>
      </c>
      <c r="B2326" t="s">
        <v>775</v>
      </c>
      <c r="C2326" t="s">
        <v>47</v>
      </c>
      <c r="D2326">
        <v>3100058</v>
      </c>
      <c r="E2326">
        <v>3100059</v>
      </c>
      <c r="F2326" t="s">
        <v>1263</v>
      </c>
      <c r="G2326" t="s">
        <v>1263</v>
      </c>
      <c r="H2326" t="s">
        <v>54</v>
      </c>
      <c r="I2326">
        <v>6955320</v>
      </c>
      <c r="J2326" s="12">
        <v>46093</v>
      </c>
      <c r="K2326" s="12">
        <v>46093</v>
      </c>
      <c r="L2326" s="12">
        <v>46093</v>
      </c>
      <c r="M2326">
        <v>39</v>
      </c>
      <c r="N2326">
        <v>-18802500</v>
      </c>
      <c r="O2326">
        <v>-18802500</v>
      </c>
      <c r="P2326">
        <v>0</v>
      </c>
      <c r="Q2326">
        <v>0</v>
      </c>
      <c r="R2326">
        <v>-18802500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 t="s">
        <v>47</v>
      </c>
      <c r="AA2326" t="s">
        <v>501</v>
      </c>
      <c r="AB2326" t="s">
        <v>51</v>
      </c>
      <c r="AC2326" t="s">
        <v>51</v>
      </c>
      <c r="AD2326" t="s">
        <v>51</v>
      </c>
      <c r="AE2326" t="s">
        <v>51</v>
      </c>
      <c r="AF2326" t="s">
        <v>1875</v>
      </c>
    </row>
    <row r="2327" spans="1:32" ht="14.5" customHeight="1" x14ac:dyDescent="0.35">
      <c r="A2327" t="s">
        <v>774</v>
      </c>
      <c r="B2327" t="s">
        <v>775</v>
      </c>
      <c r="C2327" t="s">
        <v>47</v>
      </c>
      <c r="D2327">
        <v>3100058</v>
      </c>
      <c r="E2327">
        <v>3100059</v>
      </c>
      <c r="F2327" t="s">
        <v>1263</v>
      </c>
      <c r="G2327" t="s">
        <v>1263</v>
      </c>
      <c r="H2327" t="s">
        <v>54</v>
      </c>
      <c r="I2327">
        <v>6955321</v>
      </c>
      <c r="J2327" s="12">
        <v>46093</v>
      </c>
      <c r="K2327" s="12">
        <v>46093</v>
      </c>
      <c r="L2327" s="12">
        <v>46093</v>
      </c>
      <c r="M2327">
        <v>39</v>
      </c>
      <c r="N2327">
        <v>-18802500</v>
      </c>
      <c r="O2327">
        <v>-18802500</v>
      </c>
      <c r="P2327">
        <v>0</v>
      </c>
      <c r="Q2327">
        <v>0</v>
      </c>
      <c r="R2327">
        <v>-18802500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 t="s">
        <v>47</v>
      </c>
      <c r="AA2327" t="s">
        <v>501</v>
      </c>
      <c r="AB2327" t="s">
        <v>51</v>
      </c>
      <c r="AC2327" t="s">
        <v>51</v>
      </c>
      <c r="AD2327" t="s">
        <v>51</v>
      </c>
      <c r="AE2327" t="s">
        <v>51</v>
      </c>
      <c r="AF2327" t="s">
        <v>1875</v>
      </c>
    </row>
    <row r="2328" spans="1:32" ht="14.5" customHeight="1" x14ac:dyDescent="0.35">
      <c r="A2328" t="s">
        <v>774</v>
      </c>
      <c r="B2328" t="s">
        <v>775</v>
      </c>
      <c r="C2328" t="s">
        <v>47</v>
      </c>
      <c r="D2328">
        <v>3100058</v>
      </c>
      <c r="E2328">
        <v>3100059</v>
      </c>
      <c r="F2328" t="s">
        <v>1263</v>
      </c>
      <c r="G2328" t="s">
        <v>1263</v>
      </c>
      <c r="H2328" t="s">
        <v>54</v>
      </c>
      <c r="I2328">
        <v>6955322</v>
      </c>
      <c r="J2328" s="12">
        <v>46093</v>
      </c>
      <c r="K2328" s="12">
        <v>46093</v>
      </c>
      <c r="L2328" s="12">
        <v>46093</v>
      </c>
      <c r="M2328">
        <v>39</v>
      </c>
      <c r="N2328">
        <v>-981000</v>
      </c>
      <c r="O2328">
        <v>-981000</v>
      </c>
      <c r="P2328">
        <v>0</v>
      </c>
      <c r="Q2328">
        <v>0</v>
      </c>
      <c r="R2328">
        <v>-981000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 t="s">
        <v>47</v>
      </c>
      <c r="AA2328" t="s">
        <v>501</v>
      </c>
      <c r="AB2328" t="s">
        <v>51</v>
      </c>
      <c r="AC2328" t="s">
        <v>51</v>
      </c>
      <c r="AD2328" t="s">
        <v>51</v>
      </c>
      <c r="AE2328" t="s">
        <v>51</v>
      </c>
      <c r="AF2328" t="s">
        <v>1875</v>
      </c>
    </row>
    <row r="2329" spans="1:32" ht="14.5" customHeight="1" x14ac:dyDescent="0.35">
      <c r="A2329" t="s">
        <v>774</v>
      </c>
      <c r="B2329" t="s">
        <v>775</v>
      </c>
      <c r="C2329" t="s">
        <v>47</v>
      </c>
      <c r="D2329">
        <v>3100058</v>
      </c>
      <c r="E2329">
        <v>3100059</v>
      </c>
      <c r="F2329" t="s">
        <v>1263</v>
      </c>
      <c r="G2329" t="s">
        <v>1263</v>
      </c>
      <c r="H2329" t="s">
        <v>54</v>
      </c>
      <c r="I2329">
        <v>6955323</v>
      </c>
      <c r="J2329" s="12">
        <v>46093</v>
      </c>
      <c r="K2329" s="12">
        <v>46093</v>
      </c>
      <c r="L2329" s="12">
        <v>46093</v>
      </c>
      <c r="M2329">
        <v>39</v>
      </c>
      <c r="N2329">
        <v>-1090000</v>
      </c>
      <c r="O2329">
        <v>-1090000</v>
      </c>
      <c r="P2329">
        <v>0</v>
      </c>
      <c r="Q2329">
        <v>0</v>
      </c>
      <c r="R2329">
        <v>-1090000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 t="s">
        <v>47</v>
      </c>
      <c r="AA2329" t="s">
        <v>501</v>
      </c>
      <c r="AB2329" t="s">
        <v>51</v>
      </c>
      <c r="AC2329" t="s">
        <v>51</v>
      </c>
      <c r="AD2329" t="s">
        <v>51</v>
      </c>
      <c r="AE2329" t="s">
        <v>51</v>
      </c>
      <c r="AF2329" t="s">
        <v>1872</v>
      </c>
    </row>
    <row r="2330" spans="1:32" ht="14.5" customHeight="1" x14ac:dyDescent="0.35">
      <c r="A2330" t="s">
        <v>774</v>
      </c>
      <c r="B2330" t="s">
        <v>775</v>
      </c>
      <c r="C2330" t="s">
        <v>47</v>
      </c>
      <c r="D2330">
        <v>3100058</v>
      </c>
      <c r="E2330">
        <v>3100059</v>
      </c>
      <c r="F2330" t="s">
        <v>1263</v>
      </c>
      <c r="G2330" t="s">
        <v>1263</v>
      </c>
      <c r="H2330" t="s">
        <v>54</v>
      </c>
      <c r="I2330">
        <v>6955324</v>
      </c>
      <c r="J2330" s="12">
        <v>46093</v>
      </c>
      <c r="K2330" s="12">
        <v>46093</v>
      </c>
      <c r="L2330" s="12">
        <v>46093</v>
      </c>
      <c r="M2330">
        <v>39</v>
      </c>
      <c r="N2330">
        <v>-3542500</v>
      </c>
      <c r="O2330">
        <v>-3542500</v>
      </c>
      <c r="P2330">
        <v>0</v>
      </c>
      <c r="Q2330">
        <v>0</v>
      </c>
      <c r="R2330">
        <v>-3542500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 t="s">
        <v>47</v>
      </c>
      <c r="AA2330" t="s">
        <v>501</v>
      </c>
      <c r="AB2330" t="s">
        <v>51</v>
      </c>
      <c r="AC2330" t="s">
        <v>51</v>
      </c>
      <c r="AD2330" t="s">
        <v>51</v>
      </c>
      <c r="AE2330" t="s">
        <v>51</v>
      </c>
      <c r="AF2330" t="s">
        <v>1872</v>
      </c>
    </row>
    <row r="2331" spans="1:32" ht="14.5" customHeight="1" x14ac:dyDescent="0.35">
      <c r="A2331" t="s">
        <v>774</v>
      </c>
      <c r="B2331" t="s">
        <v>1297</v>
      </c>
      <c r="C2331" t="s">
        <v>47</v>
      </c>
      <c r="D2331">
        <v>3100058</v>
      </c>
      <c r="E2331">
        <v>3100058</v>
      </c>
      <c r="F2331" t="s">
        <v>1263</v>
      </c>
      <c r="G2331" t="s">
        <v>1263</v>
      </c>
      <c r="H2331" t="s">
        <v>54</v>
      </c>
      <c r="I2331">
        <v>6955422</v>
      </c>
      <c r="J2331" s="12">
        <v>46093</v>
      </c>
      <c r="K2331" s="12">
        <v>46093</v>
      </c>
      <c r="L2331" s="12">
        <v>46093</v>
      </c>
      <c r="M2331">
        <v>39</v>
      </c>
      <c r="N2331">
        <v>-7200000</v>
      </c>
      <c r="O2331">
        <v>-7200000</v>
      </c>
      <c r="P2331">
        <v>0</v>
      </c>
      <c r="Q2331">
        <v>0</v>
      </c>
      <c r="R2331">
        <v>-7200000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 t="s">
        <v>47</v>
      </c>
      <c r="AA2331" t="s">
        <v>501</v>
      </c>
      <c r="AB2331" t="s">
        <v>51</v>
      </c>
      <c r="AC2331" t="s">
        <v>51</v>
      </c>
      <c r="AD2331" t="s">
        <v>51</v>
      </c>
      <c r="AE2331" t="s">
        <v>51</v>
      </c>
      <c r="AF2331" t="s">
        <v>1876</v>
      </c>
    </row>
    <row r="2332" spans="1:32" ht="14.5" customHeight="1" x14ac:dyDescent="0.35">
      <c r="A2332" t="s">
        <v>774</v>
      </c>
      <c r="B2332" t="s">
        <v>1297</v>
      </c>
      <c r="C2332" t="s">
        <v>47</v>
      </c>
      <c r="D2332">
        <v>3100058</v>
      </c>
      <c r="E2332">
        <v>3100058</v>
      </c>
      <c r="F2332" t="s">
        <v>1263</v>
      </c>
      <c r="G2332" t="s">
        <v>1263</v>
      </c>
      <c r="H2332" t="s">
        <v>54</v>
      </c>
      <c r="I2332">
        <v>6955423</v>
      </c>
      <c r="J2332" s="12">
        <v>46093</v>
      </c>
      <c r="K2332" s="12">
        <v>46093</v>
      </c>
      <c r="L2332" s="12">
        <v>46093</v>
      </c>
      <c r="M2332">
        <v>39</v>
      </c>
      <c r="N2332">
        <v>-28874504</v>
      </c>
      <c r="O2332">
        <v>-28874504</v>
      </c>
      <c r="P2332">
        <v>0</v>
      </c>
      <c r="Q2332">
        <v>0</v>
      </c>
      <c r="R2332">
        <v>-28874504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 t="s">
        <v>47</v>
      </c>
      <c r="AA2332" t="s">
        <v>501</v>
      </c>
      <c r="AB2332" t="s">
        <v>51</v>
      </c>
      <c r="AC2332" t="s">
        <v>51</v>
      </c>
      <c r="AD2332" t="s">
        <v>51</v>
      </c>
      <c r="AE2332" t="s">
        <v>51</v>
      </c>
      <c r="AF2332" t="s">
        <v>1265</v>
      </c>
    </row>
    <row r="2333" spans="1:32" ht="14.5" customHeight="1" x14ac:dyDescent="0.35">
      <c r="A2333" t="s">
        <v>774</v>
      </c>
      <c r="B2333" t="s">
        <v>775</v>
      </c>
      <c r="C2333" t="s">
        <v>47</v>
      </c>
      <c r="D2333">
        <v>3100058</v>
      </c>
      <c r="E2333">
        <v>3100059</v>
      </c>
      <c r="F2333" t="s">
        <v>1263</v>
      </c>
      <c r="G2333" t="s">
        <v>1263</v>
      </c>
      <c r="H2333" t="s">
        <v>54</v>
      </c>
      <c r="I2333">
        <v>6955437</v>
      </c>
      <c r="J2333" s="12">
        <v>46093</v>
      </c>
      <c r="K2333" s="12">
        <v>46093</v>
      </c>
      <c r="L2333" s="12">
        <v>46093</v>
      </c>
      <c r="M2333">
        <v>39</v>
      </c>
      <c r="N2333">
        <v>-6120000</v>
      </c>
      <c r="O2333">
        <v>-6120000</v>
      </c>
      <c r="P2333">
        <v>0</v>
      </c>
      <c r="Q2333">
        <v>0</v>
      </c>
      <c r="R2333">
        <v>-6120000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 t="s">
        <v>47</v>
      </c>
      <c r="AA2333" t="s">
        <v>501</v>
      </c>
      <c r="AB2333" t="s">
        <v>51</v>
      </c>
      <c r="AC2333" t="s">
        <v>51</v>
      </c>
      <c r="AD2333" t="s">
        <v>51</v>
      </c>
      <c r="AE2333" t="s">
        <v>51</v>
      </c>
      <c r="AF2333" t="s">
        <v>1877</v>
      </c>
    </row>
    <row r="2334" spans="1:32" ht="14.5" customHeight="1" x14ac:dyDescent="0.35">
      <c r="A2334" t="s">
        <v>774</v>
      </c>
      <c r="B2334" t="s">
        <v>775</v>
      </c>
      <c r="C2334" t="s">
        <v>47</v>
      </c>
      <c r="D2334">
        <v>3100058</v>
      </c>
      <c r="E2334">
        <v>3100059</v>
      </c>
      <c r="F2334" t="s">
        <v>1263</v>
      </c>
      <c r="G2334" t="s">
        <v>1263</v>
      </c>
      <c r="H2334" t="s">
        <v>54</v>
      </c>
      <c r="I2334">
        <v>6955438</v>
      </c>
      <c r="J2334" s="12">
        <v>46093</v>
      </c>
      <c r="K2334" s="12">
        <v>46093</v>
      </c>
      <c r="L2334" s="12">
        <v>46093</v>
      </c>
      <c r="M2334">
        <v>39</v>
      </c>
      <c r="N2334">
        <v>-5737500</v>
      </c>
      <c r="O2334">
        <v>-5737500</v>
      </c>
      <c r="P2334">
        <v>0</v>
      </c>
      <c r="Q2334">
        <v>0</v>
      </c>
      <c r="R2334">
        <v>-5737500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 t="s">
        <v>47</v>
      </c>
      <c r="AA2334" t="s">
        <v>501</v>
      </c>
      <c r="AB2334" t="s">
        <v>51</v>
      </c>
      <c r="AC2334" t="s">
        <v>51</v>
      </c>
      <c r="AD2334" t="s">
        <v>51</v>
      </c>
      <c r="AE2334" t="s">
        <v>51</v>
      </c>
      <c r="AF2334" t="s">
        <v>1878</v>
      </c>
    </row>
    <row r="2335" spans="1:32" ht="14.5" customHeight="1" x14ac:dyDescent="0.35">
      <c r="A2335" t="s">
        <v>774</v>
      </c>
      <c r="B2335" t="s">
        <v>775</v>
      </c>
      <c r="C2335" t="s">
        <v>47</v>
      </c>
      <c r="D2335">
        <v>3100058</v>
      </c>
      <c r="E2335">
        <v>3100059</v>
      </c>
      <c r="F2335" t="s">
        <v>1263</v>
      </c>
      <c r="G2335" t="s">
        <v>1263</v>
      </c>
      <c r="H2335" t="s">
        <v>54</v>
      </c>
      <c r="I2335">
        <v>6955452</v>
      </c>
      <c r="J2335" s="12">
        <v>46093</v>
      </c>
      <c r="K2335" s="12">
        <v>46093</v>
      </c>
      <c r="L2335" s="12">
        <v>46093</v>
      </c>
      <c r="M2335">
        <v>39</v>
      </c>
      <c r="N2335">
        <v>-29163508</v>
      </c>
      <c r="O2335">
        <v>-29163508</v>
      </c>
      <c r="P2335">
        <v>0</v>
      </c>
      <c r="Q2335">
        <v>0</v>
      </c>
      <c r="R2335">
        <v>-29163508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 t="s">
        <v>47</v>
      </c>
      <c r="AA2335" t="s">
        <v>501</v>
      </c>
      <c r="AB2335" t="s">
        <v>51</v>
      </c>
      <c r="AC2335" t="s">
        <v>51</v>
      </c>
      <c r="AD2335" t="s">
        <v>51</v>
      </c>
      <c r="AE2335" t="s">
        <v>51</v>
      </c>
      <c r="AF2335" t="s">
        <v>1265</v>
      </c>
    </row>
    <row r="2336" spans="1:32" ht="14.5" customHeight="1" x14ac:dyDescent="0.35">
      <c r="A2336" t="s">
        <v>774</v>
      </c>
      <c r="B2336" t="s">
        <v>775</v>
      </c>
      <c r="C2336" t="s">
        <v>47</v>
      </c>
      <c r="D2336">
        <v>3100058</v>
      </c>
      <c r="E2336">
        <v>3100059</v>
      </c>
      <c r="F2336" t="s">
        <v>1263</v>
      </c>
      <c r="G2336" t="s">
        <v>1263</v>
      </c>
      <c r="H2336" t="s">
        <v>54</v>
      </c>
      <c r="I2336">
        <v>6955767</v>
      </c>
      <c r="J2336" s="12">
        <v>46095</v>
      </c>
      <c r="K2336" s="12">
        <v>46095</v>
      </c>
      <c r="L2336" s="12">
        <v>46095</v>
      </c>
      <c r="M2336">
        <v>37</v>
      </c>
      <c r="N2336">
        <v>-11616294</v>
      </c>
      <c r="O2336">
        <v>-11616294</v>
      </c>
      <c r="P2336">
        <v>0</v>
      </c>
      <c r="Q2336">
        <v>0</v>
      </c>
      <c r="R2336">
        <v>-11616294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 t="s">
        <v>47</v>
      </c>
      <c r="AA2336" t="s">
        <v>501</v>
      </c>
      <c r="AB2336" t="s">
        <v>51</v>
      </c>
      <c r="AC2336" t="s">
        <v>51</v>
      </c>
      <c r="AD2336" t="s">
        <v>51</v>
      </c>
      <c r="AE2336" t="s">
        <v>51</v>
      </c>
      <c r="AF2336" t="s">
        <v>1879</v>
      </c>
    </row>
    <row r="2337" spans="1:32" ht="14.5" customHeight="1" x14ac:dyDescent="0.35">
      <c r="A2337" t="s">
        <v>774</v>
      </c>
      <c r="B2337" t="s">
        <v>775</v>
      </c>
      <c r="C2337" t="s">
        <v>47</v>
      </c>
      <c r="D2337">
        <v>3100058</v>
      </c>
      <c r="E2337">
        <v>3100059</v>
      </c>
      <c r="F2337" t="s">
        <v>1263</v>
      </c>
      <c r="G2337" t="s">
        <v>1263</v>
      </c>
      <c r="H2337" t="s">
        <v>54</v>
      </c>
      <c r="I2337">
        <v>6955768</v>
      </c>
      <c r="J2337" s="12">
        <v>46095</v>
      </c>
      <c r="K2337" s="12">
        <v>46095</v>
      </c>
      <c r="L2337" s="12">
        <v>46095</v>
      </c>
      <c r="M2337">
        <v>37</v>
      </c>
      <c r="N2337">
        <v>-789715</v>
      </c>
      <c r="O2337">
        <v>-789715</v>
      </c>
      <c r="P2337">
        <v>0</v>
      </c>
      <c r="Q2337">
        <v>0</v>
      </c>
      <c r="R2337">
        <v>-789715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 t="s">
        <v>47</v>
      </c>
      <c r="AA2337" t="s">
        <v>501</v>
      </c>
      <c r="AB2337" t="s">
        <v>51</v>
      </c>
      <c r="AC2337" t="s">
        <v>51</v>
      </c>
      <c r="AD2337" t="s">
        <v>51</v>
      </c>
      <c r="AE2337" t="s">
        <v>51</v>
      </c>
      <c r="AF2337" t="s">
        <v>1880</v>
      </c>
    </row>
    <row r="2338" spans="1:32" ht="14.5" customHeight="1" x14ac:dyDescent="0.35">
      <c r="A2338" t="s">
        <v>774</v>
      </c>
      <c r="B2338" t="s">
        <v>775</v>
      </c>
      <c r="C2338" t="s">
        <v>47</v>
      </c>
      <c r="D2338">
        <v>3100058</v>
      </c>
      <c r="E2338">
        <v>3100059</v>
      </c>
      <c r="F2338" t="s">
        <v>1263</v>
      </c>
      <c r="G2338" t="s">
        <v>1263</v>
      </c>
      <c r="H2338" t="s">
        <v>54</v>
      </c>
      <c r="I2338">
        <v>6955769</v>
      </c>
      <c r="J2338" s="12">
        <v>46095</v>
      </c>
      <c r="K2338" s="12">
        <v>46095</v>
      </c>
      <c r="L2338" s="12">
        <v>46095</v>
      </c>
      <c r="M2338">
        <v>37</v>
      </c>
      <c r="N2338">
        <v>-3605516</v>
      </c>
      <c r="O2338">
        <v>-3605516</v>
      </c>
      <c r="P2338">
        <v>0</v>
      </c>
      <c r="Q2338">
        <v>0</v>
      </c>
      <c r="R2338">
        <v>-3605516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 t="s">
        <v>47</v>
      </c>
      <c r="AA2338" t="s">
        <v>501</v>
      </c>
      <c r="AB2338" t="s">
        <v>51</v>
      </c>
      <c r="AC2338" t="s">
        <v>51</v>
      </c>
      <c r="AD2338" t="s">
        <v>51</v>
      </c>
      <c r="AE2338" t="s">
        <v>51</v>
      </c>
      <c r="AF2338" t="s">
        <v>1879</v>
      </c>
    </row>
    <row r="2339" spans="1:32" ht="14.5" customHeight="1" x14ac:dyDescent="0.35">
      <c r="A2339" t="s">
        <v>774</v>
      </c>
      <c r="B2339" t="s">
        <v>775</v>
      </c>
      <c r="C2339" t="s">
        <v>47</v>
      </c>
      <c r="D2339">
        <v>3100058</v>
      </c>
      <c r="E2339">
        <v>3100059</v>
      </c>
      <c r="F2339" t="s">
        <v>1263</v>
      </c>
      <c r="G2339" t="s">
        <v>1263</v>
      </c>
      <c r="H2339" t="s">
        <v>54</v>
      </c>
      <c r="I2339">
        <v>6955770</v>
      </c>
      <c r="J2339" s="12">
        <v>46095</v>
      </c>
      <c r="K2339" s="12">
        <v>46095</v>
      </c>
      <c r="L2339" s="12">
        <v>46095</v>
      </c>
      <c r="M2339">
        <v>37</v>
      </c>
      <c r="N2339">
        <v>-2227925</v>
      </c>
      <c r="O2339">
        <v>-2227925</v>
      </c>
      <c r="P2339">
        <v>0</v>
      </c>
      <c r="Q2339">
        <v>0</v>
      </c>
      <c r="R2339">
        <v>-2227925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 t="s">
        <v>47</v>
      </c>
      <c r="AA2339" t="s">
        <v>501</v>
      </c>
      <c r="AB2339" t="s">
        <v>51</v>
      </c>
      <c r="AC2339" t="s">
        <v>51</v>
      </c>
      <c r="AD2339" t="s">
        <v>51</v>
      </c>
      <c r="AE2339" t="s">
        <v>51</v>
      </c>
      <c r="AF2339" t="s">
        <v>1879</v>
      </c>
    </row>
    <row r="2340" spans="1:32" ht="14.5" customHeight="1" x14ac:dyDescent="0.35">
      <c r="A2340" t="s">
        <v>774</v>
      </c>
      <c r="B2340" t="s">
        <v>775</v>
      </c>
      <c r="C2340" t="s">
        <v>47</v>
      </c>
      <c r="D2340">
        <v>3100058</v>
      </c>
      <c r="E2340">
        <v>3100059</v>
      </c>
      <c r="F2340" t="s">
        <v>1263</v>
      </c>
      <c r="G2340" t="s">
        <v>1263</v>
      </c>
      <c r="H2340" t="s">
        <v>54</v>
      </c>
      <c r="I2340">
        <v>6955771</v>
      </c>
      <c r="J2340" s="12">
        <v>46095</v>
      </c>
      <c r="K2340" s="12">
        <v>46095</v>
      </c>
      <c r="L2340" s="12">
        <v>46095</v>
      </c>
      <c r="M2340">
        <v>37</v>
      </c>
      <c r="N2340">
        <v>-14358826</v>
      </c>
      <c r="O2340">
        <v>-14358826</v>
      </c>
      <c r="P2340">
        <v>0</v>
      </c>
      <c r="Q2340">
        <v>0</v>
      </c>
      <c r="R2340">
        <v>-14358826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 t="s">
        <v>47</v>
      </c>
      <c r="AA2340" t="s">
        <v>501</v>
      </c>
      <c r="AB2340" t="s">
        <v>51</v>
      </c>
      <c r="AC2340" t="s">
        <v>51</v>
      </c>
      <c r="AD2340" t="s">
        <v>51</v>
      </c>
      <c r="AE2340" t="s">
        <v>51</v>
      </c>
      <c r="AF2340" t="s">
        <v>1879</v>
      </c>
    </row>
    <row r="2341" spans="1:32" ht="14.5" customHeight="1" x14ac:dyDescent="0.35">
      <c r="A2341" t="s">
        <v>774</v>
      </c>
      <c r="B2341" t="s">
        <v>775</v>
      </c>
      <c r="C2341" t="s">
        <v>47</v>
      </c>
      <c r="D2341">
        <v>3100058</v>
      </c>
      <c r="E2341">
        <v>3100059</v>
      </c>
      <c r="F2341" t="s">
        <v>1263</v>
      </c>
      <c r="G2341" t="s">
        <v>1263</v>
      </c>
      <c r="H2341" t="s">
        <v>54</v>
      </c>
      <c r="I2341">
        <v>6955772</v>
      </c>
      <c r="J2341" s="12">
        <v>46095</v>
      </c>
      <c r="K2341" s="12">
        <v>46095</v>
      </c>
      <c r="L2341" s="12">
        <v>46095</v>
      </c>
      <c r="M2341">
        <v>37</v>
      </c>
      <c r="N2341">
        <v>-772285</v>
      </c>
      <c r="O2341">
        <v>-772285</v>
      </c>
      <c r="P2341">
        <v>0</v>
      </c>
      <c r="Q2341">
        <v>0</v>
      </c>
      <c r="R2341">
        <v>-772285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 t="s">
        <v>47</v>
      </c>
      <c r="AA2341" t="s">
        <v>501</v>
      </c>
      <c r="AB2341" t="s">
        <v>51</v>
      </c>
      <c r="AC2341" t="s">
        <v>51</v>
      </c>
      <c r="AD2341" t="s">
        <v>51</v>
      </c>
      <c r="AE2341" t="s">
        <v>51</v>
      </c>
      <c r="AF2341" t="s">
        <v>1879</v>
      </c>
    </row>
    <row r="2342" spans="1:32" ht="14.5" customHeight="1" x14ac:dyDescent="0.35">
      <c r="A2342" t="s">
        <v>774</v>
      </c>
      <c r="B2342" t="s">
        <v>775</v>
      </c>
      <c r="C2342" t="s">
        <v>47</v>
      </c>
      <c r="D2342">
        <v>3100058</v>
      </c>
      <c r="E2342">
        <v>3100059</v>
      </c>
      <c r="F2342" t="s">
        <v>1263</v>
      </c>
      <c r="G2342" t="s">
        <v>1263</v>
      </c>
      <c r="H2342" t="s">
        <v>54</v>
      </c>
      <c r="I2342">
        <v>6955773</v>
      </c>
      <c r="J2342" s="12">
        <v>46095</v>
      </c>
      <c r="K2342" s="12">
        <v>46095</v>
      </c>
      <c r="L2342" s="12">
        <v>46095</v>
      </c>
      <c r="M2342">
        <v>37</v>
      </c>
      <c r="N2342">
        <v>-817500</v>
      </c>
      <c r="O2342">
        <v>-817500</v>
      </c>
      <c r="P2342">
        <v>0</v>
      </c>
      <c r="Q2342">
        <v>0</v>
      </c>
      <c r="R2342">
        <v>-817500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 t="s">
        <v>47</v>
      </c>
      <c r="AA2342" t="s">
        <v>501</v>
      </c>
      <c r="AB2342" t="s">
        <v>51</v>
      </c>
      <c r="AC2342" t="s">
        <v>51</v>
      </c>
      <c r="AD2342" t="s">
        <v>51</v>
      </c>
      <c r="AE2342" t="s">
        <v>51</v>
      </c>
      <c r="AF2342" t="s">
        <v>1881</v>
      </c>
    </row>
    <row r="2343" spans="1:32" ht="14.5" customHeight="1" x14ac:dyDescent="0.35">
      <c r="A2343" t="s">
        <v>774</v>
      </c>
      <c r="B2343" t="s">
        <v>775</v>
      </c>
      <c r="C2343" t="s">
        <v>47</v>
      </c>
      <c r="D2343">
        <v>3100058</v>
      </c>
      <c r="E2343">
        <v>3100059</v>
      </c>
      <c r="F2343" t="s">
        <v>1263</v>
      </c>
      <c r="G2343" t="s">
        <v>1263</v>
      </c>
      <c r="H2343" t="s">
        <v>54</v>
      </c>
      <c r="I2343">
        <v>6955774</v>
      </c>
      <c r="J2343" s="12">
        <v>46095</v>
      </c>
      <c r="K2343" s="12">
        <v>46095</v>
      </c>
      <c r="L2343" s="12">
        <v>46095</v>
      </c>
      <c r="M2343">
        <v>37</v>
      </c>
      <c r="N2343">
        <v>-817500</v>
      </c>
      <c r="O2343">
        <v>-817500</v>
      </c>
      <c r="P2343">
        <v>0</v>
      </c>
      <c r="Q2343">
        <v>0</v>
      </c>
      <c r="R2343">
        <v>-817500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 t="s">
        <v>47</v>
      </c>
      <c r="AA2343" t="s">
        <v>501</v>
      </c>
      <c r="AB2343" t="s">
        <v>51</v>
      </c>
      <c r="AC2343" t="s">
        <v>51</v>
      </c>
      <c r="AD2343" t="s">
        <v>51</v>
      </c>
      <c r="AE2343" t="s">
        <v>51</v>
      </c>
      <c r="AF2343" t="s">
        <v>1881</v>
      </c>
    </row>
    <row r="2344" spans="1:32" ht="14.5" customHeight="1" x14ac:dyDescent="0.35">
      <c r="A2344" t="s">
        <v>774</v>
      </c>
      <c r="B2344" t="s">
        <v>775</v>
      </c>
      <c r="C2344" t="s">
        <v>47</v>
      </c>
      <c r="D2344">
        <v>3100058</v>
      </c>
      <c r="E2344">
        <v>3100059</v>
      </c>
      <c r="F2344" t="s">
        <v>1263</v>
      </c>
      <c r="G2344" t="s">
        <v>1263</v>
      </c>
      <c r="H2344" t="s">
        <v>54</v>
      </c>
      <c r="I2344">
        <v>6955775</v>
      </c>
      <c r="J2344" s="12">
        <v>46095</v>
      </c>
      <c r="K2344" s="12">
        <v>46095</v>
      </c>
      <c r="L2344" s="12">
        <v>46095</v>
      </c>
      <c r="M2344">
        <v>37</v>
      </c>
      <c r="N2344">
        <v>-7343442</v>
      </c>
      <c r="O2344">
        <v>-7343442</v>
      </c>
      <c r="P2344">
        <v>0</v>
      </c>
      <c r="Q2344">
        <v>0</v>
      </c>
      <c r="R2344">
        <v>-7343442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 t="s">
        <v>47</v>
      </c>
      <c r="AA2344" t="s">
        <v>501</v>
      </c>
      <c r="AB2344" t="s">
        <v>51</v>
      </c>
      <c r="AC2344" t="s">
        <v>51</v>
      </c>
      <c r="AD2344" t="s">
        <v>51</v>
      </c>
      <c r="AE2344" t="s">
        <v>51</v>
      </c>
      <c r="AF2344" t="s">
        <v>1880</v>
      </c>
    </row>
    <row r="2345" spans="1:32" ht="14.5" customHeight="1" x14ac:dyDescent="0.35">
      <c r="A2345" t="s">
        <v>774</v>
      </c>
      <c r="B2345" t="s">
        <v>775</v>
      </c>
      <c r="C2345" t="s">
        <v>47</v>
      </c>
      <c r="D2345">
        <v>3100058</v>
      </c>
      <c r="E2345">
        <v>3100059</v>
      </c>
      <c r="F2345" t="s">
        <v>1263</v>
      </c>
      <c r="G2345" t="s">
        <v>1263</v>
      </c>
      <c r="H2345" t="s">
        <v>54</v>
      </c>
      <c r="I2345">
        <v>6955776</v>
      </c>
      <c r="J2345" s="12">
        <v>46095</v>
      </c>
      <c r="K2345" s="12">
        <v>46095</v>
      </c>
      <c r="L2345" s="12">
        <v>46095</v>
      </c>
      <c r="M2345">
        <v>37</v>
      </c>
      <c r="N2345">
        <v>-8124694</v>
      </c>
      <c r="O2345">
        <v>-8124694</v>
      </c>
      <c r="P2345">
        <v>0</v>
      </c>
      <c r="Q2345">
        <v>0</v>
      </c>
      <c r="R2345">
        <v>-8124694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 t="s">
        <v>47</v>
      </c>
      <c r="AA2345" t="s">
        <v>501</v>
      </c>
      <c r="AB2345" t="s">
        <v>51</v>
      </c>
      <c r="AC2345" t="s">
        <v>51</v>
      </c>
      <c r="AD2345" t="s">
        <v>51</v>
      </c>
      <c r="AE2345" t="s">
        <v>51</v>
      </c>
      <c r="AF2345" t="s">
        <v>1880</v>
      </c>
    </row>
    <row r="2346" spans="1:32" ht="14.5" customHeight="1" x14ac:dyDescent="0.35">
      <c r="A2346" t="s">
        <v>774</v>
      </c>
      <c r="B2346" t="s">
        <v>1297</v>
      </c>
      <c r="C2346" t="s">
        <v>47</v>
      </c>
      <c r="D2346">
        <v>3100058</v>
      </c>
      <c r="E2346">
        <v>3100058</v>
      </c>
      <c r="F2346" t="s">
        <v>1263</v>
      </c>
      <c r="G2346" t="s">
        <v>1263</v>
      </c>
      <c r="H2346" t="s">
        <v>54</v>
      </c>
      <c r="I2346">
        <v>6956364</v>
      </c>
      <c r="J2346" s="12">
        <v>46098</v>
      </c>
      <c r="K2346" s="12">
        <v>46098</v>
      </c>
      <c r="L2346" s="12">
        <v>46098</v>
      </c>
      <c r="M2346">
        <v>34</v>
      </c>
      <c r="N2346">
        <v>-267882</v>
      </c>
      <c r="O2346">
        <v>-267882</v>
      </c>
      <c r="P2346">
        <v>0</v>
      </c>
      <c r="Q2346">
        <v>0</v>
      </c>
      <c r="R2346">
        <v>-267882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 t="s">
        <v>47</v>
      </c>
      <c r="AA2346" t="s">
        <v>501</v>
      </c>
      <c r="AB2346" t="s">
        <v>51</v>
      </c>
      <c r="AC2346" t="s">
        <v>51</v>
      </c>
      <c r="AD2346" t="s">
        <v>51</v>
      </c>
      <c r="AE2346" t="s">
        <v>51</v>
      </c>
      <c r="AF2346" t="s">
        <v>1882</v>
      </c>
    </row>
    <row r="2347" spans="1:32" ht="14.5" customHeight="1" x14ac:dyDescent="0.35">
      <c r="A2347" t="s">
        <v>774</v>
      </c>
      <c r="B2347" t="s">
        <v>775</v>
      </c>
      <c r="C2347" t="s">
        <v>47</v>
      </c>
      <c r="D2347">
        <v>3100058</v>
      </c>
      <c r="E2347">
        <v>3100059</v>
      </c>
      <c r="F2347" t="s">
        <v>1263</v>
      </c>
      <c r="G2347" t="s">
        <v>1263</v>
      </c>
      <c r="H2347" t="s">
        <v>54</v>
      </c>
      <c r="I2347">
        <v>6956365</v>
      </c>
      <c r="J2347" s="12">
        <v>46098</v>
      </c>
      <c r="K2347" s="12">
        <v>46098</v>
      </c>
      <c r="L2347" s="12">
        <v>46098</v>
      </c>
      <c r="M2347">
        <v>34</v>
      </c>
      <c r="N2347">
        <v>-792982</v>
      </c>
      <c r="O2347">
        <v>-792982</v>
      </c>
      <c r="P2347">
        <v>0</v>
      </c>
      <c r="Q2347">
        <v>0</v>
      </c>
      <c r="R2347">
        <v>-792982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 t="s">
        <v>47</v>
      </c>
      <c r="AA2347" t="s">
        <v>501</v>
      </c>
      <c r="AB2347" t="s">
        <v>51</v>
      </c>
      <c r="AC2347" t="s">
        <v>51</v>
      </c>
      <c r="AD2347" t="s">
        <v>51</v>
      </c>
      <c r="AE2347" t="s">
        <v>51</v>
      </c>
      <c r="AF2347" t="s">
        <v>1883</v>
      </c>
    </row>
    <row r="2348" spans="1:32" ht="14.5" customHeight="1" x14ac:dyDescent="0.35">
      <c r="A2348" t="s">
        <v>774</v>
      </c>
      <c r="B2348" t="s">
        <v>1297</v>
      </c>
      <c r="C2348" t="s">
        <v>47</v>
      </c>
      <c r="D2348">
        <v>3100058</v>
      </c>
      <c r="E2348">
        <v>3100058</v>
      </c>
      <c r="F2348" t="s">
        <v>1263</v>
      </c>
      <c r="G2348" t="s">
        <v>1263</v>
      </c>
      <c r="H2348" t="s">
        <v>54</v>
      </c>
      <c r="I2348">
        <v>6956434</v>
      </c>
      <c r="J2348" s="12">
        <v>46099</v>
      </c>
      <c r="K2348" s="12">
        <v>46099</v>
      </c>
      <c r="L2348" s="12">
        <v>46099</v>
      </c>
      <c r="M2348">
        <v>33</v>
      </c>
      <c r="N2348">
        <v>-2643500</v>
      </c>
      <c r="O2348">
        <v>-2643500</v>
      </c>
      <c r="P2348">
        <v>0</v>
      </c>
      <c r="Q2348">
        <v>0</v>
      </c>
      <c r="R2348">
        <v>-2643500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 t="s">
        <v>47</v>
      </c>
      <c r="AA2348" t="s">
        <v>501</v>
      </c>
      <c r="AB2348" t="s">
        <v>51</v>
      </c>
      <c r="AC2348" t="s">
        <v>51</v>
      </c>
      <c r="AD2348" t="s">
        <v>51</v>
      </c>
      <c r="AE2348" t="s">
        <v>51</v>
      </c>
      <c r="AF2348" t="s">
        <v>1884</v>
      </c>
    </row>
    <row r="2349" spans="1:32" ht="14.5" customHeight="1" x14ac:dyDescent="0.35">
      <c r="A2349" t="s">
        <v>774</v>
      </c>
      <c r="B2349" t="s">
        <v>775</v>
      </c>
      <c r="C2349" t="s">
        <v>47</v>
      </c>
      <c r="D2349">
        <v>3100058</v>
      </c>
      <c r="E2349">
        <v>3100059</v>
      </c>
      <c r="F2349" t="s">
        <v>1263</v>
      </c>
      <c r="G2349" t="s">
        <v>1263</v>
      </c>
      <c r="H2349" t="s">
        <v>54</v>
      </c>
      <c r="I2349">
        <v>6957092</v>
      </c>
      <c r="J2349" s="12">
        <v>46106</v>
      </c>
      <c r="K2349" s="12">
        <v>46106</v>
      </c>
      <c r="L2349" s="12">
        <v>46106</v>
      </c>
      <c r="M2349">
        <v>26</v>
      </c>
      <c r="N2349">
        <v>-48286662</v>
      </c>
      <c r="O2349">
        <v>-48286662</v>
      </c>
      <c r="P2349">
        <v>0</v>
      </c>
      <c r="Q2349">
        <v>-48286662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 t="s">
        <v>47</v>
      </c>
      <c r="AA2349" t="s">
        <v>501</v>
      </c>
      <c r="AB2349" t="s">
        <v>51</v>
      </c>
      <c r="AC2349" t="s">
        <v>51</v>
      </c>
      <c r="AD2349" t="s">
        <v>51</v>
      </c>
      <c r="AE2349" t="s">
        <v>51</v>
      </c>
      <c r="AF2349" t="s">
        <v>1885</v>
      </c>
    </row>
    <row r="2350" spans="1:32" ht="14.5" customHeight="1" x14ac:dyDescent="0.35">
      <c r="A2350" t="s">
        <v>774</v>
      </c>
      <c r="B2350" t="s">
        <v>1297</v>
      </c>
      <c r="C2350" t="s">
        <v>47</v>
      </c>
      <c r="D2350">
        <v>3100058</v>
      </c>
      <c r="E2350">
        <v>3100058</v>
      </c>
      <c r="F2350" t="s">
        <v>1263</v>
      </c>
      <c r="G2350" t="s">
        <v>1263</v>
      </c>
      <c r="H2350" t="s">
        <v>54</v>
      </c>
      <c r="I2350">
        <v>6957247</v>
      </c>
      <c r="J2350" s="12">
        <v>46106</v>
      </c>
      <c r="K2350" s="12">
        <v>46106</v>
      </c>
      <c r="L2350" s="12">
        <v>46106</v>
      </c>
      <c r="M2350">
        <v>26</v>
      </c>
      <c r="N2350">
        <v>-375118</v>
      </c>
      <c r="O2350">
        <v>-375118</v>
      </c>
      <c r="P2350">
        <v>0</v>
      </c>
      <c r="Q2350">
        <v>-375118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 t="s">
        <v>47</v>
      </c>
      <c r="AA2350" t="s">
        <v>501</v>
      </c>
      <c r="AB2350" t="s">
        <v>51</v>
      </c>
      <c r="AC2350" t="s">
        <v>51</v>
      </c>
      <c r="AD2350" t="s">
        <v>51</v>
      </c>
      <c r="AE2350" t="s">
        <v>51</v>
      </c>
      <c r="AF2350" t="s">
        <v>107</v>
      </c>
    </row>
    <row r="2351" spans="1:32" ht="14.5" customHeight="1" x14ac:dyDescent="0.35">
      <c r="A2351" t="s">
        <v>774</v>
      </c>
      <c r="B2351" t="s">
        <v>1297</v>
      </c>
      <c r="C2351" t="s">
        <v>47</v>
      </c>
      <c r="D2351">
        <v>3100058</v>
      </c>
      <c r="E2351">
        <v>3100058</v>
      </c>
      <c r="F2351" t="s">
        <v>1263</v>
      </c>
      <c r="G2351" t="s">
        <v>1263</v>
      </c>
      <c r="H2351" t="s">
        <v>54</v>
      </c>
      <c r="I2351">
        <v>6957248</v>
      </c>
      <c r="J2351" s="12">
        <v>46106</v>
      </c>
      <c r="K2351" s="12">
        <v>46106</v>
      </c>
      <c r="L2351" s="12">
        <v>46106</v>
      </c>
      <c r="M2351">
        <v>26</v>
      </c>
      <c r="N2351">
        <v>-3972631</v>
      </c>
      <c r="O2351">
        <v>-3972631</v>
      </c>
      <c r="P2351">
        <v>0</v>
      </c>
      <c r="Q2351">
        <v>-3972631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 t="s">
        <v>47</v>
      </c>
      <c r="AA2351" t="s">
        <v>501</v>
      </c>
      <c r="AB2351" t="s">
        <v>51</v>
      </c>
      <c r="AC2351" t="s">
        <v>51</v>
      </c>
      <c r="AD2351" t="s">
        <v>51</v>
      </c>
      <c r="AE2351" t="s">
        <v>51</v>
      </c>
      <c r="AF2351" t="s">
        <v>1485</v>
      </c>
    </row>
    <row r="2352" spans="1:32" ht="14.5" customHeight="1" x14ac:dyDescent="0.35">
      <c r="A2352" t="s">
        <v>774</v>
      </c>
      <c r="B2352" t="s">
        <v>775</v>
      </c>
      <c r="C2352" t="s">
        <v>47</v>
      </c>
      <c r="D2352">
        <v>3100058</v>
      </c>
      <c r="E2352">
        <v>3100059</v>
      </c>
      <c r="F2352" t="s">
        <v>1263</v>
      </c>
      <c r="G2352" t="s">
        <v>1263</v>
      </c>
      <c r="H2352" t="s">
        <v>54</v>
      </c>
      <c r="I2352">
        <v>6957745</v>
      </c>
      <c r="J2352" s="12">
        <v>46112</v>
      </c>
      <c r="K2352" s="12">
        <v>46112</v>
      </c>
      <c r="L2352" s="12">
        <v>46112</v>
      </c>
      <c r="M2352">
        <v>20</v>
      </c>
      <c r="N2352">
        <v>-1451934</v>
      </c>
      <c r="O2352">
        <v>-1451934</v>
      </c>
      <c r="P2352">
        <v>0</v>
      </c>
      <c r="Q2352">
        <v>-1451934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 t="s">
        <v>47</v>
      </c>
      <c r="AA2352" t="s">
        <v>501</v>
      </c>
      <c r="AB2352" t="s">
        <v>51</v>
      </c>
      <c r="AC2352" t="s">
        <v>51</v>
      </c>
      <c r="AD2352" t="s">
        <v>51</v>
      </c>
      <c r="AE2352" t="s">
        <v>51</v>
      </c>
      <c r="AF2352" t="s">
        <v>1485</v>
      </c>
    </row>
    <row r="2353" spans="1:32" ht="14.5" customHeight="1" x14ac:dyDescent="0.35">
      <c r="A2353" t="s">
        <v>774</v>
      </c>
      <c r="B2353" t="s">
        <v>775</v>
      </c>
      <c r="C2353" t="s">
        <v>47</v>
      </c>
      <c r="D2353">
        <v>3100058</v>
      </c>
      <c r="E2353">
        <v>3100059</v>
      </c>
      <c r="F2353" t="s">
        <v>1263</v>
      </c>
      <c r="G2353" t="s">
        <v>1263</v>
      </c>
      <c r="H2353" t="s">
        <v>54</v>
      </c>
      <c r="I2353">
        <v>6957746</v>
      </c>
      <c r="J2353" s="12">
        <v>46112</v>
      </c>
      <c r="K2353" s="12">
        <v>46112</v>
      </c>
      <c r="L2353" s="12">
        <v>46112</v>
      </c>
      <c r="M2353">
        <v>20</v>
      </c>
      <c r="N2353">
        <v>-81894</v>
      </c>
      <c r="O2353">
        <v>-81894</v>
      </c>
      <c r="P2353">
        <v>0</v>
      </c>
      <c r="Q2353">
        <v>-81894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 t="s">
        <v>47</v>
      </c>
      <c r="AA2353" t="s">
        <v>501</v>
      </c>
      <c r="AB2353" t="s">
        <v>51</v>
      </c>
      <c r="AC2353" t="s">
        <v>51</v>
      </c>
      <c r="AD2353" t="s">
        <v>51</v>
      </c>
      <c r="AE2353" t="s">
        <v>51</v>
      </c>
      <c r="AF2353" t="s">
        <v>108</v>
      </c>
    </row>
    <row r="2354" spans="1:32" ht="14.5" customHeight="1" x14ac:dyDescent="0.35">
      <c r="A2354" t="s">
        <v>774</v>
      </c>
      <c r="B2354" t="s">
        <v>775</v>
      </c>
      <c r="C2354" t="s">
        <v>47</v>
      </c>
      <c r="D2354">
        <v>3100058</v>
      </c>
      <c r="E2354">
        <v>3100059</v>
      </c>
      <c r="F2354" t="s">
        <v>1263</v>
      </c>
      <c r="G2354" t="s">
        <v>1263</v>
      </c>
      <c r="H2354" t="s">
        <v>54</v>
      </c>
      <c r="I2354">
        <v>6958372</v>
      </c>
      <c r="J2354" s="12">
        <v>46121</v>
      </c>
      <c r="K2354" s="12">
        <v>46121</v>
      </c>
      <c r="L2354" s="12">
        <v>46121</v>
      </c>
      <c r="M2354">
        <v>11</v>
      </c>
      <c r="N2354">
        <v>-2902725</v>
      </c>
      <c r="O2354">
        <v>-2902725</v>
      </c>
      <c r="P2354">
        <v>0</v>
      </c>
      <c r="Q2354">
        <v>-2902725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 t="s">
        <v>47</v>
      </c>
      <c r="AA2354" t="s">
        <v>501</v>
      </c>
      <c r="AB2354" t="s">
        <v>51</v>
      </c>
      <c r="AC2354" t="s">
        <v>51</v>
      </c>
      <c r="AD2354" t="s">
        <v>51</v>
      </c>
      <c r="AE2354" t="s">
        <v>51</v>
      </c>
      <c r="AF2354" t="s">
        <v>1879</v>
      </c>
    </row>
    <row r="2355" spans="1:32" ht="14.5" customHeight="1" x14ac:dyDescent="0.35">
      <c r="A2355" t="s">
        <v>774</v>
      </c>
      <c r="B2355" t="s">
        <v>775</v>
      </c>
      <c r="C2355" t="s">
        <v>47</v>
      </c>
      <c r="D2355">
        <v>3100058</v>
      </c>
      <c r="E2355">
        <v>3100059</v>
      </c>
      <c r="F2355" t="s">
        <v>1263</v>
      </c>
      <c r="G2355" t="s">
        <v>1263</v>
      </c>
      <c r="H2355" t="s">
        <v>54</v>
      </c>
      <c r="I2355">
        <v>6958373</v>
      </c>
      <c r="J2355" s="12">
        <v>46121</v>
      </c>
      <c r="K2355" s="12">
        <v>46121</v>
      </c>
      <c r="L2355" s="12">
        <v>46121</v>
      </c>
      <c r="M2355">
        <v>11</v>
      </c>
      <c r="N2355">
        <v>-109000</v>
      </c>
      <c r="O2355">
        <v>-109000</v>
      </c>
      <c r="P2355">
        <v>0</v>
      </c>
      <c r="Q2355">
        <v>-109000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 t="s">
        <v>47</v>
      </c>
      <c r="AA2355" t="s">
        <v>501</v>
      </c>
      <c r="AB2355" t="s">
        <v>51</v>
      </c>
      <c r="AC2355" t="s">
        <v>51</v>
      </c>
      <c r="AD2355" t="s">
        <v>51</v>
      </c>
      <c r="AE2355" t="s">
        <v>51</v>
      </c>
      <c r="AF2355" t="s">
        <v>1886</v>
      </c>
    </row>
    <row r="2356" spans="1:32" ht="14.5" customHeight="1" x14ac:dyDescent="0.35">
      <c r="A2356" t="s">
        <v>774</v>
      </c>
      <c r="B2356" t="s">
        <v>775</v>
      </c>
      <c r="C2356" t="s">
        <v>47</v>
      </c>
      <c r="D2356">
        <v>3100058</v>
      </c>
      <c r="E2356">
        <v>3100059</v>
      </c>
      <c r="F2356" t="s">
        <v>1263</v>
      </c>
      <c r="G2356" t="s">
        <v>1263</v>
      </c>
      <c r="H2356" t="s">
        <v>54</v>
      </c>
      <c r="I2356">
        <v>6958374</v>
      </c>
      <c r="J2356" s="12">
        <v>46121</v>
      </c>
      <c r="K2356" s="12">
        <v>46121</v>
      </c>
      <c r="L2356" s="12">
        <v>46121</v>
      </c>
      <c r="M2356">
        <v>11</v>
      </c>
      <c r="N2356">
        <v>-872000</v>
      </c>
      <c r="O2356">
        <v>-872000</v>
      </c>
      <c r="P2356">
        <v>0</v>
      </c>
      <c r="Q2356">
        <v>-872000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 t="s">
        <v>47</v>
      </c>
      <c r="AA2356" t="s">
        <v>501</v>
      </c>
      <c r="AB2356" t="s">
        <v>51</v>
      </c>
      <c r="AC2356" t="s">
        <v>51</v>
      </c>
      <c r="AD2356" t="s">
        <v>51</v>
      </c>
      <c r="AE2356" t="s">
        <v>51</v>
      </c>
      <c r="AF2356" t="s">
        <v>1886</v>
      </c>
    </row>
    <row r="2357" spans="1:32" ht="14.5" customHeight="1" x14ac:dyDescent="0.35">
      <c r="A2357" t="s">
        <v>774</v>
      </c>
      <c r="B2357" t="s">
        <v>775</v>
      </c>
      <c r="C2357" t="s">
        <v>47</v>
      </c>
      <c r="D2357">
        <v>3100058</v>
      </c>
      <c r="E2357">
        <v>3100059</v>
      </c>
      <c r="F2357" t="s">
        <v>1263</v>
      </c>
      <c r="G2357" t="s">
        <v>1263</v>
      </c>
      <c r="H2357" t="s">
        <v>54</v>
      </c>
      <c r="I2357">
        <v>6958375</v>
      </c>
      <c r="J2357" s="12">
        <v>46121</v>
      </c>
      <c r="K2357" s="12">
        <v>46121</v>
      </c>
      <c r="L2357" s="12">
        <v>46121</v>
      </c>
      <c r="M2357">
        <v>11</v>
      </c>
      <c r="N2357">
        <v>-436000</v>
      </c>
      <c r="O2357">
        <v>-436000</v>
      </c>
      <c r="P2357">
        <v>0</v>
      </c>
      <c r="Q2357">
        <v>-436000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 t="s">
        <v>47</v>
      </c>
      <c r="AA2357" t="s">
        <v>501</v>
      </c>
      <c r="AB2357" t="s">
        <v>51</v>
      </c>
      <c r="AC2357" t="s">
        <v>51</v>
      </c>
      <c r="AD2357" t="s">
        <v>51</v>
      </c>
      <c r="AE2357" t="s">
        <v>51</v>
      </c>
      <c r="AF2357" t="s">
        <v>1886</v>
      </c>
    </row>
    <row r="2358" spans="1:32" ht="14.5" customHeight="1" x14ac:dyDescent="0.35">
      <c r="A2358" t="s">
        <v>774</v>
      </c>
      <c r="B2358" t="s">
        <v>1297</v>
      </c>
      <c r="C2358" t="s">
        <v>47</v>
      </c>
      <c r="D2358">
        <v>3100058</v>
      </c>
      <c r="E2358">
        <v>3100058</v>
      </c>
      <c r="F2358" t="s">
        <v>1263</v>
      </c>
      <c r="G2358" t="s">
        <v>1263</v>
      </c>
      <c r="H2358" t="s">
        <v>54</v>
      </c>
      <c r="I2358">
        <v>6958539</v>
      </c>
      <c r="J2358" s="12">
        <v>46121</v>
      </c>
      <c r="K2358" s="12">
        <v>46121</v>
      </c>
      <c r="L2358" s="12">
        <v>46121</v>
      </c>
      <c r="M2358">
        <v>11</v>
      </c>
      <c r="N2358">
        <v>-84916413</v>
      </c>
      <c r="O2358">
        <v>-84916413</v>
      </c>
      <c r="P2358">
        <v>0</v>
      </c>
      <c r="Q2358">
        <v>-84916413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 t="s">
        <v>47</v>
      </c>
      <c r="AA2358" t="s">
        <v>501</v>
      </c>
      <c r="AB2358" t="s">
        <v>51</v>
      </c>
      <c r="AC2358" t="s">
        <v>51</v>
      </c>
      <c r="AD2358" t="s">
        <v>51</v>
      </c>
      <c r="AE2358" t="s">
        <v>51</v>
      </c>
      <c r="AF2358" t="s">
        <v>396</v>
      </c>
    </row>
    <row r="2359" spans="1:32" ht="14.5" customHeight="1" x14ac:dyDescent="0.35">
      <c r="A2359" t="s">
        <v>774</v>
      </c>
      <c r="B2359" t="s">
        <v>775</v>
      </c>
      <c r="C2359" t="s">
        <v>47</v>
      </c>
      <c r="D2359">
        <v>3100058</v>
      </c>
      <c r="E2359">
        <v>3100059</v>
      </c>
      <c r="F2359" t="s">
        <v>1263</v>
      </c>
      <c r="G2359" t="s">
        <v>1263</v>
      </c>
      <c r="H2359" t="s">
        <v>54</v>
      </c>
      <c r="I2359">
        <v>6958543</v>
      </c>
      <c r="J2359" s="12">
        <v>46121</v>
      </c>
      <c r="K2359" s="12">
        <v>46121</v>
      </c>
      <c r="L2359" s="12">
        <v>46121</v>
      </c>
      <c r="M2359">
        <v>11</v>
      </c>
      <c r="N2359">
        <v>-129555415</v>
      </c>
      <c r="O2359">
        <v>-129555415</v>
      </c>
      <c r="P2359">
        <v>0</v>
      </c>
      <c r="Q2359">
        <v>-129555415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 t="s">
        <v>47</v>
      </c>
      <c r="AA2359" t="s">
        <v>501</v>
      </c>
      <c r="AB2359" t="s">
        <v>51</v>
      </c>
      <c r="AC2359" t="s">
        <v>51</v>
      </c>
      <c r="AD2359" t="s">
        <v>51</v>
      </c>
      <c r="AE2359" t="s">
        <v>51</v>
      </c>
      <c r="AF2359" t="s">
        <v>782</v>
      </c>
    </row>
    <row r="2360" spans="1:32" ht="14.5" customHeight="1" x14ac:dyDescent="0.35">
      <c r="A2360" t="s">
        <v>774</v>
      </c>
      <c r="B2360" t="s">
        <v>1297</v>
      </c>
      <c r="C2360" t="s">
        <v>47</v>
      </c>
      <c r="D2360">
        <v>3100058</v>
      </c>
      <c r="E2360">
        <v>3100058</v>
      </c>
      <c r="F2360" t="s">
        <v>1263</v>
      </c>
      <c r="G2360" t="s">
        <v>1263</v>
      </c>
      <c r="H2360" t="s">
        <v>54</v>
      </c>
      <c r="I2360">
        <v>6958739</v>
      </c>
      <c r="J2360" s="12">
        <v>46122</v>
      </c>
      <c r="K2360" s="12">
        <v>46122</v>
      </c>
      <c r="L2360" s="12">
        <v>46122</v>
      </c>
      <c r="M2360">
        <v>10</v>
      </c>
      <c r="N2360">
        <v>-38275517</v>
      </c>
      <c r="O2360">
        <v>-38275517</v>
      </c>
      <c r="P2360">
        <v>0</v>
      </c>
      <c r="Q2360">
        <v>-38275517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 t="s">
        <v>47</v>
      </c>
      <c r="AA2360" t="s">
        <v>501</v>
      </c>
      <c r="AB2360" t="s">
        <v>51</v>
      </c>
      <c r="AC2360" t="s">
        <v>51</v>
      </c>
      <c r="AD2360" t="s">
        <v>51</v>
      </c>
      <c r="AE2360" t="s">
        <v>51</v>
      </c>
      <c r="AF2360" t="s">
        <v>1265</v>
      </c>
    </row>
    <row r="2361" spans="1:32" ht="14.5" customHeight="1" x14ac:dyDescent="0.35">
      <c r="A2361" t="s">
        <v>774</v>
      </c>
      <c r="B2361" t="s">
        <v>1297</v>
      </c>
      <c r="C2361" t="s">
        <v>47</v>
      </c>
      <c r="D2361">
        <v>3100058</v>
      </c>
      <c r="E2361">
        <v>3100058</v>
      </c>
      <c r="F2361" t="s">
        <v>1263</v>
      </c>
      <c r="G2361" t="s">
        <v>1263</v>
      </c>
      <c r="H2361" t="s">
        <v>54</v>
      </c>
      <c r="I2361">
        <v>6958783</v>
      </c>
      <c r="J2361" s="12">
        <v>46122</v>
      </c>
      <c r="K2361" s="12">
        <v>46122</v>
      </c>
      <c r="L2361" s="12">
        <v>46122</v>
      </c>
      <c r="M2361">
        <v>10</v>
      </c>
      <c r="N2361">
        <v>-25196078</v>
      </c>
      <c r="O2361">
        <v>-25196078</v>
      </c>
      <c r="P2361">
        <v>0</v>
      </c>
      <c r="Q2361">
        <v>-25196078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 t="s">
        <v>47</v>
      </c>
      <c r="AA2361" t="s">
        <v>501</v>
      </c>
      <c r="AB2361" t="s">
        <v>51</v>
      </c>
      <c r="AC2361" t="s">
        <v>51</v>
      </c>
      <c r="AD2361" t="s">
        <v>51</v>
      </c>
      <c r="AE2361" t="s">
        <v>51</v>
      </c>
      <c r="AF2361" t="s">
        <v>1265</v>
      </c>
    </row>
    <row r="2362" spans="1:32" ht="14.5" customHeight="1" x14ac:dyDescent="0.35">
      <c r="A2362" t="s">
        <v>774</v>
      </c>
      <c r="B2362" t="s">
        <v>1297</v>
      </c>
      <c r="C2362" t="s">
        <v>47</v>
      </c>
      <c r="D2362">
        <v>3100058</v>
      </c>
      <c r="E2362">
        <v>3100058</v>
      </c>
      <c r="F2362" t="s">
        <v>1263</v>
      </c>
      <c r="G2362" t="s">
        <v>1263</v>
      </c>
      <c r="H2362" t="s">
        <v>54</v>
      </c>
      <c r="I2362">
        <v>6959487</v>
      </c>
      <c r="J2362" s="12">
        <v>46127</v>
      </c>
      <c r="K2362" s="12">
        <v>46127</v>
      </c>
      <c r="L2362" s="12">
        <v>46127</v>
      </c>
      <c r="M2362">
        <v>5</v>
      </c>
      <c r="N2362">
        <v>-19865250</v>
      </c>
      <c r="O2362">
        <v>-19865250</v>
      </c>
      <c r="P2362">
        <v>0</v>
      </c>
      <c r="Q2362">
        <v>-19865250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 t="s">
        <v>47</v>
      </c>
      <c r="AA2362" t="s">
        <v>501</v>
      </c>
      <c r="AB2362" t="s">
        <v>51</v>
      </c>
      <c r="AC2362" t="s">
        <v>51</v>
      </c>
      <c r="AD2362" t="s">
        <v>51</v>
      </c>
      <c r="AE2362" t="s">
        <v>51</v>
      </c>
      <c r="AF2362" t="s">
        <v>1887</v>
      </c>
    </row>
    <row r="2363" spans="1:32" ht="14.5" customHeight="1" x14ac:dyDescent="0.35">
      <c r="A2363" t="s">
        <v>774</v>
      </c>
      <c r="B2363" t="s">
        <v>1297</v>
      </c>
      <c r="C2363" t="s">
        <v>47</v>
      </c>
      <c r="D2363">
        <v>3100058</v>
      </c>
      <c r="E2363">
        <v>3100058</v>
      </c>
      <c r="F2363" t="s">
        <v>1263</v>
      </c>
      <c r="G2363" t="s">
        <v>1263</v>
      </c>
      <c r="H2363" t="s">
        <v>54</v>
      </c>
      <c r="I2363">
        <v>6959488</v>
      </c>
      <c r="J2363" s="12">
        <v>46127</v>
      </c>
      <c r="K2363" s="12">
        <v>46127</v>
      </c>
      <c r="L2363" s="12">
        <v>46127</v>
      </c>
      <c r="M2363">
        <v>5</v>
      </c>
      <c r="N2363">
        <v>-22890000</v>
      </c>
      <c r="O2363">
        <v>-22890000</v>
      </c>
      <c r="P2363">
        <v>0</v>
      </c>
      <c r="Q2363">
        <v>-22890000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 t="s">
        <v>47</v>
      </c>
      <c r="AA2363" t="s">
        <v>501</v>
      </c>
      <c r="AB2363" t="s">
        <v>51</v>
      </c>
      <c r="AC2363" t="s">
        <v>51</v>
      </c>
      <c r="AD2363" t="s">
        <v>51</v>
      </c>
      <c r="AE2363" t="s">
        <v>51</v>
      </c>
      <c r="AF2363" t="s">
        <v>1888</v>
      </c>
    </row>
    <row r="2364" spans="1:32" ht="14.5" customHeight="1" x14ac:dyDescent="0.35">
      <c r="A2364" t="s">
        <v>774</v>
      </c>
      <c r="B2364" t="s">
        <v>775</v>
      </c>
      <c r="C2364" t="s">
        <v>47</v>
      </c>
      <c r="D2364">
        <v>3100058</v>
      </c>
      <c r="E2364">
        <v>3100059</v>
      </c>
      <c r="F2364" t="s">
        <v>1263</v>
      </c>
      <c r="G2364" t="s">
        <v>1263</v>
      </c>
      <c r="H2364" t="s">
        <v>54</v>
      </c>
      <c r="I2364">
        <v>6959489</v>
      </c>
      <c r="J2364" s="12">
        <v>46127</v>
      </c>
      <c r="K2364" s="12">
        <v>46127</v>
      </c>
      <c r="L2364" s="12">
        <v>46127</v>
      </c>
      <c r="M2364">
        <v>5</v>
      </c>
      <c r="N2364">
        <v>-47595800</v>
      </c>
      <c r="O2364">
        <v>-47595800</v>
      </c>
      <c r="P2364">
        <v>0</v>
      </c>
      <c r="Q2364">
        <v>-47595800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 t="s">
        <v>47</v>
      </c>
      <c r="AA2364" t="s">
        <v>501</v>
      </c>
      <c r="AB2364" t="s">
        <v>51</v>
      </c>
      <c r="AC2364" t="s">
        <v>51</v>
      </c>
      <c r="AD2364" t="s">
        <v>51</v>
      </c>
      <c r="AE2364" t="s">
        <v>51</v>
      </c>
      <c r="AF2364" t="s">
        <v>1889</v>
      </c>
    </row>
    <row r="2365" spans="1:32" ht="14.5" customHeight="1" x14ac:dyDescent="0.35">
      <c r="A2365" t="s">
        <v>774</v>
      </c>
      <c r="B2365" t="s">
        <v>775</v>
      </c>
      <c r="C2365" t="s">
        <v>47</v>
      </c>
      <c r="D2365">
        <v>3100058</v>
      </c>
      <c r="E2365">
        <v>3100059</v>
      </c>
      <c r="F2365" t="s">
        <v>1263</v>
      </c>
      <c r="G2365" t="s">
        <v>1263</v>
      </c>
      <c r="H2365" t="s">
        <v>54</v>
      </c>
      <c r="I2365">
        <v>6959644</v>
      </c>
      <c r="J2365" s="12">
        <v>46127</v>
      </c>
      <c r="K2365" s="12">
        <v>46127</v>
      </c>
      <c r="L2365" s="12">
        <v>46127</v>
      </c>
      <c r="M2365">
        <v>5</v>
      </c>
      <c r="N2365">
        <v>-45476357</v>
      </c>
      <c r="O2365">
        <v>-45476357</v>
      </c>
      <c r="P2365">
        <v>0</v>
      </c>
      <c r="Q2365">
        <v>-45476357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 t="s">
        <v>47</v>
      </c>
      <c r="AA2365" t="s">
        <v>501</v>
      </c>
      <c r="AB2365" t="s">
        <v>51</v>
      </c>
      <c r="AC2365" t="s">
        <v>51</v>
      </c>
      <c r="AD2365" t="s">
        <v>51</v>
      </c>
      <c r="AE2365" t="s">
        <v>51</v>
      </c>
      <c r="AF2365" t="s">
        <v>1890</v>
      </c>
    </row>
    <row r="2366" spans="1:32" ht="14.5" customHeight="1" x14ac:dyDescent="0.35">
      <c r="A2366" t="s">
        <v>774</v>
      </c>
      <c r="B2366" t="s">
        <v>1297</v>
      </c>
      <c r="C2366" t="s">
        <v>47</v>
      </c>
      <c r="D2366">
        <v>3100058</v>
      </c>
      <c r="E2366">
        <v>3100058</v>
      </c>
      <c r="F2366" t="s">
        <v>1263</v>
      </c>
      <c r="G2366" t="s">
        <v>1263</v>
      </c>
      <c r="H2366" t="s">
        <v>54</v>
      </c>
      <c r="I2366">
        <v>9917508</v>
      </c>
      <c r="J2366" s="12">
        <v>46106</v>
      </c>
      <c r="K2366" s="12">
        <v>46106</v>
      </c>
      <c r="L2366" s="12">
        <v>46137</v>
      </c>
      <c r="M2366">
        <v>-5</v>
      </c>
      <c r="N2366">
        <v>271424490</v>
      </c>
      <c r="O2366">
        <v>0</v>
      </c>
      <c r="P2366">
        <v>271424490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 t="s">
        <v>47</v>
      </c>
      <c r="AA2366" t="s">
        <v>501</v>
      </c>
      <c r="AB2366" t="s">
        <v>51</v>
      </c>
      <c r="AC2366" t="s">
        <v>1891</v>
      </c>
      <c r="AD2366" t="s">
        <v>51</v>
      </c>
      <c r="AE2366" t="s">
        <v>51</v>
      </c>
      <c r="AF2366" t="s">
        <v>939</v>
      </c>
    </row>
    <row r="2367" spans="1:32" ht="14.5" customHeight="1" x14ac:dyDescent="0.35">
      <c r="A2367" t="s">
        <v>774</v>
      </c>
      <c r="B2367" t="s">
        <v>1297</v>
      </c>
      <c r="C2367" t="s">
        <v>47</v>
      </c>
      <c r="D2367">
        <v>3100058</v>
      </c>
      <c r="E2367">
        <v>3100058</v>
      </c>
      <c r="F2367" t="s">
        <v>1263</v>
      </c>
      <c r="G2367" t="s">
        <v>1263</v>
      </c>
      <c r="H2367" t="s">
        <v>54</v>
      </c>
      <c r="I2367">
        <v>9917509</v>
      </c>
      <c r="J2367" s="12">
        <v>46106</v>
      </c>
      <c r="K2367" s="12">
        <v>46106</v>
      </c>
      <c r="L2367" s="12">
        <v>46137</v>
      </c>
      <c r="M2367">
        <v>-5</v>
      </c>
      <c r="N2367">
        <v>146087286</v>
      </c>
      <c r="O2367">
        <v>0</v>
      </c>
      <c r="P2367">
        <v>146087286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 t="s">
        <v>47</v>
      </c>
      <c r="AA2367" t="s">
        <v>501</v>
      </c>
      <c r="AB2367" t="s">
        <v>51</v>
      </c>
      <c r="AC2367" t="s">
        <v>1892</v>
      </c>
      <c r="AD2367" t="s">
        <v>51</v>
      </c>
      <c r="AE2367" t="s">
        <v>51</v>
      </c>
      <c r="AF2367" t="s">
        <v>1893</v>
      </c>
    </row>
    <row r="2368" spans="1:32" ht="14.5" customHeight="1" x14ac:dyDescent="0.35">
      <c r="A2368" t="s">
        <v>774</v>
      </c>
      <c r="B2368" t="s">
        <v>775</v>
      </c>
      <c r="C2368" t="s">
        <v>47</v>
      </c>
      <c r="D2368">
        <v>3100058</v>
      </c>
      <c r="E2368">
        <v>3100059</v>
      </c>
      <c r="F2368" t="s">
        <v>1263</v>
      </c>
      <c r="G2368" t="s">
        <v>1263</v>
      </c>
      <c r="H2368" t="s">
        <v>54</v>
      </c>
      <c r="I2368">
        <v>9917511</v>
      </c>
      <c r="J2368" s="12">
        <v>46107</v>
      </c>
      <c r="K2368" s="12">
        <v>46107</v>
      </c>
      <c r="L2368" s="12">
        <v>46138</v>
      </c>
      <c r="M2368">
        <v>-6</v>
      </c>
      <c r="N2368">
        <v>712422085</v>
      </c>
      <c r="O2368">
        <v>0</v>
      </c>
      <c r="P2368">
        <v>712422085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 t="s">
        <v>47</v>
      </c>
      <c r="AA2368" t="s">
        <v>501</v>
      </c>
      <c r="AB2368" t="s">
        <v>51</v>
      </c>
      <c r="AC2368" t="s">
        <v>1894</v>
      </c>
      <c r="AD2368" t="s">
        <v>51</v>
      </c>
      <c r="AE2368" t="s">
        <v>51</v>
      </c>
      <c r="AF2368" t="s">
        <v>1895</v>
      </c>
    </row>
    <row r="2369" spans="1:32" ht="14.5" customHeight="1" x14ac:dyDescent="0.35">
      <c r="A2369" t="s">
        <v>774</v>
      </c>
      <c r="B2369" t="s">
        <v>775</v>
      </c>
      <c r="C2369" t="s">
        <v>47</v>
      </c>
      <c r="D2369">
        <v>3100058</v>
      </c>
      <c r="E2369">
        <v>3100059</v>
      </c>
      <c r="F2369" t="s">
        <v>1263</v>
      </c>
      <c r="G2369" t="s">
        <v>1263</v>
      </c>
      <c r="H2369" t="s">
        <v>54</v>
      </c>
      <c r="I2369">
        <v>9919721</v>
      </c>
      <c r="J2369" s="12">
        <v>46109</v>
      </c>
      <c r="K2369" s="12">
        <v>46109</v>
      </c>
      <c r="L2369" s="12">
        <v>46140</v>
      </c>
      <c r="M2369">
        <v>-8</v>
      </c>
      <c r="N2369">
        <v>707113252</v>
      </c>
      <c r="O2369">
        <v>0</v>
      </c>
      <c r="P2369">
        <v>707113252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 t="s">
        <v>47</v>
      </c>
      <c r="AA2369" t="s">
        <v>501</v>
      </c>
      <c r="AB2369" t="s">
        <v>51</v>
      </c>
      <c r="AC2369" t="s">
        <v>51</v>
      </c>
      <c r="AD2369" t="s">
        <v>1896</v>
      </c>
      <c r="AE2369" t="s">
        <v>51</v>
      </c>
      <c r="AF2369" t="s">
        <v>189</v>
      </c>
    </row>
    <row r="2370" spans="1:32" ht="14.5" customHeight="1" x14ac:dyDescent="0.35">
      <c r="A2370" t="s">
        <v>774</v>
      </c>
      <c r="B2370" t="s">
        <v>1297</v>
      </c>
      <c r="C2370" t="s">
        <v>47</v>
      </c>
      <c r="D2370">
        <v>3100058</v>
      </c>
      <c r="E2370">
        <v>3100058</v>
      </c>
      <c r="F2370" t="s">
        <v>1263</v>
      </c>
      <c r="G2370" t="s">
        <v>1263</v>
      </c>
      <c r="H2370" t="s">
        <v>54</v>
      </c>
      <c r="I2370">
        <v>9921560</v>
      </c>
      <c r="J2370" s="12">
        <v>46113</v>
      </c>
      <c r="K2370" s="12">
        <v>46113</v>
      </c>
      <c r="L2370" s="12">
        <v>46144</v>
      </c>
      <c r="M2370">
        <v>-12</v>
      </c>
      <c r="N2370">
        <v>147581338</v>
      </c>
      <c r="O2370">
        <v>0</v>
      </c>
      <c r="P2370">
        <v>147581338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 t="s">
        <v>47</v>
      </c>
      <c r="AA2370" t="s">
        <v>501</v>
      </c>
      <c r="AB2370" t="s">
        <v>51</v>
      </c>
      <c r="AC2370" t="s">
        <v>51</v>
      </c>
      <c r="AD2370" t="s">
        <v>1897</v>
      </c>
      <c r="AE2370" t="s">
        <v>51</v>
      </c>
      <c r="AF2370" t="s">
        <v>323</v>
      </c>
    </row>
    <row r="2371" spans="1:32" ht="14.5" customHeight="1" x14ac:dyDescent="0.35">
      <c r="A2371" t="s">
        <v>774</v>
      </c>
      <c r="B2371" t="s">
        <v>1297</v>
      </c>
      <c r="C2371" t="s">
        <v>47</v>
      </c>
      <c r="D2371">
        <v>3100058</v>
      </c>
      <c r="E2371">
        <v>3100058</v>
      </c>
      <c r="F2371" t="s">
        <v>1263</v>
      </c>
      <c r="G2371" t="s">
        <v>1263</v>
      </c>
      <c r="H2371" t="s">
        <v>54</v>
      </c>
      <c r="I2371">
        <v>9921564</v>
      </c>
      <c r="J2371" s="12">
        <v>46113</v>
      </c>
      <c r="K2371" s="12">
        <v>46113</v>
      </c>
      <c r="L2371" s="12">
        <v>46144</v>
      </c>
      <c r="M2371">
        <v>-12</v>
      </c>
      <c r="N2371">
        <v>252422292</v>
      </c>
      <c r="O2371">
        <v>0</v>
      </c>
      <c r="P2371">
        <v>252422292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 t="s">
        <v>47</v>
      </c>
      <c r="AA2371" t="s">
        <v>501</v>
      </c>
      <c r="AB2371" t="s">
        <v>51</v>
      </c>
      <c r="AC2371" t="s">
        <v>51</v>
      </c>
      <c r="AD2371" t="s">
        <v>1898</v>
      </c>
      <c r="AE2371" t="s">
        <v>51</v>
      </c>
      <c r="AF2371" t="s">
        <v>1750</v>
      </c>
    </row>
    <row r="2372" spans="1:32" ht="14.5" customHeight="1" x14ac:dyDescent="0.35">
      <c r="A2372" t="s">
        <v>774</v>
      </c>
      <c r="B2372" t="s">
        <v>1297</v>
      </c>
      <c r="C2372" t="s">
        <v>47</v>
      </c>
      <c r="D2372">
        <v>3100058</v>
      </c>
      <c r="E2372">
        <v>3100058</v>
      </c>
      <c r="F2372" t="s">
        <v>1263</v>
      </c>
      <c r="G2372" t="s">
        <v>1263</v>
      </c>
      <c r="H2372" t="s">
        <v>54</v>
      </c>
      <c r="I2372">
        <v>9923070</v>
      </c>
      <c r="J2372" s="12">
        <v>46120</v>
      </c>
      <c r="K2372" s="12">
        <v>46120</v>
      </c>
      <c r="L2372" s="12">
        <v>46151</v>
      </c>
      <c r="M2372">
        <v>-19</v>
      </c>
      <c r="N2372">
        <v>198479668</v>
      </c>
      <c r="O2372">
        <v>0</v>
      </c>
      <c r="P2372">
        <v>198479668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 t="s">
        <v>47</v>
      </c>
      <c r="AA2372" t="s">
        <v>501</v>
      </c>
      <c r="AB2372" t="s">
        <v>51</v>
      </c>
      <c r="AC2372" t="s">
        <v>51</v>
      </c>
      <c r="AD2372" t="s">
        <v>51</v>
      </c>
      <c r="AE2372" t="s">
        <v>1899</v>
      </c>
      <c r="AF2372" t="s">
        <v>1900</v>
      </c>
    </row>
    <row r="2373" spans="1:32" ht="14.5" customHeight="1" x14ac:dyDescent="0.35">
      <c r="A2373" t="s">
        <v>774</v>
      </c>
      <c r="B2373" t="s">
        <v>1297</v>
      </c>
      <c r="C2373" t="s">
        <v>47</v>
      </c>
      <c r="D2373">
        <v>3100058</v>
      </c>
      <c r="E2373">
        <v>3100058</v>
      </c>
      <c r="F2373" t="s">
        <v>1263</v>
      </c>
      <c r="G2373" t="s">
        <v>1263</v>
      </c>
      <c r="H2373" t="s">
        <v>140</v>
      </c>
      <c r="I2373">
        <v>9923241</v>
      </c>
      <c r="J2373" s="12">
        <v>46121</v>
      </c>
      <c r="K2373" s="12">
        <v>46121</v>
      </c>
      <c r="L2373" s="12">
        <v>46151</v>
      </c>
      <c r="M2373">
        <v>-19</v>
      </c>
      <c r="N2373">
        <v>498128</v>
      </c>
      <c r="O2373">
        <v>0</v>
      </c>
      <c r="P2373">
        <v>498128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 t="s">
        <v>47</v>
      </c>
      <c r="AA2373" t="s">
        <v>501</v>
      </c>
      <c r="AB2373" t="s">
        <v>51</v>
      </c>
      <c r="AC2373" t="s">
        <v>51</v>
      </c>
      <c r="AD2373" t="s">
        <v>51</v>
      </c>
      <c r="AE2373" t="s">
        <v>1901</v>
      </c>
      <c r="AF2373" t="s">
        <v>1565</v>
      </c>
    </row>
    <row r="2374" spans="1:32" ht="14.5" customHeight="1" x14ac:dyDescent="0.35">
      <c r="A2374" t="s">
        <v>774</v>
      </c>
      <c r="B2374" t="s">
        <v>775</v>
      </c>
      <c r="C2374" t="s">
        <v>47</v>
      </c>
      <c r="D2374">
        <v>3100058</v>
      </c>
      <c r="E2374">
        <v>3100059</v>
      </c>
      <c r="F2374" t="s">
        <v>1263</v>
      </c>
      <c r="G2374" t="s">
        <v>1263</v>
      </c>
      <c r="H2374" t="s">
        <v>140</v>
      </c>
      <c r="I2374">
        <v>9923242</v>
      </c>
      <c r="J2374" s="12">
        <v>46121</v>
      </c>
      <c r="K2374" s="12">
        <v>46121</v>
      </c>
      <c r="L2374" s="12">
        <v>46151</v>
      </c>
      <c r="M2374">
        <v>-19</v>
      </c>
      <c r="N2374">
        <v>16981</v>
      </c>
      <c r="O2374">
        <v>0</v>
      </c>
      <c r="P2374">
        <v>16981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 t="s">
        <v>47</v>
      </c>
      <c r="AA2374" t="s">
        <v>501</v>
      </c>
      <c r="AB2374" t="s">
        <v>51</v>
      </c>
      <c r="AC2374" t="s">
        <v>51</v>
      </c>
      <c r="AD2374" t="s">
        <v>51</v>
      </c>
      <c r="AE2374" t="s">
        <v>1902</v>
      </c>
      <c r="AF2374" t="s">
        <v>1047</v>
      </c>
    </row>
    <row r="2375" spans="1:32" ht="14.5" customHeight="1" x14ac:dyDescent="0.35">
      <c r="A2375" t="s">
        <v>774</v>
      </c>
      <c r="B2375" t="s">
        <v>775</v>
      </c>
      <c r="C2375" t="s">
        <v>47</v>
      </c>
      <c r="D2375">
        <v>3100058</v>
      </c>
      <c r="E2375">
        <v>3100059</v>
      </c>
      <c r="F2375" t="s">
        <v>1263</v>
      </c>
      <c r="G2375" t="s">
        <v>1263</v>
      </c>
      <c r="H2375" t="s">
        <v>54</v>
      </c>
      <c r="I2375">
        <v>9924281</v>
      </c>
      <c r="J2375" s="12">
        <v>46123</v>
      </c>
      <c r="K2375" s="12">
        <v>46123</v>
      </c>
      <c r="L2375" s="12">
        <v>46154</v>
      </c>
      <c r="M2375">
        <v>-22</v>
      </c>
      <c r="N2375">
        <v>363748663</v>
      </c>
      <c r="O2375">
        <v>0</v>
      </c>
      <c r="P2375">
        <v>363748663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 t="s">
        <v>47</v>
      </c>
      <c r="AA2375" t="s">
        <v>501</v>
      </c>
      <c r="AB2375" t="s">
        <v>51</v>
      </c>
      <c r="AC2375" t="s">
        <v>51</v>
      </c>
      <c r="AD2375" t="s">
        <v>51</v>
      </c>
      <c r="AE2375" t="s">
        <v>1903</v>
      </c>
      <c r="AF2375" t="s">
        <v>1362</v>
      </c>
    </row>
    <row r="2376" spans="1:32" ht="14.5" customHeight="1" x14ac:dyDescent="0.35">
      <c r="A2376" t="s">
        <v>774</v>
      </c>
      <c r="B2376" t="s">
        <v>1297</v>
      </c>
      <c r="C2376" t="s">
        <v>47</v>
      </c>
      <c r="D2376">
        <v>3100058</v>
      </c>
      <c r="E2376">
        <v>3100058</v>
      </c>
      <c r="F2376" t="s">
        <v>1263</v>
      </c>
      <c r="G2376" t="s">
        <v>1263</v>
      </c>
      <c r="H2376" t="s">
        <v>54</v>
      </c>
      <c r="I2376">
        <v>9926126</v>
      </c>
      <c r="J2376" s="12">
        <v>46127</v>
      </c>
      <c r="K2376" s="12">
        <v>46127</v>
      </c>
      <c r="L2376" s="12">
        <v>46158</v>
      </c>
      <c r="M2376">
        <v>-26</v>
      </c>
      <c r="N2376">
        <v>136547276</v>
      </c>
      <c r="O2376">
        <v>0</v>
      </c>
      <c r="P2376">
        <v>136547276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 t="s">
        <v>47</v>
      </c>
      <c r="AA2376" t="s">
        <v>501</v>
      </c>
      <c r="AB2376" t="s">
        <v>51</v>
      </c>
      <c r="AC2376" t="s">
        <v>51</v>
      </c>
      <c r="AD2376" t="s">
        <v>51</v>
      </c>
      <c r="AE2376" t="s">
        <v>1904</v>
      </c>
      <c r="AF2376" t="s">
        <v>189</v>
      </c>
    </row>
    <row r="2377" spans="1:32" ht="14.5" customHeight="1" x14ac:dyDescent="0.35">
      <c r="A2377" t="s">
        <v>774</v>
      </c>
      <c r="B2377" t="s">
        <v>1297</v>
      </c>
      <c r="C2377" t="s">
        <v>47</v>
      </c>
      <c r="D2377">
        <v>3100058</v>
      </c>
      <c r="E2377">
        <v>3100058</v>
      </c>
      <c r="F2377" t="s">
        <v>1263</v>
      </c>
      <c r="G2377" t="s">
        <v>1263</v>
      </c>
      <c r="H2377" t="s">
        <v>54</v>
      </c>
      <c r="I2377">
        <v>9926540</v>
      </c>
      <c r="J2377" s="12">
        <v>46128</v>
      </c>
      <c r="K2377" s="12">
        <v>46128</v>
      </c>
      <c r="L2377" s="12">
        <v>46159</v>
      </c>
      <c r="M2377">
        <v>-27</v>
      </c>
      <c r="N2377">
        <v>265565969</v>
      </c>
      <c r="O2377">
        <v>0</v>
      </c>
      <c r="P2377">
        <v>265565969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 t="s">
        <v>47</v>
      </c>
      <c r="AA2377" t="s">
        <v>501</v>
      </c>
      <c r="AB2377" t="s">
        <v>51</v>
      </c>
      <c r="AC2377" t="s">
        <v>51</v>
      </c>
      <c r="AD2377" t="s">
        <v>51</v>
      </c>
      <c r="AE2377" t="s">
        <v>1905</v>
      </c>
      <c r="AF2377" t="s">
        <v>1296</v>
      </c>
    </row>
    <row r="2378" spans="1:32" ht="14.5" customHeight="1" x14ac:dyDescent="0.35">
      <c r="A2378" t="s">
        <v>774</v>
      </c>
      <c r="B2378" t="s">
        <v>775</v>
      </c>
      <c r="C2378" t="s">
        <v>47</v>
      </c>
      <c r="D2378">
        <v>3100058</v>
      </c>
      <c r="E2378">
        <v>3100059</v>
      </c>
      <c r="F2378" t="s">
        <v>1263</v>
      </c>
      <c r="G2378" t="s">
        <v>1263</v>
      </c>
      <c r="H2378" t="s">
        <v>54</v>
      </c>
      <c r="I2378">
        <v>9927503</v>
      </c>
      <c r="J2378" s="12">
        <v>46130</v>
      </c>
      <c r="K2378" s="12">
        <v>46130</v>
      </c>
      <c r="L2378" s="12">
        <v>46161</v>
      </c>
      <c r="M2378">
        <v>-29</v>
      </c>
      <c r="N2378">
        <v>675448449</v>
      </c>
      <c r="O2378">
        <v>0</v>
      </c>
      <c r="P2378">
        <v>675448449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 t="s">
        <v>47</v>
      </c>
      <c r="AA2378" t="s">
        <v>501</v>
      </c>
      <c r="AB2378" t="s">
        <v>51</v>
      </c>
      <c r="AC2378" t="s">
        <v>51</v>
      </c>
      <c r="AD2378" t="s">
        <v>51</v>
      </c>
      <c r="AE2378" t="s">
        <v>1906</v>
      </c>
      <c r="AF2378" t="s">
        <v>530</v>
      </c>
    </row>
    <row r="2379" spans="1:32" ht="14.5" customHeight="1" x14ac:dyDescent="0.35">
      <c r="A2379" t="s">
        <v>774</v>
      </c>
      <c r="B2379" t="s">
        <v>775</v>
      </c>
      <c r="C2379" t="s">
        <v>47</v>
      </c>
      <c r="D2379">
        <v>3100060</v>
      </c>
      <c r="E2379">
        <v>3100060</v>
      </c>
      <c r="F2379" t="s">
        <v>776</v>
      </c>
      <c r="G2379" t="s">
        <v>776</v>
      </c>
      <c r="H2379" t="s">
        <v>54</v>
      </c>
      <c r="I2379">
        <v>6955170</v>
      </c>
      <c r="J2379" s="12">
        <v>46093</v>
      </c>
      <c r="K2379" s="12">
        <v>46093</v>
      </c>
      <c r="L2379" s="12">
        <v>46093</v>
      </c>
      <c r="M2379">
        <v>39</v>
      </c>
      <c r="N2379">
        <v>-97019134</v>
      </c>
      <c r="O2379">
        <v>-97019134</v>
      </c>
      <c r="P2379">
        <v>0</v>
      </c>
      <c r="Q2379">
        <v>0</v>
      </c>
      <c r="R2379">
        <v>-97019134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 t="s">
        <v>47</v>
      </c>
      <c r="AA2379" t="s">
        <v>501</v>
      </c>
      <c r="AB2379" t="s">
        <v>51</v>
      </c>
      <c r="AC2379" t="s">
        <v>51</v>
      </c>
      <c r="AD2379" t="s">
        <v>51</v>
      </c>
      <c r="AE2379" t="s">
        <v>51</v>
      </c>
      <c r="AF2379" t="s">
        <v>56</v>
      </c>
    </row>
    <row r="2380" spans="1:32" ht="14.5" customHeight="1" x14ac:dyDescent="0.35">
      <c r="A2380" t="s">
        <v>774</v>
      </c>
      <c r="B2380" t="s">
        <v>775</v>
      </c>
      <c r="C2380" t="s">
        <v>47</v>
      </c>
      <c r="D2380">
        <v>3100060</v>
      </c>
      <c r="E2380">
        <v>3100060</v>
      </c>
      <c r="F2380" t="s">
        <v>776</v>
      </c>
      <c r="G2380" t="s">
        <v>776</v>
      </c>
      <c r="H2380" t="s">
        <v>54</v>
      </c>
      <c r="I2380">
        <v>6955225</v>
      </c>
      <c r="J2380" s="12">
        <v>46093</v>
      </c>
      <c r="K2380" s="12">
        <v>46093</v>
      </c>
      <c r="L2380" s="12">
        <v>46093</v>
      </c>
      <c r="M2380">
        <v>39</v>
      </c>
      <c r="N2380">
        <v>-8175000</v>
      </c>
      <c r="O2380">
        <v>-8175000</v>
      </c>
      <c r="P2380">
        <v>0</v>
      </c>
      <c r="Q2380">
        <v>0</v>
      </c>
      <c r="R2380">
        <v>-8175000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 t="s">
        <v>47</v>
      </c>
      <c r="AA2380" t="s">
        <v>501</v>
      </c>
      <c r="AB2380" t="s">
        <v>51</v>
      </c>
      <c r="AC2380" t="s">
        <v>51</v>
      </c>
      <c r="AD2380" t="s">
        <v>51</v>
      </c>
      <c r="AE2380" t="s">
        <v>51</v>
      </c>
      <c r="AF2380" t="s">
        <v>1907</v>
      </c>
    </row>
    <row r="2381" spans="1:32" ht="14.5" customHeight="1" x14ac:dyDescent="0.35">
      <c r="A2381" t="s">
        <v>774</v>
      </c>
      <c r="B2381" t="s">
        <v>775</v>
      </c>
      <c r="C2381" t="s">
        <v>47</v>
      </c>
      <c r="D2381">
        <v>3100060</v>
      </c>
      <c r="E2381">
        <v>3100060</v>
      </c>
      <c r="F2381" t="s">
        <v>776</v>
      </c>
      <c r="G2381" t="s">
        <v>776</v>
      </c>
      <c r="H2381" t="s">
        <v>54</v>
      </c>
      <c r="I2381">
        <v>6955226</v>
      </c>
      <c r="J2381" s="12">
        <v>46093</v>
      </c>
      <c r="K2381" s="12">
        <v>46093</v>
      </c>
      <c r="L2381" s="12">
        <v>46093</v>
      </c>
      <c r="M2381">
        <v>39</v>
      </c>
      <c r="N2381">
        <v>-2289000</v>
      </c>
      <c r="O2381">
        <v>-2289000</v>
      </c>
      <c r="P2381">
        <v>0</v>
      </c>
      <c r="Q2381">
        <v>0</v>
      </c>
      <c r="R2381">
        <v>-2289000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 t="s">
        <v>47</v>
      </c>
      <c r="AA2381" t="s">
        <v>501</v>
      </c>
      <c r="AB2381" t="s">
        <v>51</v>
      </c>
      <c r="AC2381" t="s">
        <v>51</v>
      </c>
      <c r="AD2381" t="s">
        <v>51</v>
      </c>
      <c r="AE2381" t="s">
        <v>51</v>
      </c>
      <c r="AF2381" t="s">
        <v>1908</v>
      </c>
    </row>
    <row r="2382" spans="1:32" ht="14.5" customHeight="1" x14ac:dyDescent="0.35">
      <c r="A2382" t="s">
        <v>774</v>
      </c>
      <c r="B2382" t="s">
        <v>775</v>
      </c>
      <c r="C2382" t="s">
        <v>47</v>
      </c>
      <c r="D2382">
        <v>3100060</v>
      </c>
      <c r="E2382">
        <v>3100060</v>
      </c>
      <c r="F2382" t="s">
        <v>776</v>
      </c>
      <c r="G2382" t="s">
        <v>776</v>
      </c>
      <c r="H2382" t="s">
        <v>54</v>
      </c>
      <c r="I2382">
        <v>6955275</v>
      </c>
      <c r="J2382" s="12">
        <v>46093</v>
      </c>
      <c r="K2382" s="12">
        <v>46093</v>
      </c>
      <c r="L2382" s="12">
        <v>46093</v>
      </c>
      <c r="M2382">
        <v>39</v>
      </c>
      <c r="N2382">
        <v>-14388000</v>
      </c>
      <c r="O2382">
        <v>-14388000</v>
      </c>
      <c r="P2382">
        <v>0</v>
      </c>
      <c r="Q2382">
        <v>0</v>
      </c>
      <c r="R2382">
        <v>-14388000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 t="s">
        <v>47</v>
      </c>
      <c r="AA2382" t="s">
        <v>501</v>
      </c>
      <c r="AB2382" t="s">
        <v>51</v>
      </c>
      <c r="AC2382" t="s">
        <v>51</v>
      </c>
      <c r="AD2382" t="s">
        <v>51</v>
      </c>
      <c r="AE2382" t="s">
        <v>51</v>
      </c>
      <c r="AF2382" t="s">
        <v>1909</v>
      </c>
    </row>
    <row r="2383" spans="1:32" ht="14.5" customHeight="1" x14ac:dyDescent="0.35">
      <c r="A2383" t="s">
        <v>774</v>
      </c>
      <c r="B2383" t="s">
        <v>775</v>
      </c>
      <c r="C2383" t="s">
        <v>47</v>
      </c>
      <c r="D2383">
        <v>3100060</v>
      </c>
      <c r="E2383">
        <v>3100060</v>
      </c>
      <c r="F2383" t="s">
        <v>776</v>
      </c>
      <c r="G2383" t="s">
        <v>776</v>
      </c>
      <c r="H2383" t="s">
        <v>54</v>
      </c>
      <c r="I2383">
        <v>6955276</v>
      </c>
      <c r="J2383" s="12">
        <v>46093</v>
      </c>
      <c r="K2383" s="12">
        <v>46093</v>
      </c>
      <c r="L2383" s="12">
        <v>46093</v>
      </c>
      <c r="M2383">
        <v>39</v>
      </c>
      <c r="N2383">
        <v>-1635000</v>
      </c>
      <c r="O2383">
        <v>-1635000</v>
      </c>
      <c r="P2383">
        <v>0</v>
      </c>
      <c r="Q2383">
        <v>0</v>
      </c>
      <c r="R2383">
        <v>-1635000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 t="s">
        <v>47</v>
      </c>
      <c r="AA2383" t="s">
        <v>501</v>
      </c>
      <c r="AB2383" t="s">
        <v>51</v>
      </c>
      <c r="AC2383" t="s">
        <v>51</v>
      </c>
      <c r="AD2383" t="s">
        <v>51</v>
      </c>
      <c r="AE2383" t="s">
        <v>51</v>
      </c>
      <c r="AF2383" t="s">
        <v>1909</v>
      </c>
    </row>
    <row r="2384" spans="1:32" ht="14.5" customHeight="1" x14ac:dyDescent="0.35">
      <c r="A2384" t="s">
        <v>774</v>
      </c>
      <c r="B2384" t="s">
        <v>775</v>
      </c>
      <c r="C2384" t="s">
        <v>47</v>
      </c>
      <c r="D2384">
        <v>3100060</v>
      </c>
      <c r="E2384">
        <v>3100060</v>
      </c>
      <c r="F2384" t="s">
        <v>776</v>
      </c>
      <c r="G2384" t="s">
        <v>776</v>
      </c>
      <c r="H2384" t="s">
        <v>54</v>
      </c>
      <c r="I2384">
        <v>6955453</v>
      </c>
      <c r="J2384" s="12">
        <v>46093</v>
      </c>
      <c r="K2384" s="12">
        <v>46093</v>
      </c>
      <c r="L2384" s="12">
        <v>46093</v>
      </c>
      <c r="M2384">
        <v>39</v>
      </c>
      <c r="N2384">
        <v>-36865214</v>
      </c>
      <c r="O2384">
        <v>-36865214</v>
      </c>
      <c r="P2384">
        <v>0</v>
      </c>
      <c r="Q2384">
        <v>0</v>
      </c>
      <c r="R2384">
        <v>-36865214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 t="s">
        <v>47</v>
      </c>
      <c r="AA2384" t="s">
        <v>501</v>
      </c>
      <c r="AB2384" t="s">
        <v>51</v>
      </c>
      <c r="AC2384" t="s">
        <v>51</v>
      </c>
      <c r="AD2384" t="s">
        <v>51</v>
      </c>
      <c r="AE2384" t="s">
        <v>51</v>
      </c>
      <c r="AF2384" t="s">
        <v>1910</v>
      </c>
    </row>
    <row r="2385" spans="1:32" ht="14.5" customHeight="1" x14ac:dyDescent="0.35">
      <c r="A2385" t="s">
        <v>774</v>
      </c>
      <c r="B2385" t="s">
        <v>775</v>
      </c>
      <c r="C2385" t="s">
        <v>47</v>
      </c>
      <c r="D2385">
        <v>3100060</v>
      </c>
      <c r="E2385">
        <v>3100060</v>
      </c>
      <c r="F2385" t="s">
        <v>776</v>
      </c>
      <c r="G2385" t="s">
        <v>776</v>
      </c>
      <c r="H2385" t="s">
        <v>54</v>
      </c>
      <c r="I2385">
        <v>6955454</v>
      </c>
      <c r="J2385" s="12">
        <v>46093</v>
      </c>
      <c r="K2385" s="12">
        <v>46093</v>
      </c>
      <c r="L2385" s="12">
        <v>46093</v>
      </c>
      <c r="M2385">
        <v>39</v>
      </c>
      <c r="N2385">
        <v>-32845427</v>
      </c>
      <c r="O2385">
        <v>-32845427</v>
      </c>
      <c r="P2385">
        <v>0</v>
      </c>
      <c r="Q2385">
        <v>0</v>
      </c>
      <c r="R2385">
        <v>-32845427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 t="s">
        <v>47</v>
      </c>
      <c r="AA2385" t="s">
        <v>501</v>
      </c>
      <c r="AB2385" t="s">
        <v>51</v>
      </c>
      <c r="AC2385" t="s">
        <v>51</v>
      </c>
      <c r="AD2385" t="s">
        <v>51</v>
      </c>
      <c r="AE2385" t="s">
        <v>51</v>
      </c>
      <c r="AF2385" t="s">
        <v>1911</v>
      </c>
    </row>
    <row r="2386" spans="1:32" ht="14.5" customHeight="1" x14ac:dyDescent="0.35">
      <c r="A2386" t="s">
        <v>774</v>
      </c>
      <c r="B2386" t="s">
        <v>775</v>
      </c>
      <c r="C2386" t="s">
        <v>47</v>
      </c>
      <c r="D2386">
        <v>3100060</v>
      </c>
      <c r="E2386">
        <v>3100060</v>
      </c>
      <c r="F2386" t="s">
        <v>776</v>
      </c>
      <c r="G2386" t="s">
        <v>776</v>
      </c>
      <c r="H2386" t="s">
        <v>54</v>
      </c>
      <c r="I2386">
        <v>6955777</v>
      </c>
      <c r="J2386" s="12">
        <v>46095</v>
      </c>
      <c r="K2386" s="12">
        <v>46095</v>
      </c>
      <c r="L2386" s="12">
        <v>46095</v>
      </c>
      <c r="M2386">
        <v>37</v>
      </c>
      <c r="N2386">
        <v>-908891</v>
      </c>
      <c r="O2386">
        <v>-908891</v>
      </c>
      <c r="P2386">
        <v>0</v>
      </c>
      <c r="Q2386">
        <v>0</v>
      </c>
      <c r="R2386">
        <v>-908891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 t="s">
        <v>47</v>
      </c>
      <c r="AA2386" t="s">
        <v>501</v>
      </c>
      <c r="AB2386" t="s">
        <v>51</v>
      </c>
      <c r="AC2386" t="s">
        <v>51</v>
      </c>
      <c r="AD2386" t="s">
        <v>51</v>
      </c>
      <c r="AE2386" t="s">
        <v>51</v>
      </c>
      <c r="AF2386" t="s">
        <v>779</v>
      </c>
    </row>
    <row r="2387" spans="1:32" ht="14.5" customHeight="1" x14ac:dyDescent="0.35">
      <c r="A2387" t="s">
        <v>774</v>
      </c>
      <c r="B2387" t="s">
        <v>775</v>
      </c>
      <c r="C2387" t="s">
        <v>47</v>
      </c>
      <c r="D2387">
        <v>3100060</v>
      </c>
      <c r="E2387">
        <v>3100060</v>
      </c>
      <c r="F2387" t="s">
        <v>776</v>
      </c>
      <c r="G2387" t="s">
        <v>776</v>
      </c>
      <c r="H2387" t="s">
        <v>54</v>
      </c>
      <c r="I2387">
        <v>6955778</v>
      </c>
      <c r="J2387" s="12">
        <v>46095</v>
      </c>
      <c r="K2387" s="12">
        <v>46095</v>
      </c>
      <c r="L2387" s="12">
        <v>46095</v>
      </c>
      <c r="M2387">
        <v>37</v>
      </c>
      <c r="N2387">
        <v>-1635000</v>
      </c>
      <c r="O2387">
        <v>-1635000</v>
      </c>
      <c r="P2387">
        <v>0</v>
      </c>
      <c r="Q2387">
        <v>0</v>
      </c>
      <c r="R2387">
        <v>-1635000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 t="s">
        <v>47</v>
      </c>
      <c r="AA2387" t="s">
        <v>501</v>
      </c>
      <c r="AB2387" t="s">
        <v>51</v>
      </c>
      <c r="AC2387" t="s">
        <v>51</v>
      </c>
      <c r="AD2387" t="s">
        <v>51</v>
      </c>
      <c r="AE2387" t="s">
        <v>51</v>
      </c>
      <c r="AF2387" t="s">
        <v>1912</v>
      </c>
    </row>
    <row r="2388" spans="1:32" ht="14.5" customHeight="1" x14ac:dyDescent="0.35">
      <c r="A2388" t="s">
        <v>774</v>
      </c>
      <c r="B2388" t="s">
        <v>775</v>
      </c>
      <c r="C2388" t="s">
        <v>47</v>
      </c>
      <c r="D2388">
        <v>3100060</v>
      </c>
      <c r="E2388">
        <v>3100060</v>
      </c>
      <c r="F2388" t="s">
        <v>776</v>
      </c>
      <c r="G2388" t="s">
        <v>776</v>
      </c>
      <c r="H2388" t="s">
        <v>54</v>
      </c>
      <c r="I2388">
        <v>6956317</v>
      </c>
      <c r="J2388" s="12">
        <v>46098</v>
      </c>
      <c r="K2388" s="12">
        <v>46098</v>
      </c>
      <c r="L2388" s="12">
        <v>46098</v>
      </c>
      <c r="M2388">
        <v>34</v>
      </c>
      <c r="N2388">
        <v>-2502739</v>
      </c>
      <c r="O2388">
        <v>-2502739</v>
      </c>
      <c r="P2388">
        <v>0</v>
      </c>
      <c r="Q2388">
        <v>0</v>
      </c>
      <c r="R2388">
        <v>-2502739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 t="s">
        <v>47</v>
      </c>
      <c r="AA2388" t="s">
        <v>501</v>
      </c>
      <c r="AB2388" t="s">
        <v>51</v>
      </c>
      <c r="AC2388" t="s">
        <v>51</v>
      </c>
      <c r="AD2388" t="s">
        <v>51</v>
      </c>
      <c r="AE2388" t="s">
        <v>51</v>
      </c>
      <c r="AF2388" t="s">
        <v>107</v>
      </c>
    </row>
    <row r="2389" spans="1:32" ht="14.5" customHeight="1" x14ac:dyDescent="0.35">
      <c r="A2389" t="s">
        <v>774</v>
      </c>
      <c r="B2389" t="s">
        <v>775</v>
      </c>
      <c r="C2389" t="s">
        <v>47</v>
      </c>
      <c r="D2389">
        <v>3100060</v>
      </c>
      <c r="E2389">
        <v>3100060</v>
      </c>
      <c r="F2389" t="s">
        <v>776</v>
      </c>
      <c r="G2389" t="s">
        <v>776</v>
      </c>
      <c r="H2389" t="s">
        <v>54</v>
      </c>
      <c r="I2389">
        <v>6956435</v>
      </c>
      <c r="J2389" s="12">
        <v>46099</v>
      </c>
      <c r="K2389" s="12">
        <v>46099</v>
      </c>
      <c r="L2389" s="12">
        <v>46099</v>
      </c>
      <c r="M2389">
        <v>33</v>
      </c>
      <c r="N2389">
        <v>-2984184</v>
      </c>
      <c r="O2389">
        <v>-2984184</v>
      </c>
      <c r="P2389">
        <v>0</v>
      </c>
      <c r="Q2389">
        <v>0</v>
      </c>
      <c r="R2389">
        <v>-2984184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 t="s">
        <v>47</v>
      </c>
      <c r="AA2389" t="s">
        <v>501</v>
      </c>
      <c r="AB2389" t="s">
        <v>51</v>
      </c>
      <c r="AC2389" t="s">
        <v>51</v>
      </c>
      <c r="AD2389" t="s">
        <v>51</v>
      </c>
      <c r="AE2389" t="s">
        <v>51</v>
      </c>
      <c r="AF2389" t="s">
        <v>1913</v>
      </c>
    </row>
    <row r="2390" spans="1:32" ht="14.5" customHeight="1" x14ac:dyDescent="0.35">
      <c r="A2390" t="s">
        <v>774</v>
      </c>
      <c r="B2390" t="s">
        <v>775</v>
      </c>
      <c r="C2390" t="s">
        <v>47</v>
      </c>
      <c r="D2390">
        <v>3100060</v>
      </c>
      <c r="E2390">
        <v>3100060</v>
      </c>
      <c r="F2390" t="s">
        <v>776</v>
      </c>
      <c r="G2390" t="s">
        <v>776</v>
      </c>
      <c r="H2390" t="s">
        <v>54</v>
      </c>
      <c r="I2390">
        <v>6957093</v>
      </c>
      <c r="J2390" s="12">
        <v>46106</v>
      </c>
      <c r="K2390" s="12">
        <v>46106</v>
      </c>
      <c r="L2390" s="12">
        <v>46106</v>
      </c>
      <c r="M2390">
        <v>26</v>
      </c>
      <c r="N2390">
        <v>-64860737</v>
      </c>
      <c r="O2390">
        <v>-64860737</v>
      </c>
      <c r="P2390">
        <v>0</v>
      </c>
      <c r="Q2390">
        <v>-64860737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 t="s">
        <v>47</v>
      </c>
      <c r="AA2390" t="s">
        <v>501</v>
      </c>
      <c r="AB2390" t="s">
        <v>51</v>
      </c>
      <c r="AC2390" t="s">
        <v>51</v>
      </c>
      <c r="AD2390" t="s">
        <v>51</v>
      </c>
      <c r="AE2390" t="s">
        <v>51</v>
      </c>
      <c r="AF2390" t="s">
        <v>1914</v>
      </c>
    </row>
    <row r="2391" spans="1:32" ht="14.5" customHeight="1" x14ac:dyDescent="0.35">
      <c r="A2391" t="s">
        <v>774</v>
      </c>
      <c r="B2391" t="s">
        <v>775</v>
      </c>
      <c r="C2391" t="s">
        <v>47</v>
      </c>
      <c r="D2391">
        <v>3100060</v>
      </c>
      <c r="E2391">
        <v>3100060</v>
      </c>
      <c r="F2391" t="s">
        <v>776</v>
      </c>
      <c r="G2391" t="s">
        <v>776</v>
      </c>
      <c r="H2391" t="s">
        <v>54</v>
      </c>
      <c r="I2391">
        <v>6957324</v>
      </c>
      <c r="J2391" s="12">
        <v>46106</v>
      </c>
      <c r="K2391" s="12">
        <v>46106</v>
      </c>
      <c r="L2391" s="12">
        <v>46106</v>
      </c>
      <c r="M2391">
        <v>26</v>
      </c>
      <c r="N2391">
        <v>-6693750</v>
      </c>
      <c r="O2391">
        <v>-6693750</v>
      </c>
      <c r="P2391">
        <v>0</v>
      </c>
      <c r="Q2391">
        <v>-6693750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 t="s">
        <v>47</v>
      </c>
      <c r="AA2391" t="s">
        <v>501</v>
      </c>
      <c r="AB2391" t="s">
        <v>51</v>
      </c>
      <c r="AC2391" t="s">
        <v>51</v>
      </c>
      <c r="AD2391" t="s">
        <v>51</v>
      </c>
      <c r="AE2391" t="s">
        <v>51</v>
      </c>
      <c r="AF2391" t="s">
        <v>1915</v>
      </c>
    </row>
    <row r="2392" spans="1:32" ht="14.5" customHeight="1" x14ac:dyDescent="0.35">
      <c r="A2392" t="s">
        <v>774</v>
      </c>
      <c r="B2392" t="s">
        <v>775</v>
      </c>
      <c r="C2392" t="s">
        <v>47</v>
      </c>
      <c r="D2392">
        <v>3100060</v>
      </c>
      <c r="E2392">
        <v>3100060</v>
      </c>
      <c r="F2392" t="s">
        <v>776</v>
      </c>
      <c r="G2392" t="s">
        <v>776</v>
      </c>
      <c r="H2392" t="s">
        <v>54</v>
      </c>
      <c r="I2392">
        <v>6957687</v>
      </c>
      <c r="J2392" s="12">
        <v>46111</v>
      </c>
      <c r="K2392" s="12">
        <v>46111</v>
      </c>
      <c r="L2392" s="12">
        <v>46111</v>
      </c>
      <c r="M2392">
        <v>21</v>
      </c>
      <c r="N2392">
        <v>-3726838</v>
      </c>
      <c r="O2392">
        <v>-3726838</v>
      </c>
      <c r="P2392">
        <v>0</v>
      </c>
      <c r="Q2392">
        <v>-3726838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 t="s">
        <v>47</v>
      </c>
      <c r="AA2392" t="s">
        <v>501</v>
      </c>
      <c r="AB2392" t="s">
        <v>51</v>
      </c>
      <c r="AC2392" t="s">
        <v>51</v>
      </c>
      <c r="AD2392" t="s">
        <v>51</v>
      </c>
      <c r="AE2392" t="s">
        <v>51</v>
      </c>
      <c r="AF2392" t="s">
        <v>1485</v>
      </c>
    </row>
    <row r="2393" spans="1:32" ht="14.5" customHeight="1" x14ac:dyDescent="0.35">
      <c r="A2393" t="s">
        <v>774</v>
      </c>
      <c r="B2393" t="s">
        <v>775</v>
      </c>
      <c r="C2393" t="s">
        <v>47</v>
      </c>
      <c r="D2393">
        <v>3100060</v>
      </c>
      <c r="E2393">
        <v>3100060</v>
      </c>
      <c r="F2393" t="s">
        <v>776</v>
      </c>
      <c r="G2393" t="s">
        <v>776</v>
      </c>
      <c r="H2393" t="s">
        <v>54</v>
      </c>
      <c r="I2393">
        <v>6957688</v>
      </c>
      <c r="J2393" s="12">
        <v>46111</v>
      </c>
      <c r="K2393" s="12">
        <v>46111</v>
      </c>
      <c r="L2393" s="12">
        <v>46111</v>
      </c>
      <c r="M2393">
        <v>21</v>
      </c>
      <c r="N2393">
        <v>-250669</v>
      </c>
      <c r="O2393">
        <v>-250669</v>
      </c>
      <c r="P2393">
        <v>0</v>
      </c>
      <c r="Q2393">
        <v>-250669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 t="s">
        <v>47</v>
      </c>
      <c r="AA2393" t="s">
        <v>501</v>
      </c>
      <c r="AB2393" t="s">
        <v>51</v>
      </c>
      <c r="AC2393" t="s">
        <v>51</v>
      </c>
      <c r="AD2393" t="s">
        <v>51</v>
      </c>
      <c r="AE2393" t="s">
        <v>51</v>
      </c>
      <c r="AF2393" t="s">
        <v>108</v>
      </c>
    </row>
    <row r="2394" spans="1:32" ht="14.5" customHeight="1" x14ac:dyDescent="0.35">
      <c r="A2394" t="s">
        <v>774</v>
      </c>
      <c r="B2394" t="s">
        <v>775</v>
      </c>
      <c r="C2394" t="s">
        <v>47</v>
      </c>
      <c r="D2394">
        <v>3100060</v>
      </c>
      <c r="E2394">
        <v>3100060</v>
      </c>
      <c r="F2394" t="s">
        <v>776</v>
      </c>
      <c r="G2394" t="s">
        <v>776</v>
      </c>
      <c r="H2394" t="s">
        <v>54</v>
      </c>
      <c r="I2394">
        <v>6957689</v>
      </c>
      <c r="J2394" s="12">
        <v>46111</v>
      </c>
      <c r="K2394" s="12">
        <v>46111</v>
      </c>
      <c r="L2394" s="12">
        <v>46111</v>
      </c>
      <c r="M2394">
        <v>21</v>
      </c>
      <c r="N2394">
        <v>-5642987</v>
      </c>
      <c r="O2394">
        <v>-5642987</v>
      </c>
      <c r="P2394">
        <v>0</v>
      </c>
      <c r="Q2394">
        <v>-5642987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 t="s">
        <v>47</v>
      </c>
      <c r="AA2394" t="s">
        <v>501</v>
      </c>
      <c r="AB2394" t="s">
        <v>51</v>
      </c>
      <c r="AC2394" t="s">
        <v>51</v>
      </c>
      <c r="AD2394" t="s">
        <v>51</v>
      </c>
      <c r="AE2394" t="s">
        <v>51</v>
      </c>
      <c r="AF2394" t="s">
        <v>1485</v>
      </c>
    </row>
    <row r="2395" spans="1:32" ht="14.5" customHeight="1" x14ac:dyDescent="0.35">
      <c r="A2395" t="s">
        <v>774</v>
      </c>
      <c r="B2395" t="s">
        <v>775</v>
      </c>
      <c r="C2395" t="s">
        <v>47</v>
      </c>
      <c r="D2395">
        <v>3100060</v>
      </c>
      <c r="E2395">
        <v>3100060</v>
      </c>
      <c r="F2395" t="s">
        <v>776</v>
      </c>
      <c r="G2395" t="s">
        <v>776</v>
      </c>
      <c r="H2395" t="s">
        <v>54</v>
      </c>
      <c r="I2395">
        <v>6957690</v>
      </c>
      <c r="J2395" s="12">
        <v>46111</v>
      </c>
      <c r="K2395" s="12">
        <v>46111</v>
      </c>
      <c r="L2395" s="12">
        <v>46111</v>
      </c>
      <c r="M2395">
        <v>21</v>
      </c>
      <c r="N2395">
        <v>-940574</v>
      </c>
      <c r="O2395">
        <v>-940574</v>
      </c>
      <c r="P2395">
        <v>0</v>
      </c>
      <c r="Q2395">
        <v>-940574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 t="s">
        <v>47</v>
      </c>
      <c r="AA2395" t="s">
        <v>501</v>
      </c>
      <c r="AB2395" t="s">
        <v>51</v>
      </c>
      <c r="AC2395" t="s">
        <v>51</v>
      </c>
      <c r="AD2395" t="s">
        <v>51</v>
      </c>
      <c r="AE2395" t="s">
        <v>51</v>
      </c>
      <c r="AF2395" t="s">
        <v>108</v>
      </c>
    </row>
    <row r="2396" spans="1:32" ht="14.5" customHeight="1" x14ac:dyDescent="0.35">
      <c r="A2396" t="s">
        <v>774</v>
      </c>
      <c r="B2396" t="s">
        <v>775</v>
      </c>
      <c r="C2396" t="s">
        <v>47</v>
      </c>
      <c r="D2396">
        <v>3100060</v>
      </c>
      <c r="E2396">
        <v>3100060</v>
      </c>
      <c r="F2396" t="s">
        <v>776</v>
      </c>
      <c r="G2396" t="s">
        <v>776</v>
      </c>
      <c r="H2396" t="s">
        <v>54</v>
      </c>
      <c r="I2396">
        <v>6958429</v>
      </c>
      <c r="J2396" s="12">
        <v>46121</v>
      </c>
      <c r="K2396" s="12">
        <v>46121</v>
      </c>
      <c r="L2396" s="12">
        <v>46121</v>
      </c>
      <c r="M2396">
        <v>11</v>
      </c>
      <c r="N2396">
        <v>-14611371</v>
      </c>
      <c r="O2396">
        <v>-14611371</v>
      </c>
      <c r="P2396">
        <v>0</v>
      </c>
      <c r="Q2396">
        <v>-14611371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 t="s">
        <v>47</v>
      </c>
      <c r="AA2396" t="s">
        <v>501</v>
      </c>
      <c r="AB2396" t="s">
        <v>51</v>
      </c>
      <c r="AC2396" t="s">
        <v>51</v>
      </c>
      <c r="AD2396" t="s">
        <v>51</v>
      </c>
      <c r="AE2396" t="s">
        <v>51</v>
      </c>
      <c r="AF2396" t="s">
        <v>779</v>
      </c>
    </row>
    <row r="2397" spans="1:32" ht="14.5" customHeight="1" x14ac:dyDescent="0.35">
      <c r="A2397" t="s">
        <v>774</v>
      </c>
      <c r="B2397" t="s">
        <v>775</v>
      </c>
      <c r="C2397" t="s">
        <v>47</v>
      </c>
      <c r="D2397">
        <v>3100060</v>
      </c>
      <c r="E2397">
        <v>3100060</v>
      </c>
      <c r="F2397" t="s">
        <v>776</v>
      </c>
      <c r="G2397" t="s">
        <v>776</v>
      </c>
      <c r="H2397" t="s">
        <v>54</v>
      </c>
      <c r="I2397">
        <v>6958430</v>
      </c>
      <c r="J2397" s="12">
        <v>46121</v>
      </c>
      <c r="K2397" s="12">
        <v>46121</v>
      </c>
      <c r="L2397" s="12">
        <v>46121</v>
      </c>
      <c r="M2397">
        <v>11</v>
      </c>
      <c r="N2397">
        <v>-1245847</v>
      </c>
      <c r="O2397">
        <v>-1245847</v>
      </c>
      <c r="P2397">
        <v>0</v>
      </c>
      <c r="Q2397">
        <v>-1245847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 t="s">
        <v>47</v>
      </c>
      <c r="AA2397" t="s">
        <v>501</v>
      </c>
      <c r="AB2397" t="s">
        <v>51</v>
      </c>
      <c r="AC2397" t="s">
        <v>51</v>
      </c>
      <c r="AD2397" t="s">
        <v>51</v>
      </c>
      <c r="AE2397" t="s">
        <v>51</v>
      </c>
      <c r="AF2397" t="s">
        <v>779</v>
      </c>
    </row>
    <row r="2398" spans="1:32" ht="14.5" customHeight="1" x14ac:dyDescent="0.35">
      <c r="A2398" t="s">
        <v>774</v>
      </c>
      <c r="B2398" t="s">
        <v>775</v>
      </c>
      <c r="C2398" t="s">
        <v>47</v>
      </c>
      <c r="D2398">
        <v>3100060</v>
      </c>
      <c r="E2398">
        <v>3100060</v>
      </c>
      <c r="F2398" t="s">
        <v>776</v>
      </c>
      <c r="G2398" t="s">
        <v>776</v>
      </c>
      <c r="H2398" t="s">
        <v>54</v>
      </c>
      <c r="I2398">
        <v>6958431</v>
      </c>
      <c r="J2398" s="12">
        <v>46121</v>
      </c>
      <c r="K2398" s="12">
        <v>46121</v>
      </c>
      <c r="L2398" s="12">
        <v>46121</v>
      </c>
      <c r="M2398">
        <v>11</v>
      </c>
      <c r="N2398">
        <v>-6952111</v>
      </c>
      <c r="O2398">
        <v>-6952111</v>
      </c>
      <c r="P2398">
        <v>0</v>
      </c>
      <c r="Q2398">
        <v>-6952111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 t="s">
        <v>47</v>
      </c>
      <c r="AA2398" t="s">
        <v>501</v>
      </c>
      <c r="AB2398" t="s">
        <v>51</v>
      </c>
      <c r="AC2398" t="s">
        <v>51</v>
      </c>
      <c r="AD2398" t="s">
        <v>51</v>
      </c>
      <c r="AE2398" t="s">
        <v>51</v>
      </c>
      <c r="AF2398" t="s">
        <v>779</v>
      </c>
    </row>
    <row r="2399" spans="1:32" ht="14.5" customHeight="1" x14ac:dyDescent="0.35">
      <c r="A2399" t="s">
        <v>774</v>
      </c>
      <c r="B2399" t="s">
        <v>775</v>
      </c>
      <c r="C2399" t="s">
        <v>47</v>
      </c>
      <c r="D2399">
        <v>3100060</v>
      </c>
      <c r="E2399">
        <v>3100060</v>
      </c>
      <c r="F2399" t="s">
        <v>776</v>
      </c>
      <c r="G2399" t="s">
        <v>776</v>
      </c>
      <c r="H2399" t="s">
        <v>54</v>
      </c>
      <c r="I2399">
        <v>6958586</v>
      </c>
      <c r="J2399" s="12">
        <v>46121</v>
      </c>
      <c r="K2399" s="12">
        <v>46121</v>
      </c>
      <c r="L2399" s="12">
        <v>46121</v>
      </c>
      <c r="M2399">
        <v>11</v>
      </c>
      <c r="N2399">
        <v>-227517318</v>
      </c>
      <c r="O2399">
        <v>-227517318</v>
      </c>
      <c r="P2399">
        <v>0</v>
      </c>
      <c r="Q2399">
        <v>-227517318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 t="s">
        <v>47</v>
      </c>
      <c r="AA2399" t="s">
        <v>501</v>
      </c>
      <c r="AB2399" t="s">
        <v>51</v>
      </c>
      <c r="AC2399" t="s">
        <v>51</v>
      </c>
      <c r="AD2399" t="s">
        <v>51</v>
      </c>
      <c r="AE2399" t="s">
        <v>51</v>
      </c>
      <c r="AF2399" t="s">
        <v>782</v>
      </c>
    </row>
    <row r="2400" spans="1:32" ht="14.5" customHeight="1" x14ac:dyDescent="0.35">
      <c r="A2400" t="s">
        <v>774</v>
      </c>
      <c r="B2400" t="s">
        <v>775</v>
      </c>
      <c r="C2400" t="s">
        <v>47</v>
      </c>
      <c r="D2400">
        <v>3100060</v>
      </c>
      <c r="E2400">
        <v>3100060</v>
      </c>
      <c r="F2400" t="s">
        <v>776</v>
      </c>
      <c r="G2400" t="s">
        <v>776</v>
      </c>
      <c r="H2400" t="s">
        <v>54</v>
      </c>
      <c r="I2400">
        <v>6958587</v>
      </c>
      <c r="J2400" s="12">
        <v>46121</v>
      </c>
      <c r="K2400" s="12">
        <v>46121</v>
      </c>
      <c r="L2400" s="12">
        <v>46121</v>
      </c>
      <c r="M2400">
        <v>11</v>
      </c>
      <c r="N2400">
        <v>-49106</v>
      </c>
      <c r="O2400">
        <v>-49106</v>
      </c>
      <c r="P2400">
        <v>0</v>
      </c>
      <c r="Q2400">
        <v>-49106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 t="s">
        <v>47</v>
      </c>
      <c r="AA2400" t="s">
        <v>501</v>
      </c>
      <c r="AB2400" t="s">
        <v>51</v>
      </c>
      <c r="AC2400" t="s">
        <v>51</v>
      </c>
      <c r="AD2400" t="s">
        <v>51</v>
      </c>
      <c r="AE2400" t="s">
        <v>51</v>
      </c>
      <c r="AF2400" t="s">
        <v>1587</v>
      </c>
    </row>
    <row r="2401" spans="1:32" ht="14.5" customHeight="1" x14ac:dyDescent="0.35">
      <c r="A2401" t="s">
        <v>774</v>
      </c>
      <c r="B2401" t="s">
        <v>775</v>
      </c>
      <c r="C2401" t="s">
        <v>47</v>
      </c>
      <c r="D2401">
        <v>3100060</v>
      </c>
      <c r="E2401">
        <v>3100060</v>
      </c>
      <c r="F2401" t="s">
        <v>776</v>
      </c>
      <c r="G2401" t="s">
        <v>776</v>
      </c>
      <c r="H2401" t="s">
        <v>54</v>
      </c>
      <c r="I2401">
        <v>6958669</v>
      </c>
      <c r="J2401" s="12">
        <v>46122</v>
      </c>
      <c r="K2401" s="12">
        <v>46122</v>
      </c>
      <c r="L2401" s="12">
        <v>46122</v>
      </c>
      <c r="M2401">
        <v>10</v>
      </c>
      <c r="N2401">
        <v>-8032500</v>
      </c>
      <c r="O2401">
        <v>-8032500</v>
      </c>
      <c r="P2401">
        <v>0</v>
      </c>
      <c r="Q2401">
        <v>-8032500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 t="s">
        <v>47</v>
      </c>
      <c r="AA2401" t="s">
        <v>501</v>
      </c>
      <c r="AB2401" t="s">
        <v>51</v>
      </c>
      <c r="AC2401" t="s">
        <v>51</v>
      </c>
      <c r="AD2401" t="s">
        <v>51</v>
      </c>
      <c r="AE2401" t="s">
        <v>51</v>
      </c>
      <c r="AF2401" t="s">
        <v>1916</v>
      </c>
    </row>
    <row r="2402" spans="1:32" ht="14.5" customHeight="1" x14ac:dyDescent="0.35">
      <c r="A2402" t="s">
        <v>774</v>
      </c>
      <c r="B2402" t="s">
        <v>775</v>
      </c>
      <c r="C2402" t="s">
        <v>47</v>
      </c>
      <c r="D2402">
        <v>3100060</v>
      </c>
      <c r="E2402">
        <v>3100060</v>
      </c>
      <c r="F2402" t="s">
        <v>776</v>
      </c>
      <c r="G2402" t="s">
        <v>776</v>
      </c>
      <c r="H2402" t="s">
        <v>54</v>
      </c>
      <c r="I2402">
        <v>6959645</v>
      </c>
      <c r="J2402" s="12">
        <v>46127</v>
      </c>
      <c r="K2402" s="12">
        <v>46127</v>
      </c>
      <c r="L2402" s="12">
        <v>46127</v>
      </c>
      <c r="M2402">
        <v>5</v>
      </c>
      <c r="N2402">
        <v>-64734855</v>
      </c>
      <c r="O2402">
        <v>-64734855</v>
      </c>
      <c r="P2402">
        <v>0</v>
      </c>
      <c r="Q2402">
        <v>-64734855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 t="s">
        <v>47</v>
      </c>
      <c r="AA2402" t="s">
        <v>501</v>
      </c>
      <c r="AB2402" t="s">
        <v>51</v>
      </c>
      <c r="AC2402" t="s">
        <v>51</v>
      </c>
      <c r="AD2402" t="s">
        <v>51</v>
      </c>
      <c r="AE2402" t="s">
        <v>51</v>
      </c>
      <c r="AF2402" t="s">
        <v>785</v>
      </c>
    </row>
    <row r="2403" spans="1:32" ht="14.5" customHeight="1" x14ac:dyDescent="0.35">
      <c r="A2403" t="s">
        <v>774</v>
      </c>
      <c r="B2403" t="s">
        <v>775</v>
      </c>
      <c r="C2403" t="s">
        <v>47</v>
      </c>
      <c r="D2403">
        <v>3100060</v>
      </c>
      <c r="E2403">
        <v>3100060</v>
      </c>
      <c r="F2403" t="s">
        <v>776</v>
      </c>
      <c r="G2403" t="s">
        <v>776</v>
      </c>
      <c r="H2403" t="s">
        <v>54</v>
      </c>
      <c r="I2403">
        <v>6959646</v>
      </c>
      <c r="J2403" s="12">
        <v>46127</v>
      </c>
      <c r="K2403" s="12">
        <v>46127</v>
      </c>
      <c r="L2403" s="12">
        <v>46127</v>
      </c>
      <c r="M2403">
        <v>5</v>
      </c>
      <c r="N2403">
        <v>-64205556</v>
      </c>
      <c r="O2403">
        <v>-64205556</v>
      </c>
      <c r="P2403">
        <v>0</v>
      </c>
      <c r="Q2403">
        <v>-64205556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 t="s">
        <v>47</v>
      </c>
      <c r="AA2403" t="s">
        <v>501</v>
      </c>
      <c r="AB2403" t="s">
        <v>51</v>
      </c>
      <c r="AC2403" t="s">
        <v>51</v>
      </c>
      <c r="AD2403" t="s">
        <v>51</v>
      </c>
      <c r="AE2403" t="s">
        <v>51</v>
      </c>
      <c r="AF2403" t="s">
        <v>786</v>
      </c>
    </row>
    <row r="2404" spans="1:32" ht="14.5" customHeight="1" x14ac:dyDescent="0.35">
      <c r="A2404" t="s">
        <v>774</v>
      </c>
      <c r="B2404" t="s">
        <v>775</v>
      </c>
      <c r="C2404" t="s">
        <v>47</v>
      </c>
      <c r="D2404">
        <v>3100060</v>
      </c>
      <c r="E2404">
        <v>3100060</v>
      </c>
      <c r="F2404" t="s">
        <v>776</v>
      </c>
      <c r="G2404" t="s">
        <v>776</v>
      </c>
      <c r="H2404" t="s">
        <v>54</v>
      </c>
      <c r="I2404">
        <v>6960255</v>
      </c>
      <c r="J2404" s="12">
        <v>46130</v>
      </c>
      <c r="K2404" s="12">
        <v>46130</v>
      </c>
      <c r="L2404" s="12">
        <v>46130</v>
      </c>
      <c r="M2404">
        <v>2</v>
      </c>
      <c r="N2404">
        <v>-1668116</v>
      </c>
      <c r="O2404">
        <v>-1668116</v>
      </c>
      <c r="P2404">
        <v>0</v>
      </c>
      <c r="Q2404">
        <v>-1668116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 t="s">
        <v>47</v>
      </c>
      <c r="AA2404" t="s">
        <v>501</v>
      </c>
      <c r="AB2404" t="s">
        <v>51</v>
      </c>
      <c r="AC2404" t="s">
        <v>51</v>
      </c>
      <c r="AD2404" t="s">
        <v>51</v>
      </c>
      <c r="AE2404" t="s">
        <v>51</v>
      </c>
      <c r="AF2404" t="s">
        <v>779</v>
      </c>
    </row>
    <row r="2405" spans="1:32" ht="14.5" customHeight="1" x14ac:dyDescent="0.35">
      <c r="A2405" t="s">
        <v>774</v>
      </c>
      <c r="B2405" t="s">
        <v>775</v>
      </c>
      <c r="C2405" t="s">
        <v>47</v>
      </c>
      <c r="D2405">
        <v>3100060</v>
      </c>
      <c r="E2405">
        <v>3100060</v>
      </c>
      <c r="F2405" t="s">
        <v>776</v>
      </c>
      <c r="G2405" t="s">
        <v>776</v>
      </c>
      <c r="H2405" t="s">
        <v>54</v>
      </c>
      <c r="I2405">
        <v>6960256</v>
      </c>
      <c r="J2405" s="12">
        <v>46130</v>
      </c>
      <c r="K2405" s="12">
        <v>46130</v>
      </c>
      <c r="L2405" s="12">
        <v>46130</v>
      </c>
      <c r="M2405">
        <v>2</v>
      </c>
      <c r="N2405">
        <v>-160620</v>
      </c>
      <c r="O2405">
        <v>-160620</v>
      </c>
      <c r="P2405">
        <v>0</v>
      </c>
      <c r="Q2405">
        <v>-160620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 t="s">
        <v>47</v>
      </c>
      <c r="AA2405" t="s">
        <v>501</v>
      </c>
      <c r="AB2405" t="s">
        <v>51</v>
      </c>
      <c r="AC2405" t="s">
        <v>51</v>
      </c>
      <c r="AD2405" t="s">
        <v>51</v>
      </c>
      <c r="AE2405" t="s">
        <v>51</v>
      </c>
      <c r="AF2405" t="s">
        <v>779</v>
      </c>
    </row>
    <row r="2406" spans="1:32" ht="14.5" customHeight="1" x14ac:dyDescent="0.35">
      <c r="A2406" t="s">
        <v>774</v>
      </c>
      <c r="B2406" t="s">
        <v>775</v>
      </c>
      <c r="C2406" t="s">
        <v>47</v>
      </c>
      <c r="D2406">
        <v>3100060</v>
      </c>
      <c r="E2406">
        <v>3100060</v>
      </c>
      <c r="F2406" t="s">
        <v>776</v>
      </c>
      <c r="G2406" t="s">
        <v>776</v>
      </c>
      <c r="H2406" t="s">
        <v>54</v>
      </c>
      <c r="I2406">
        <v>6960257</v>
      </c>
      <c r="J2406" s="12">
        <v>46130</v>
      </c>
      <c r="K2406" s="12">
        <v>46130</v>
      </c>
      <c r="L2406" s="12">
        <v>46130</v>
      </c>
      <c r="M2406">
        <v>2</v>
      </c>
      <c r="N2406">
        <v>-1832530</v>
      </c>
      <c r="O2406">
        <v>-1832530</v>
      </c>
      <c r="P2406">
        <v>0</v>
      </c>
      <c r="Q2406">
        <v>-1832530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 t="s">
        <v>47</v>
      </c>
      <c r="AA2406" t="s">
        <v>501</v>
      </c>
      <c r="AB2406" t="s">
        <v>51</v>
      </c>
      <c r="AC2406" t="s">
        <v>51</v>
      </c>
      <c r="AD2406" t="s">
        <v>51</v>
      </c>
      <c r="AE2406" t="s">
        <v>51</v>
      </c>
      <c r="AF2406" t="s">
        <v>779</v>
      </c>
    </row>
    <row r="2407" spans="1:32" ht="14.5" customHeight="1" x14ac:dyDescent="0.35">
      <c r="A2407" t="s">
        <v>774</v>
      </c>
      <c r="B2407" t="s">
        <v>775</v>
      </c>
      <c r="C2407" t="s">
        <v>47</v>
      </c>
      <c r="D2407">
        <v>3100060</v>
      </c>
      <c r="E2407">
        <v>3100060</v>
      </c>
      <c r="F2407" t="s">
        <v>776</v>
      </c>
      <c r="G2407" t="s">
        <v>776</v>
      </c>
      <c r="H2407" t="s">
        <v>54</v>
      </c>
      <c r="I2407">
        <v>6960258</v>
      </c>
      <c r="J2407" s="12">
        <v>46130</v>
      </c>
      <c r="K2407" s="12">
        <v>46130</v>
      </c>
      <c r="L2407" s="12">
        <v>46130</v>
      </c>
      <c r="M2407">
        <v>2</v>
      </c>
      <c r="N2407">
        <v>-106005</v>
      </c>
      <c r="O2407">
        <v>-106005</v>
      </c>
      <c r="P2407">
        <v>0</v>
      </c>
      <c r="Q2407">
        <v>-106005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 t="s">
        <v>47</v>
      </c>
      <c r="AA2407" t="s">
        <v>501</v>
      </c>
      <c r="AB2407" t="s">
        <v>51</v>
      </c>
      <c r="AC2407" t="s">
        <v>51</v>
      </c>
      <c r="AD2407" t="s">
        <v>51</v>
      </c>
      <c r="AE2407" t="s">
        <v>51</v>
      </c>
      <c r="AF2407" t="s">
        <v>779</v>
      </c>
    </row>
    <row r="2408" spans="1:32" ht="14.5" customHeight="1" x14ac:dyDescent="0.35">
      <c r="A2408" t="s">
        <v>774</v>
      </c>
      <c r="B2408" t="s">
        <v>775</v>
      </c>
      <c r="C2408" t="s">
        <v>47</v>
      </c>
      <c r="D2408">
        <v>3100060</v>
      </c>
      <c r="E2408">
        <v>3100060</v>
      </c>
      <c r="F2408" t="s">
        <v>776</v>
      </c>
      <c r="G2408" t="s">
        <v>776</v>
      </c>
      <c r="H2408" t="s">
        <v>54</v>
      </c>
      <c r="I2408">
        <v>6960259</v>
      </c>
      <c r="J2408" s="12">
        <v>46130</v>
      </c>
      <c r="K2408" s="12">
        <v>46130</v>
      </c>
      <c r="L2408" s="12">
        <v>46130</v>
      </c>
      <c r="M2408">
        <v>2</v>
      </c>
      <c r="N2408">
        <v>-519597</v>
      </c>
      <c r="O2408">
        <v>-519597</v>
      </c>
      <c r="P2408">
        <v>0</v>
      </c>
      <c r="Q2408">
        <v>-519597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 t="s">
        <v>47</v>
      </c>
      <c r="AA2408" t="s">
        <v>501</v>
      </c>
      <c r="AB2408" t="s">
        <v>51</v>
      </c>
      <c r="AC2408" t="s">
        <v>51</v>
      </c>
      <c r="AD2408" t="s">
        <v>51</v>
      </c>
      <c r="AE2408" t="s">
        <v>51</v>
      </c>
      <c r="AF2408" t="s">
        <v>779</v>
      </c>
    </row>
    <row r="2409" spans="1:32" ht="14.5" customHeight="1" x14ac:dyDescent="0.35">
      <c r="A2409" t="s">
        <v>774</v>
      </c>
      <c r="B2409" t="s">
        <v>775</v>
      </c>
      <c r="C2409" t="s">
        <v>47</v>
      </c>
      <c r="D2409">
        <v>3100060</v>
      </c>
      <c r="E2409">
        <v>3100060</v>
      </c>
      <c r="F2409" t="s">
        <v>776</v>
      </c>
      <c r="G2409" t="s">
        <v>776</v>
      </c>
      <c r="H2409" t="s">
        <v>54</v>
      </c>
      <c r="I2409">
        <v>6960260</v>
      </c>
      <c r="J2409" s="12">
        <v>46130</v>
      </c>
      <c r="K2409" s="12">
        <v>46130</v>
      </c>
      <c r="L2409" s="12">
        <v>46130</v>
      </c>
      <c r="M2409">
        <v>2</v>
      </c>
      <c r="N2409">
        <v>-926388</v>
      </c>
      <c r="O2409">
        <v>-926388</v>
      </c>
      <c r="P2409">
        <v>0</v>
      </c>
      <c r="Q2409">
        <v>-926388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 t="s">
        <v>47</v>
      </c>
      <c r="AA2409" t="s">
        <v>501</v>
      </c>
      <c r="AB2409" t="s">
        <v>51</v>
      </c>
      <c r="AC2409" t="s">
        <v>51</v>
      </c>
      <c r="AD2409" t="s">
        <v>51</v>
      </c>
      <c r="AE2409" t="s">
        <v>51</v>
      </c>
      <c r="AF2409" t="s">
        <v>779</v>
      </c>
    </row>
    <row r="2410" spans="1:32" ht="14.5" customHeight="1" x14ac:dyDescent="0.35">
      <c r="A2410" t="s">
        <v>774</v>
      </c>
      <c r="B2410" t="s">
        <v>775</v>
      </c>
      <c r="C2410" t="s">
        <v>47</v>
      </c>
      <c r="D2410">
        <v>3100060</v>
      </c>
      <c r="E2410">
        <v>3100060</v>
      </c>
      <c r="F2410" t="s">
        <v>776</v>
      </c>
      <c r="G2410" t="s">
        <v>776</v>
      </c>
      <c r="H2410" t="s">
        <v>54</v>
      </c>
      <c r="I2410">
        <v>9917568</v>
      </c>
      <c r="J2410" s="12">
        <v>46107</v>
      </c>
      <c r="K2410" s="12">
        <v>46107</v>
      </c>
      <c r="L2410" s="12">
        <v>46138</v>
      </c>
      <c r="M2410">
        <v>-6</v>
      </c>
      <c r="N2410">
        <v>812914265</v>
      </c>
      <c r="O2410">
        <v>0</v>
      </c>
      <c r="P2410">
        <v>812914265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 t="s">
        <v>47</v>
      </c>
      <c r="AA2410" t="s">
        <v>501</v>
      </c>
      <c r="AB2410" t="s">
        <v>51</v>
      </c>
      <c r="AC2410" t="s">
        <v>1917</v>
      </c>
      <c r="AD2410" t="s">
        <v>51</v>
      </c>
      <c r="AE2410" t="s">
        <v>51</v>
      </c>
      <c r="AF2410" t="s">
        <v>62</v>
      </c>
    </row>
    <row r="2411" spans="1:32" ht="14.5" customHeight="1" x14ac:dyDescent="0.35">
      <c r="A2411" t="s">
        <v>774</v>
      </c>
      <c r="B2411" t="s">
        <v>775</v>
      </c>
      <c r="C2411" t="s">
        <v>47</v>
      </c>
      <c r="D2411">
        <v>3100060</v>
      </c>
      <c r="E2411">
        <v>3100060</v>
      </c>
      <c r="F2411" t="s">
        <v>776</v>
      </c>
      <c r="G2411" t="s">
        <v>776</v>
      </c>
      <c r="H2411" t="s">
        <v>54</v>
      </c>
      <c r="I2411">
        <v>9917589</v>
      </c>
      <c r="J2411" s="12">
        <v>46107</v>
      </c>
      <c r="K2411" s="12">
        <v>46107</v>
      </c>
      <c r="L2411" s="12">
        <v>46138</v>
      </c>
      <c r="M2411">
        <v>-6</v>
      </c>
      <c r="N2411">
        <v>2805245</v>
      </c>
      <c r="O2411">
        <v>0</v>
      </c>
      <c r="P2411">
        <v>2805245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 t="s">
        <v>47</v>
      </c>
      <c r="AA2411" t="s">
        <v>501</v>
      </c>
      <c r="AB2411" t="s">
        <v>51</v>
      </c>
      <c r="AC2411" t="s">
        <v>1918</v>
      </c>
      <c r="AD2411" t="s">
        <v>51</v>
      </c>
      <c r="AE2411" t="s">
        <v>51</v>
      </c>
      <c r="AF2411" t="s">
        <v>155</v>
      </c>
    </row>
    <row r="2412" spans="1:32" ht="14.5" customHeight="1" x14ac:dyDescent="0.35">
      <c r="A2412" t="s">
        <v>774</v>
      </c>
      <c r="B2412" t="s">
        <v>775</v>
      </c>
      <c r="C2412" t="s">
        <v>47</v>
      </c>
      <c r="D2412">
        <v>3100060</v>
      </c>
      <c r="E2412">
        <v>3100060</v>
      </c>
      <c r="F2412" t="s">
        <v>776</v>
      </c>
      <c r="G2412" t="s">
        <v>776</v>
      </c>
      <c r="H2412" t="s">
        <v>54</v>
      </c>
      <c r="I2412">
        <v>9918539</v>
      </c>
      <c r="J2412" s="12">
        <v>46107</v>
      </c>
      <c r="K2412" s="12">
        <v>46107</v>
      </c>
      <c r="L2412" s="12">
        <v>46138</v>
      </c>
      <c r="M2412">
        <v>-6</v>
      </c>
      <c r="N2412">
        <v>270074981</v>
      </c>
      <c r="O2412">
        <v>0</v>
      </c>
      <c r="P2412">
        <v>270074981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 t="s">
        <v>47</v>
      </c>
      <c r="AA2412" t="s">
        <v>501</v>
      </c>
      <c r="AB2412" t="s">
        <v>51</v>
      </c>
      <c r="AC2412" t="s">
        <v>1919</v>
      </c>
      <c r="AD2412" t="s">
        <v>51</v>
      </c>
      <c r="AE2412" t="s">
        <v>51</v>
      </c>
      <c r="AF2412" t="s">
        <v>1396</v>
      </c>
    </row>
    <row r="2413" spans="1:32" ht="14.5" customHeight="1" x14ac:dyDescent="0.35">
      <c r="A2413" t="s">
        <v>774</v>
      </c>
      <c r="B2413" t="s">
        <v>775</v>
      </c>
      <c r="C2413" t="s">
        <v>47</v>
      </c>
      <c r="D2413">
        <v>3100060</v>
      </c>
      <c r="E2413">
        <v>3100060</v>
      </c>
      <c r="F2413" t="s">
        <v>776</v>
      </c>
      <c r="G2413" t="s">
        <v>776</v>
      </c>
      <c r="H2413" t="s">
        <v>54</v>
      </c>
      <c r="I2413">
        <v>9921565</v>
      </c>
      <c r="J2413" s="12">
        <v>46113</v>
      </c>
      <c r="K2413" s="12">
        <v>46113</v>
      </c>
      <c r="L2413" s="12">
        <v>46144</v>
      </c>
      <c r="M2413">
        <v>-12</v>
      </c>
      <c r="N2413">
        <v>586422557</v>
      </c>
      <c r="O2413">
        <v>0</v>
      </c>
      <c r="P2413">
        <v>586422557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 t="s">
        <v>47</v>
      </c>
      <c r="AA2413" t="s">
        <v>501</v>
      </c>
      <c r="AB2413" t="s">
        <v>51</v>
      </c>
      <c r="AC2413" t="s">
        <v>51</v>
      </c>
      <c r="AD2413" t="s">
        <v>1920</v>
      </c>
      <c r="AE2413" t="s">
        <v>51</v>
      </c>
      <c r="AF2413" t="s">
        <v>62</v>
      </c>
    </row>
    <row r="2414" spans="1:32" ht="14.5" customHeight="1" x14ac:dyDescent="0.35">
      <c r="A2414" t="s">
        <v>774</v>
      </c>
      <c r="B2414" t="s">
        <v>775</v>
      </c>
      <c r="C2414" t="s">
        <v>47</v>
      </c>
      <c r="D2414">
        <v>3100060</v>
      </c>
      <c r="E2414">
        <v>3100060</v>
      </c>
      <c r="F2414" t="s">
        <v>776</v>
      </c>
      <c r="G2414" t="s">
        <v>776</v>
      </c>
      <c r="H2414" t="s">
        <v>54</v>
      </c>
      <c r="I2414">
        <v>9921630</v>
      </c>
      <c r="J2414" s="12">
        <v>46114</v>
      </c>
      <c r="K2414" s="12">
        <v>46114</v>
      </c>
      <c r="L2414" s="12">
        <v>46145</v>
      </c>
      <c r="M2414">
        <v>-13</v>
      </c>
      <c r="N2414">
        <v>166269977</v>
      </c>
      <c r="O2414">
        <v>0</v>
      </c>
      <c r="P2414">
        <v>166269977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 t="s">
        <v>47</v>
      </c>
      <c r="AA2414" t="s">
        <v>501</v>
      </c>
      <c r="AB2414" t="s">
        <v>51</v>
      </c>
      <c r="AC2414" t="s">
        <v>51</v>
      </c>
      <c r="AD2414" t="s">
        <v>1921</v>
      </c>
      <c r="AE2414" t="s">
        <v>51</v>
      </c>
      <c r="AF2414" t="s">
        <v>334</v>
      </c>
    </row>
    <row r="2415" spans="1:32" ht="14.5" customHeight="1" x14ac:dyDescent="0.35">
      <c r="A2415" t="s">
        <v>774</v>
      </c>
      <c r="B2415" t="s">
        <v>775</v>
      </c>
      <c r="C2415" t="s">
        <v>47</v>
      </c>
      <c r="D2415">
        <v>3100060</v>
      </c>
      <c r="E2415">
        <v>3100060</v>
      </c>
      <c r="F2415" t="s">
        <v>776</v>
      </c>
      <c r="G2415" t="s">
        <v>776</v>
      </c>
      <c r="H2415" t="s">
        <v>140</v>
      </c>
      <c r="I2415">
        <v>9923243</v>
      </c>
      <c r="J2415" s="12">
        <v>46121</v>
      </c>
      <c r="K2415" s="12">
        <v>46121</v>
      </c>
      <c r="L2415" s="12">
        <v>46151</v>
      </c>
      <c r="M2415">
        <v>-19</v>
      </c>
      <c r="N2415">
        <v>3489686</v>
      </c>
      <c r="O2415">
        <v>0</v>
      </c>
      <c r="P2415">
        <v>3489686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 t="s">
        <v>47</v>
      </c>
      <c r="AA2415" t="s">
        <v>501</v>
      </c>
      <c r="AB2415" t="s">
        <v>51</v>
      </c>
      <c r="AC2415" t="s">
        <v>51</v>
      </c>
      <c r="AD2415" t="s">
        <v>51</v>
      </c>
      <c r="AE2415" t="s">
        <v>1922</v>
      </c>
      <c r="AF2415" t="s">
        <v>325</v>
      </c>
    </row>
    <row r="2416" spans="1:32" ht="14.5" customHeight="1" x14ac:dyDescent="0.35">
      <c r="A2416" t="s">
        <v>774</v>
      </c>
      <c r="B2416" t="s">
        <v>775</v>
      </c>
      <c r="C2416" t="s">
        <v>47</v>
      </c>
      <c r="D2416">
        <v>3100060</v>
      </c>
      <c r="E2416">
        <v>3100060</v>
      </c>
      <c r="F2416" t="s">
        <v>776</v>
      </c>
      <c r="G2416" t="s">
        <v>776</v>
      </c>
      <c r="H2416" t="s">
        <v>54</v>
      </c>
      <c r="I2416">
        <v>9924993</v>
      </c>
      <c r="J2416" s="12">
        <v>46126</v>
      </c>
      <c r="K2416" s="12">
        <v>46126</v>
      </c>
      <c r="L2416" s="12">
        <v>46157</v>
      </c>
      <c r="M2416">
        <v>-25</v>
      </c>
      <c r="N2416">
        <v>261220778</v>
      </c>
      <c r="O2416">
        <v>0</v>
      </c>
      <c r="P2416">
        <v>261220778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 t="s">
        <v>47</v>
      </c>
      <c r="AA2416" t="s">
        <v>501</v>
      </c>
      <c r="AB2416" t="s">
        <v>51</v>
      </c>
      <c r="AC2416" t="s">
        <v>51</v>
      </c>
      <c r="AD2416" t="s">
        <v>51</v>
      </c>
      <c r="AE2416" t="s">
        <v>1923</v>
      </c>
      <c r="AF2416" t="s">
        <v>367</v>
      </c>
    </row>
    <row r="2417" spans="1:32" ht="14.5" customHeight="1" x14ac:dyDescent="0.35">
      <c r="A2417" t="s">
        <v>774</v>
      </c>
      <c r="B2417" t="s">
        <v>775</v>
      </c>
      <c r="C2417" t="s">
        <v>47</v>
      </c>
      <c r="D2417">
        <v>3100060</v>
      </c>
      <c r="E2417">
        <v>3100060</v>
      </c>
      <c r="F2417" t="s">
        <v>776</v>
      </c>
      <c r="G2417" t="s">
        <v>776</v>
      </c>
      <c r="H2417" t="s">
        <v>54</v>
      </c>
      <c r="I2417">
        <v>9924995</v>
      </c>
      <c r="J2417" s="12">
        <v>46126</v>
      </c>
      <c r="K2417" s="12">
        <v>46126</v>
      </c>
      <c r="L2417" s="12">
        <v>46157</v>
      </c>
      <c r="M2417">
        <v>-25</v>
      </c>
      <c r="N2417">
        <v>247475064</v>
      </c>
      <c r="O2417">
        <v>0</v>
      </c>
      <c r="P2417">
        <v>247475064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 t="s">
        <v>47</v>
      </c>
      <c r="AA2417" t="s">
        <v>501</v>
      </c>
      <c r="AB2417" t="s">
        <v>51</v>
      </c>
      <c r="AC2417" t="s">
        <v>51</v>
      </c>
      <c r="AD2417" t="s">
        <v>51</v>
      </c>
      <c r="AE2417" t="s">
        <v>1924</v>
      </c>
      <c r="AF2417" t="s">
        <v>292</v>
      </c>
    </row>
    <row r="2418" spans="1:32" ht="14.5" customHeight="1" x14ac:dyDescent="0.35">
      <c r="A2418" t="s">
        <v>774</v>
      </c>
      <c r="B2418" t="s">
        <v>1297</v>
      </c>
      <c r="C2418" t="s">
        <v>47</v>
      </c>
      <c r="D2418">
        <v>3100061</v>
      </c>
      <c r="E2418">
        <v>3100061</v>
      </c>
      <c r="F2418" t="s">
        <v>1925</v>
      </c>
      <c r="G2418" t="s">
        <v>1925</v>
      </c>
      <c r="H2418" t="s">
        <v>54</v>
      </c>
      <c r="I2418">
        <v>9922184</v>
      </c>
      <c r="J2418" s="12">
        <v>46116</v>
      </c>
      <c r="K2418" s="12">
        <v>46116</v>
      </c>
      <c r="L2418" s="12">
        <v>46147</v>
      </c>
      <c r="M2418">
        <v>-15</v>
      </c>
      <c r="N2418">
        <v>302493211</v>
      </c>
      <c r="O2418">
        <v>0</v>
      </c>
      <c r="P2418">
        <v>302493211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 t="s">
        <v>47</v>
      </c>
      <c r="AA2418" t="s">
        <v>501</v>
      </c>
      <c r="AB2418" t="s">
        <v>51</v>
      </c>
      <c r="AC2418" t="s">
        <v>51</v>
      </c>
      <c r="AD2418" t="s">
        <v>51</v>
      </c>
      <c r="AE2418" t="s">
        <v>1926</v>
      </c>
      <c r="AF2418" t="s">
        <v>62</v>
      </c>
    </row>
    <row r="2419" spans="1:32" ht="14.5" customHeight="1" x14ac:dyDescent="0.35">
      <c r="A2419" t="s">
        <v>774</v>
      </c>
      <c r="B2419" t="s">
        <v>1297</v>
      </c>
      <c r="C2419" t="s">
        <v>47</v>
      </c>
      <c r="D2419">
        <v>3100061</v>
      </c>
      <c r="E2419">
        <v>3100061</v>
      </c>
      <c r="F2419" t="s">
        <v>1925</v>
      </c>
      <c r="G2419" t="s">
        <v>1925</v>
      </c>
      <c r="H2419" t="s">
        <v>54</v>
      </c>
      <c r="I2419">
        <v>9922185</v>
      </c>
      <c r="J2419" s="12">
        <v>46116</v>
      </c>
      <c r="K2419" s="12">
        <v>46116</v>
      </c>
      <c r="L2419" s="12">
        <v>46147</v>
      </c>
      <c r="M2419">
        <v>-15</v>
      </c>
      <c r="N2419">
        <v>9746630</v>
      </c>
      <c r="O2419">
        <v>0</v>
      </c>
      <c r="P2419">
        <v>9746630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 t="s">
        <v>47</v>
      </c>
      <c r="AA2419" t="s">
        <v>501</v>
      </c>
      <c r="AB2419" t="s">
        <v>51</v>
      </c>
      <c r="AC2419" t="s">
        <v>51</v>
      </c>
      <c r="AD2419" t="s">
        <v>51</v>
      </c>
      <c r="AE2419" t="s">
        <v>1927</v>
      </c>
      <c r="AF2419" t="s">
        <v>271</v>
      </c>
    </row>
    <row r="2420" spans="1:32" ht="14.5" customHeight="1" x14ac:dyDescent="0.35">
      <c r="A2420" t="s">
        <v>774</v>
      </c>
      <c r="B2420" t="s">
        <v>1297</v>
      </c>
      <c r="C2420" t="s">
        <v>47</v>
      </c>
      <c r="D2420">
        <v>3100061</v>
      </c>
      <c r="E2420">
        <v>3100061</v>
      </c>
      <c r="F2420" t="s">
        <v>1925</v>
      </c>
      <c r="G2420" t="s">
        <v>1925</v>
      </c>
      <c r="H2420" t="s">
        <v>54</v>
      </c>
      <c r="I2420">
        <v>9924992</v>
      </c>
      <c r="J2420" s="12">
        <v>46126</v>
      </c>
      <c r="K2420" s="12">
        <v>46126</v>
      </c>
      <c r="L2420" s="12">
        <v>46157</v>
      </c>
      <c r="M2420">
        <v>-25</v>
      </c>
      <c r="N2420">
        <v>267627052</v>
      </c>
      <c r="O2420">
        <v>0</v>
      </c>
      <c r="P2420">
        <v>267627052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 t="s">
        <v>47</v>
      </c>
      <c r="AA2420" t="s">
        <v>501</v>
      </c>
      <c r="AB2420" t="s">
        <v>51</v>
      </c>
      <c r="AC2420" t="s">
        <v>51</v>
      </c>
      <c r="AD2420" t="s">
        <v>51</v>
      </c>
      <c r="AE2420" t="s">
        <v>1928</v>
      </c>
      <c r="AF2420" t="s">
        <v>334</v>
      </c>
    </row>
    <row r="2421" spans="1:32" ht="14.5" customHeight="1" x14ac:dyDescent="0.35">
      <c r="A2421" t="s">
        <v>774</v>
      </c>
      <c r="B2421" t="s">
        <v>1297</v>
      </c>
      <c r="C2421" t="s">
        <v>47</v>
      </c>
      <c r="D2421">
        <v>3100062</v>
      </c>
      <c r="E2421">
        <v>3100062</v>
      </c>
      <c r="F2421" t="s">
        <v>1925</v>
      </c>
      <c r="G2421" t="s">
        <v>1925</v>
      </c>
      <c r="H2421" t="s">
        <v>54</v>
      </c>
      <c r="I2421">
        <v>6957981</v>
      </c>
      <c r="J2421" s="12">
        <v>46118</v>
      </c>
      <c r="K2421" s="12">
        <v>46118</v>
      </c>
      <c r="L2421" s="12">
        <v>46118</v>
      </c>
      <c r="M2421">
        <v>14</v>
      </c>
      <c r="N2421">
        <v>-275688</v>
      </c>
      <c r="O2421">
        <v>-275688</v>
      </c>
      <c r="P2421">
        <v>0</v>
      </c>
      <c r="Q2421">
        <v>-275688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 t="s">
        <v>47</v>
      </c>
      <c r="AA2421" t="s">
        <v>501</v>
      </c>
      <c r="AB2421" t="s">
        <v>51</v>
      </c>
      <c r="AC2421" t="s">
        <v>51</v>
      </c>
      <c r="AD2421" t="s">
        <v>51</v>
      </c>
      <c r="AE2421" t="s">
        <v>51</v>
      </c>
      <c r="AF2421" t="s">
        <v>1929</v>
      </c>
    </row>
    <row r="2422" spans="1:32" ht="14.5" customHeight="1" x14ac:dyDescent="0.35">
      <c r="A2422" t="s">
        <v>774</v>
      </c>
      <c r="B2422" t="s">
        <v>1297</v>
      </c>
      <c r="C2422" t="s">
        <v>47</v>
      </c>
      <c r="D2422">
        <v>3100062</v>
      </c>
      <c r="E2422">
        <v>3100062</v>
      </c>
      <c r="F2422" t="s">
        <v>1925</v>
      </c>
      <c r="G2422" t="s">
        <v>1925</v>
      </c>
      <c r="H2422" t="s">
        <v>54</v>
      </c>
      <c r="I2422">
        <v>6958907</v>
      </c>
      <c r="J2422" s="12">
        <v>46125</v>
      </c>
      <c r="K2422" s="12">
        <v>46125</v>
      </c>
      <c r="L2422" s="12">
        <v>46125</v>
      </c>
      <c r="M2422">
        <v>7</v>
      </c>
      <c r="N2422">
        <v>-10277900</v>
      </c>
      <c r="O2422">
        <v>-10277900</v>
      </c>
      <c r="P2422">
        <v>0</v>
      </c>
      <c r="Q2422">
        <v>-10277900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 t="s">
        <v>47</v>
      </c>
      <c r="AA2422" t="s">
        <v>501</v>
      </c>
      <c r="AB2422" t="s">
        <v>51</v>
      </c>
      <c r="AC2422" t="s">
        <v>51</v>
      </c>
      <c r="AD2422" t="s">
        <v>51</v>
      </c>
      <c r="AE2422" t="s">
        <v>51</v>
      </c>
      <c r="AF2422" t="s">
        <v>1930</v>
      </c>
    </row>
    <row r="2423" spans="1:32" ht="14.5" customHeight="1" x14ac:dyDescent="0.35">
      <c r="A2423" t="s">
        <v>774</v>
      </c>
      <c r="B2423" t="s">
        <v>1297</v>
      </c>
      <c r="C2423" t="s">
        <v>47</v>
      </c>
      <c r="D2423">
        <v>3100062</v>
      </c>
      <c r="E2423">
        <v>3100062</v>
      </c>
      <c r="F2423" t="s">
        <v>1925</v>
      </c>
      <c r="G2423" t="s">
        <v>1925</v>
      </c>
      <c r="H2423" t="s">
        <v>54</v>
      </c>
      <c r="I2423">
        <v>6958912</v>
      </c>
      <c r="J2423" s="12">
        <v>46125</v>
      </c>
      <c r="K2423" s="12">
        <v>46125</v>
      </c>
      <c r="L2423" s="12">
        <v>46125</v>
      </c>
      <c r="M2423">
        <v>7</v>
      </c>
      <c r="N2423">
        <v>-3029970</v>
      </c>
      <c r="O2423">
        <v>-3029970</v>
      </c>
      <c r="P2423">
        <v>0</v>
      </c>
      <c r="Q2423">
        <v>-3029970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 t="s">
        <v>47</v>
      </c>
      <c r="AA2423" t="s">
        <v>501</v>
      </c>
      <c r="AB2423" t="s">
        <v>51</v>
      </c>
      <c r="AC2423" t="s">
        <v>51</v>
      </c>
      <c r="AD2423" t="s">
        <v>51</v>
      </c>
      <c r="AE2423" t="s">
        <v>51</v>
      </c>
      <c r="AF2423" t="s">
        <v>1931</v>
      </c>
    </row>
    <row r="2424" spans="1:32" ht="14.5" customHeight="1" x14ac:dyDescent="0.35">
      <c r="A2424" t="s">
        <v>774</v>
      </c>
      <c r="B2424" t="s">
        <v>1297</v>
      </c>
      <c r="C2424" t="s">
        <v>47</v>
      </c>
      <c r="D2424">
        <v>3100062</v>
      </c>
      <c r="E2424">
        <v>3100062</v>
      </c>
      <c r="F2424" t="s">
        <v>1925</v>
      </c>
      <c r="G2424" t="s">
        <v>1925</v>
      </c>
      <c r="H2424" t="s">
        <v>54</v>
      </c>
      <c r="I2424">
        <v>6958913</v>
      </c>
      <c r="J2424" s="12">
        <v>46125</v>
      </c>
      <c r="K2424" s="12">
        <v>46125</v>
      </c>
      <c r="L2424" s="12">
        <v>46125</v>
      </c>
      <c r="M2424">
        <v>7</v>
      </c>
      <c r="N2424">
        <v>-12964000</v>
      </c>
      <c r="O2424">
        <v>-12964000</v>
      </c>
      <c r="P2424">
        <v>0</v>
      </c>
      <c r="Q2424">
        <v>-12964000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 t="s">
        <v>47</v>
      </c>
      <c r="AA2424" t="s">
        <v>501</v>
      </c>
      <c r="AB2424" t="s">
        <v>51</v>
      </c>
      <c r="AC2424" t="s">
        <v>51</v>
      </c>
      <c r="AD2424" t="s">
        <v>51</v>
      </c>
      <c r="AE2424" t="s">
        <v>51</v>
      </c>
      <c r="AF2424" t="s">
        <v>1930</v>
      </c>
    </row>
    <row r="2425" spans="1:32" ht="14.5" customHeight="1" x14ac:dyDescent="0.35">
      <c r="A2425" t="s">
        <v>774</v>
      </c>
      <c r="B2425" t="s">
        <v>1297</v>
      </c>
      <c r="C2425" t="s">
        <v>47</v>
      </c>
      <c r="D2425">
        <v>3100062</v>
      </c>
      <c r="E2425">
        <v>3100062</v>
      </c>
      <c r="F2425" t="s">
        <v>1925</v>
      </c>
      <c r="G2425" t="s">
        <v>1925</v>
      </c>
      <c r="H2425" t="s">
        <v>54</v>
      </c>
      <c r="I2425">
        <v>6958914</v>
      </c>
      <c r="J2425" s="12">
        <v>46125</v>
      </c>
      <c r="K2425" s="12">
        <v>46125</v>
      </c>
      <c r="L2425" s="12">
        <v>46125</v>
      </c>
      <c r="M2425">
        <v>7</v>
      </c>
      <c r="N2425">
        <v>-31475418</v>
      </c>
      <c r="O2425">
        <v>-31475418</v>
      </c>
      <c r="P2425">
        <v>0</v>
      </c>
      <c r="Q2425">
        <v>-31475418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 t="s">
        <v>47</v>
      </c>
      <c r="AA2425" t="s">
        <v>501</v>
      </c>
      <c r="AB2425" t="s">
        <v>51</v>
      </c>
      <c r="AC2425" t="s">
        <v>51</v>
      </c>
      <c r="AD2425" t="s">
        <v>51</v>
      </c>
      <c r="AE2425" t="s">
        <v>51</v>
      </c>
      <c r="AF2425" t="s">
        <v>1931</v>
      </c>
    </row>
    <row r="2426" spans="1:32" ht="14.5" customHeight="1" x14ac:dyDescent="0.35">
      <c r="A2426" t="s">
        <v>774</v>
      </c>
      <c r="B2426" t="s">
        <v>1297</v>
      </c>
      <c r="C2426" t="s">
        <v>47</v>
      </c>
      <c r="D2426">
        <v>3100062</v>
      </c>
      <c r="E2426">
        <v>3100062</v>
      </c>
      <c r="F2426" t="s">
        <v>1925</v>
      </c>
      <c r="G2426" t="s">
        <v>1925</v>
      </c>
      <c r="H2426" t="s">
        <v>54</v>
      </c>
      <c r="I2426">
        <v>6958919</v>
      </c>
      <c r="J2426" s="12">
        <v>46125</v>
      </c>
      <c r="K2426" s="12">
        <v>46125</v>
      </c>
      <c r="L2426" s="12">
        <v>46125</v>
      </c>
      <c r="M2426">
        <v>7</v>
      </c>
      <c r="N2426">
        <v>-442000</v>
      </c>
      <c r="O2426">
        <v>-442000</v>
      </c>
      <c r="P2426">
        <v>0</v>
      </c>
      <c r="Q2426">
        <v>-442000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 t="s">
        <v>47</v>
      </c>
      <c r="AA2426" t="s">
        <v>501</v>
      </c>
      <c r="AB2426" t="s">
        <v>51</v>
      </c>
      <c r="AC2426" t="s">
        <v>51</v>
      </c>
      <c r="AD2426" t="s">
        <v>51</v>
      </c>
      <c r="AE2426" t="s">
        <v>51</v>
      </c>
      <c r="AF2426" t="s">
        <v>1932</v>
      </c>
    </row>
    <row r="2427" spans="1:32" ht="14.5" customHeight="1" x14ac:dyDescent="0.35">
      <c r="A2427" t="s">
        <v>774</v>
      </c>
      <c r="B2427" t="s">
        <v>1297</v>
      </c>
      <c r="C2427" t="s">
        <v>47</v>
      </c>
      <c r="D2427">
        <v>3100062</v>
      </c>
      <c r="E2427">
        <v>3100062</v>
      </c>
      <c r="F2427" t="s">
        <v>1925</v>
      </c>
      <c r="G2427" t="s">
        <v>1925</v>
      </c>
      <c r="H2427" t="s">
        <v>54</v>
      </c>
      <c r="I2427">
        <v>6958920</v>
      </c>
      <c r="J2427" s="12">
        <v>46125</v>
      </c>
      <c r="K2427" s="12">
        <v>46125</v>
      </c>
      <c r="L2427" s="12">
        <v>46125</v>
      </c>
      <c r="M2427">
        <v>7</v>
      </c>
      <c r="N2427">
        <v>-13170114</v>
      </c>
      <c r="O2427">
        <v>-13170114</v>
      </c>
      <c r="P2427">
        <v>0</v>
      </c>
      <c r="Q2427">
        <v>-13170114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 t="s">
        <v>47</v>
      </c>
      <c r="AA2427" t="s">
        <v>501</v>
      </c>
      <c r="AB2427" t="s">
        <v>51</v>
      </c>
      <c r="AC2427" t="s">
        <v>51</v>
      </c>
      <c r="AD2427" t="s">
        <v>51</v>
      </c>
      <c r="AE2427" t="s">
        <v>51</v>
      </c>
      <c r="AF2427" t="s">
        <v>1933</v>
      </c>
    </row>
    <row r="2428" spans="1:32" ht="14.5" customHeight="1" x14ac:dyDescent="0.35">
      <c r="A2428" t="s">
        <v>774</v>
      </c>
      <c r="B2428" t="s">
        <v>1297</v>
      </c>
      <c r="C2428" t="s">
        <v>47</v>
      </c>
      <c r="D2428">
        <v>3100062</v>
      </c>
      <c r="E2428">
        <v>3100062</v>
      </c>
      <c r="F2428" t="s">
        <v>1925</v>
      </c>
      <c r="G2428" t="s">
        <v>1925</v>
      </c>
      <c r="H2428" t="s">
        <v>54</v>
      </c>
      <c r="I2428">
        <v>6958921</v>
      </c>
      <c r="J2428" s="12">
        <v>46125</v>
      </c>
      <c r="K2428" s="12">
        <v>46125</v>
      </c>
      <c r="L2428" s="12">
        <v>46125</v>
      </c>
      <c r="M2428">
        <v>7</v>
      </c>
      <c r="N2428">
        <v>-2511400</v>
      </c>
      <c r="O2428">
        <v>-2511400</v>
      </c>
      <c r="P2428">
        <v>0</v>
      </c>
      <c r="Q2428">
        <v>-2511400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 t="s">
        <v>47</v>
      </c>
      <c r="AA2428" t="s">
        <v>501</v>
      </c>
      <c r="AB2428" t="s">
        <v>51</v>
      </c>
      <c r="AC2428" t="s">
        <v>51</v>
      </c>
      <c r="AD2428" t="s">
        <v>51</v>
      </c>
      <c r="AE2428" t="s">
        <v>51</v>
      </c>
      <c r="AF2428" t="s">
        <v>1931</v>
      </c>
    </row>
    <row r="2429" spans="1:32" ht="14.5" customHeight="1" x14ac:dyDescent="0.35">
      <c r="A2429" t="s">
        <v>774</v>
      </c>
      <c r="B2429" t="s">
        <v>1297</v>
      </c>
      <c r="C2429" t="s">
        <v>47</v>
      </c>
      <c r="D2429">
        <v>3100062</v>
      </c>
      <c r="E2429">
        <v>3100062</v>
      </c>
      <c r="F2429" t="s">
        <v>1925</v>
      </c>
      <c r="G2429" t="s">
        <v>1925</v>
      </c>
      <c r="H2429" t="s">
        <v>54</v>
      </c>
      <c r="I2429">
        <v>6958922</v>
      </c>
      <c r="J2429" s="12">
        <v>46125</v>
      </c>
      <c r="K2429" s="12">
        <v>46125</v>
      </c>
      <c r="L2429" s="12">
        <v>46125</v>
      </c>
      <c r="M2429">
        <v>7</v>
      </c>
      <c r="N2429">
        <v>-4790136</v>
      </c>
      <c r="O2429">
        <v>-4790136</v>
      </c>
      <c r="P2429">
        <v>0</v>
      </c>
      <c r="Q2429">
        <v>-4790136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 t="s">
        <v>47</v>
      </c>
      <c r="AA2429" t="s">
        <v>501</v>
      </c>
      <c r="AB2429" t="s">
        <v>51</v>
      </c>
      <c r="AC2429" t="s">
        <v>51</v>
      </c>
      <c r="AD2429" t="s">
        <v>51</v>
      </c>
      <c r="AE2429" t="s">
        <v>51</v>
      </c>
      <c r="AF2429" t="s">
        <v>1931</v>
      </c>
    </row>
    <row r="2430" spans="1:32" ht="14.5" customHeight="1" x14ac:dyDescent="0.35">
      <c r="A2430" t="s">
        <v>774</v>
      </c>
      <c r="B2430" t="s">
        <v>1297</v>
      </c>
      <c r="C2430" t="s">
        <v>47</v>
      </c>
      <c r="D2430">
        <v>3100062</v>
      </c>
      <c r="E2430">
        <v>3100062</v>
      </c>
      <c r="F2430" t="s">
        <v>1925</v>
      </c>
      <c r="G2430" t="s">
        <v>1925</v>
      </c>
      <c r="H2430" t="s">
        <v>54</v>
      </c>
      <c r="I2430">
        <v>6958924</v>
      </c>
      <c r="J2430" s="12">
        <v>46125</v>
      </c>
      <c r="K2430" s="12">
        <v>46125</v>
      </c>
      <c r="L2430" s="12">
        <v>46125</v>
      </c>
      <c r="M2430">
        <v>7</v>
      </c>
      <c r="N2430">
        <v>-7857765</v>
      </c>
      <c r="O2430">
        <v>-7857765</v>
      </c>
      <c r="P2430">
        <v>0</v>
      </c>
      <c r="Q2430">
        <v>-7857765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 t="s">
        <v>47</v>
      </c>
      <c r="AA2430" t="s">
        <v>501</v>
      </c>
      <c r="AB2430" t="s">
        <v>51</v>
      </c>
      <c r="AC2430" t="s">
        <v>51</v>
      </c>
      <c r="AD2430" t="s">
        <v>51</v>
      </c>
      <c r="AE2430" t="s">
        <v>51</v>
      </c>
      <c r="AF2430" t="s">
        <v>1931</v>
      </c>
    </row>
    <row r="2431" spans="1:32" ht="14.5" customHeight="1" x14ac:dyDescent="0.35">
      <c r="A2431" t="s">
        <v>774</v>
      </c>
      <c r="B2431" t="s">
        <v>1297</v>
      </c>
      <c r="C2431" t="s">
        <v>47</v>
      </c>
      <c r="D2431">
        <v>3100062</v>
      </c>
      <c r="E2431">
        <v>3100062</v>
      </c>
      <c r="F2431" t="s">
        <v>1925</v>
      </c>
      <c r="G2431" t="s">
        <v>1925</v>
      </c>
      <c r="H2431" t="s">
        <v>54</v>
      </c>
      <c r="I2431">
        <v>6958927</v>
      </c>
      <c r="J2431" s="12">
        <v>46125</v>
      </c>
      <c r="K2431" s="12">
        <v>46125</v>
      </c>
      <c r="L2431" s="12">
        <v>46125</v>
      </c>
      <c r="M2431">
        <v>7</v>
      </c>
      <c r="N2431">
        <v>-2232000</v>
      </c>
      <c r="O2431">
        <v>-2232000</v>
      </c>
      <c r="P2431">
        <v>0</v>
      </c>
      <c r="Q2431">
        <v>-2232000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 t="s">
        <v>47</v>
      </c>
      <c r="AA2431" t="s">
        <v>501</v>
      </c>
      <c r="AB2431" t="s">
        <v>51</v>
      </c>
      <c r="AC2431" t="s">
        <v>51</v>
      </c>
      <c r="AD2431" t="s">
        <v>51</v>
      </c>
      <c r="AE2431" t="s">
        <v>51</v>
      </c>
      <c r="AF2431" t="s">
        <v>1932</v>
      </c>
    </row>
    <row r="2432" spans="1:32" ht="14.5" customHeight="1" x14ac:dyDescent="0.35">
      <c r="A2432" t="s">
        <v>774</v>
      </c>
      <c r="B2432" t="s">
        <v>1297</v>
      </c>
      <c r="C2432" t="s">
        <v>47</v>
      </c>
      <c r="D2432">
        <v>3100062</v>
      </c>
      <c r="E2432">
        <v>3100062</v>
      </c>
      <c r="F2432" t="s">
        <v>1925</v>
      </c>
      <c r="G2432" t="s">
        <v>1925</v>
      </c>
      <c r="H2432" t="s">
        <v>54</v>
      </c>
      <c r="I2432">
        <v>6958928</v>
      </c>
      <c r="J2432" s="12">
        <v>46125</v>
      </c>
      <c r="K2432" s="12">
        <v>46125</v>
      </c>
      <c r="L2432" s="12">
        <v>46125</v>
      </c>
      <c r="M2432">
        <v>7</v>
      </c>
      <c r="N2432">
        <v>-2400000</v>
      </c>
      <c r="O2432">
        <v>-2400000</v>
      </c>
      <c r="P2432">
        <v>0</v>
      </c>
      <c r="Q2432">
        <v>-2400000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 t="s">
        <v>47</v>
      </c>
      <c r="AA2432" t="s">
        <v>501</v>
      </c>
      <c r="AB2432" t="s">
        <v>51</v>
      </c>
      <c r="AC2432" t="s">
        <v>51</v>
      </c>
      <c r="AD2432" t="s">
        <v>51</v>
      </c>
      <c r="AE2432" t="s">
        <v>51</v>
      </c>
      <c r="AF2432" t="s">
        <v>1930</v>
      </c>
    </row>
    <row r="2433" spans="1:32" ht="14.5" customHeight="1" x14ac:dyDescent="0.35">
      <c r="A2433" t="s">
        <v>774</v>
      </c>
      <c r="B2433" t="s">
        <v>1297</v>
      </c>
      <c r="C2433" t="s">
        <v>47</v>
      </c>
      <c r="D2433">
        <v>3100062</v>
      </c>
      <c r="E2433">
        <v>3100062</v>
      </c>
      <c r="F2433" t="s">
        <v>1925</v>
      </c>
      <c r="G2433" t="s">
        <v>1925</v>
      </c>
      <c r="H2433" t="s">
        <v>54</v>
      </c>
      <c r="I2433">
        <v>6958929</v>
      </c>
      <c r="J2433" s="12">
        <v>46125</v>
      </c>
      <c r="K2433" s="12">
        <v>46125</v>
      </c>
      <c r="L2433" s="12">
        <v>46125</v>
      </c>
      <c r="M2433">
        <v>7</v>
      </c>
      <c r="N2433">
        <v>-1831750</v>
      </c>
      <c r="O2433">
        <v>-1831750</v>
      </c>
      <c r="P2433">
        <v>0</v>
      </c>
      <c r="Q2433">
        <v>-1831750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 t="s">
        <v>47</v>
      </c>
      <c r="AA2433" t="s">
        <v>501</v>
      </c>
      <c r="AB2433" t="s">
        <v>51</v>
      </c>
      <c r="AC2433" t="s">
        <v>51</v>
      </c>
      <c r="AD2433" t="s">
        <v>51</v>
      </c>
      <c r="AE2433" t="s">
        <v>51</v>
      </c>
      <c r="AF2433" t="s">
        <v>1930</v>
      </c>
    </row>
    <row r="2434" spans="1:32" ht="14.5" customHeight="1" x14ac:dyDescent="0.35">
      <c r="A2434" t="s">
        <v>774</v>
      </c>
      <c r="B2434" t="s">
        <v>1297</v>
      </c>
      <c r="C2434" t="s">
        <v>47</v>
      </c>
      <c r="D2434">
        <v>3100062</v>
      </c>
      <c r="E2434">
        <v>3100062</v>
      </c>
      <c r="F2434" t="s">
        <v>1925</v>
      </c>
      <c r="G2434" t="s">
        <v>1925</v>
      </c>
      <c r="H2434" t="s">
        <v>54</v>
      </c>
      <c r="I2434">
        <v>6958930</v>
      </c>
      <c r="J2434" s="12">
        <v>46125</v>
      </c>
      <c r="K2434" s="12">
        <v>46125</v>
      </c>
      <c r="L2434" s="12">
        <v>46125</v>
      </c>
      <c r="M2434">
        <v>7</v>
      </c>
      <c r="N2434">
        <v>-1480750</v>
      </c>
      <c r="O2434">
        <v>-1480750</v>
      </c>
      <c r="P2434">
        <v>0</v>
      </c>
      <c r="Q2434">
        <v>-1480750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 t="s">
        <v>47</v>
      </c>
      <c r="AA2434" t="s">
        <v>501</v>
      </c>
      <c r="AB2434" t="s">
        <v>51</v>
      </c>
      <c r="AC2434" t="s">
        <v>51</v>
      </c>
      <c r="AD2434" t="s">
        <v>51</v>
      </c>
      <c r="AE2434" t="s">
        <v>51</v>
      </c>
      <c r="AF2434" t="s">
        <v>1930</v>
      </c>
    </row>
    <row r="2435" spans="1:32" ht="14.5" customHeight="1" x14ac:dyDescent="0.35">
      <c r="A2435" t="s">
        <v>774</v>
      </c>
      <c r="B2435" t="s">
        <v>1297</v>
      </c>
      <c r="C2435" t="s">
        <v>47</v>
      </c>
      <c r="D2435">
        <v>3100062</v>
      </c>
      <c r="E2435">
        <v>3100062</v>
      </c>
      <c r="F2435" t="s">
        <v>1925</v>
      </c>
      <c r="G2435" t="s">
        <v>1925</v>
      </c>
      <c r="H2435" t="s">
        <v>54</v>
      </c>
      <c r="I2435">
        <v>6958931</v>
      </c>
      <c r="J2435" s="12">
        <v>46125</v>
      </c>
      <c r="K2435" s="12">
        <v>46125</v>
      </c>
      <c r="L2435" s="12">
        <v>46125</v>
      </c>
      <c r="M2435">
        <v>7</v>
      </c>
      <c r="N2435">
        <v>-1820950</v>
      </c>
      <c r="O2435">
        <v>-1820950</v>
      </c>
      <c r="P2435">
        <v>0</v>
      </c>
      <c r="Q2435">
        <v>-1820950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 t="s">
        <v>47</v>
      </c>
      <c r="AA2435" t="s">
        <v>501</v>
      </c>
      <c r="AB2435" t="s">
        <v>51</v>
      </c>
      <c r="AC2435" t="s">
        <v>51</v>
      </c>
      <c r="AD2435" t="s">
        <v>51</v>
      </c>
      <c r="AE2435" t="s">
        <v>51</v>
      </c>
      <c r="AF2435" t="s">
        <v>1930</v>
      </c>
    </row>
    <row r="2436" spans="1:32" ht="14.5" customHeight="1" x14ac:dyDescent="0.35">
      <c r="A2436" t="s">
        <v>774</v>
      </c>
      <c r="B2436" t="s">
        <v>1297</v>
      </c>
      <c r="C2436" t="s">
        <v>47</v>
      </c>
      <c r="D2436">
        <v>3100062</v>
      </c>
      <c r="E2436">
        <v>3100062</v>
      </c>
      <c r="F2436" t="s">
        <v>1925</v>
      </c>
      <c r="G2436" t="s">
        <v>1925</v>
      </c>
      <c r="H2436" t="s">
        <v>54</v>
      </c>
      <c r="I2436">
        <v>6958932</v>
      </c>
      <c r="J2436" s="12">
        <v>46125</v>
      </c>
      <c r="K2436" s="12">
        <v>46125</v>
      </c>
      <c r="L2436" s="12">
        <v>46125</v>
      </c>
      <c r="M2436">
        <v>7</v>
      </c>
      <c r="N2436">
        <v>-1312500</v>
      </c>
      <c r="O2436">
        <v>-1312500</v>
      </c>
      <c r="P2436">
        <v>0</v>
      </c>
      <c r="Q2436">
        <v>-1312500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 t="s">
        <v>47</v>
      </c>
      <c r="AA2436" t="s">
        <v>501</v>
      </c>
      <c r="AB2436" t="s">
        <v>51</v>
      </c>
      <c r="AC2436" t="s">
        <v>51</v>
      </c>
      <c r="AD2436" t="s">
        <v>51</v>
      </c>
      <c r="AE2436" t="s">
        <v>51</v>
      </c>
      <c r="AF2436" t="s">
        <v>1930</v>
      </c>
    </row>
    <row r="2437" spans="1:32" ht="14.5" customHeight="1" x14ac:dyDescent="0.35">
      <c r="A2437" t="s">
        <v>774</v>
      </c>
      <c r="B2437" t="s">
        <v>1297</v>
      </c>
      <c r="C2437" t="s">
        <v>47</v>
      </c>
      <c r="D2437">
        <v>3100062</v>
      </c>
      <c r="E2437">
        <v>3100062</v>
      </c>
      <c r="F2437" t="s">
        <v>1925</v>
      </c>
      <c r="G2437" t="s">
        <v>1925</v>
      </c>
      <c r="H2437" t="s">
        <v>54</v>
      </c>
      <c r="I2437">
        <v>6958933</v>
      </c>
      <c r="J2437" s="12">
        <v>46125</v>
      </c>
      <c r="K2437" s="12">
        <v>46125</v>
      </c>
      <c r="L2437" s="12">
        <v>46125</v>
      </c>
      <c r="M2437">
        <v>7</v>
      </c>
      <c r="N2437">
        <v>-429000</v>
      </c>
      <c r="O2437">
        <v>-429000</v>
      </c>
      <c r="P2437">
        <v>0</v>
      </c>
      <c r="Q2437">
        <v>-429000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 t="s">
        <v>47</v>
      </c>
      <c r="AA2437" t="s">
        <v>501</v>
      </c>
      <c r="AB2437" t="s">
        <v>51</v>
      </c>
      <c r="AC2437" t="s">
        <v>51</v>
      </c>
      <c r="AD2437" t="s">
        <v>51</v>
      </c>
      <c r="AE2437" t="s">
        <v>51</v>
      </c>
      <c r="AF2437" t="s">
        <v>1930</v>
      </c>
    </row>
    <row r="2438" spans="1:32" ht="14.5" customHeight="1" x14ac:dyDescent="0.35">
      <c r="A2438" t="s">
        <v>774</v>
      </c>
      <c r="B2438" t="s">
        <v>1297</v>
      </c>
      <c r="C2438" t="s">
        <v>47</v>
      </c>
      <c r="D2438">
        <v>3100062</v>
      </c>
      <c r="E2438">
        <v>3100062</v>
      </c>
      <c r="F2438" t="s">
        <v>1925</v>
      </c>
      <c r="G2438" t="s">
        <v>1925</v>
      </c>
      <c r="H2438" t="s">
        <v>54</v>
      </c>
      <c r="I2438">
        <v>6958934</v>
      </c>
      <c r="J2438" s="12">
        <v>46125</v>
      </c>
      <c r="K2438" s="12">
        <v>46125</v>
      </c>
      <c r="L2438" s="12">
        <v>46125</v>
      </c>
      <c r="M2438">
        <v>7</v>
      </c>
      <c r="N2438">
        <v>-1317000</v>
      </c>
      <c r="O2438">
        <v>-1317000</v>
      </c>
      <c r="P2438">
        <v>0</v>
      </c>
      <c r="Q2438">
        <v>-1317000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 t="s">
        <v>47</v>
      </c>
      <c r="AA2438" t="s">
        <v>501</v>
      </c>
      <c r="AB2438" t="s">
        <v>51</v>
      </c>
      <c r="AC2438" t="s">
        <v>51</v>
      </c>
      <c r="AD2438" t="s">
        <v>51</v>
      </c>
      <c r="AE2438" t="s">
        <v>51</v>
      </c>
      <c r="AF2438" t="s">
        <v>1930</v>
      </c>
    </row>
    <row r="2439" spans="1:32" ht="14.5" customHeight="1" x14ac:dyDescent="0.35">
      <c r="A2439" t="s">
        <v>774</v>
      </c>
      <c r="B2439" t="s">
        <v>1297</v>
      </c>
      <c r="C2439" t="s">
        <v>47</v>
      </c>
      <c r="D2439">
        <v>3100062</v>
      </c>
      <c r="E2439">
        <v>3100062</v>
      </c>
      <c r="F2439" t="s">
        <v>1925</v>
      </c>
      <c r="G2439" t="s">
        <v>1925</v>
      </c>
      <c r="H2439" t="s">
        <v>54</v>
      </c>
      <c r="I2439">
        <v>6958935</v>
      </c>
      <c r="J2439" s="12">
        <v>46125</v>
      </c>
      <c r="K2439" s="12">
        <v>46125</v>
      </c>
      <c r="L2439" s="12">
        <v>46125</v>
      </c>
      <c r="M2439">
        <v>7</v>
      </c>
      <c r="N2439">
        <v>-4221000</v>
      </c>
      <c r="O2439">
        <v>-4221000</v>
      </c>
      <c r="P2439">
        <v>0</v>
      </c>
      <c r="Q2439">
        <v>-4221000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 t="s">
        <v>47</v>
      </c>
      <c r="AA2439" t="s">
        <v>501</v>
      </c>
      <c r="AB2439" t="s">
        <v>51</v>
      </c>
      <c r="AC2439" t="s">
        <v>51</v>
      </c>
      <c r="AD2439" t="s">
        <v>51</v>
      </c>
      <c r="AE2439" t="s">
        <v>51</v>
      </c>
      <c r="AF2439" t="s">
        <v>1930</v>
      </c>
    </row>
    <row r="2440" spans="1:32" ht="14.5" customHeight="1" x14ac:dyDescent="0.35">
      <c r="A2440" t="s">
        <v>774</v>
      </c>
      <c r="B2440" t="s">
        <v>1297</v>
      </c>
      <c r="C2440" t="s">
        <v>47</v>
      </c>
      <c r="D2440">
        <v>3100062</v>
      </c>
      <c r="E2440">
        <v>3100062</v>
      </c>
      <c r="F2440" t="s">
        <v>1925</v>
      </c>
      <c r="G2440" t="s">
        <v>1925</v>
      </c>
      <c r="H2440" t="s">
        <v>54</v>
      </c>
      <c r="I2440">
        <v>6958936</v>
      </c>
      <c r="J2440" s="12">
        <v>46125</v>
      </c>
      <c r="K2440" s="12">
        <v>46125</v>
      </c>
      <c r="L2440" s="12">
        <v>46125</v>
      </c>
      <c r="M2440">
        <v>7</v>
      </c>
      <c r="N2440">
        <v>-1942200</v>
      </c>
      <c r="O2440">
        <v>-1942200</v>
      </c>
      <c r="P2440">
        <v>0</v>
      </c>
      <c r="Q2440">
        <v>-1942200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 t="s">
        <v>47</v>
      </c>
      <c r="AA2440" t="s">
        <v>501</v>
      </c>
      <c r="AB2440" t="s">
        <v>51</v>
      </c>
      <c r="AC2440" t="s">
        <v>51</v>
      </c>
      <c r="AD2440" t="s">
        <v>51</v>
      </c>
      <c r="AE2440" t="s">
        <v>51</v>
      </c>
      <c r="AF2440" t="s">
        <v>1930</v>
      </c>
    </row>
    <row r="2441" spans="1:32" ht="14.5" customHeight="1" x14ac:dyDescent="0.35">
      <c r="A2441" t="s">
        <v>774</v>
      </c>
      <c r="B2441" t="s">
        <v>1297</v>
      </c>
      <c r="C2441" t="s">
        <v>47</v>
      </c>
      <c r="D2441">
        <v>3100062</v>
      </c>
      <c r="E2441">
        <v>3100062</v>
      </c>
      <c r="F2441" t="s">
        <v>1925</v>
      </c>
      <c r="G2441" t="s">
        <v>1925</v>
      </c>
      <c r="H2441" t="s">
        <v>54</v>
      </c>
      <c r="I2441">
        <v>6958937</v>
      </c>
      <c r="J2441" s="12">
        <v>46125</v>
      </c>
      <c r="K2441" s="12">
        <v>46125</v>
      </c>
      <c r="L2441" s="12">
        <v>46125</v>
      </c>
      <c r="M2441">
        <v>7</v>
      </c>
      <c r="N2441">
        <v>-11519700</v>
      </c>
      <c r="O2441">
        <v>-11519700</v>
      </c>
      <c r="P2441">
        <v>0</v>
      </c>
      <c r="Q2441">
        <v>-11519700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 t="s">
        <v>47</v>
      </c>
      <c r="AA2441" t="s">
        <v>501</v>
      </c>
      <c r="AB2441" t="s">
        <v>51</v>
      </c>
      <c r="AC2441" t="s">
        <v>51</v>
      </c>
      <c r="AD2441" t="s">
        <v>51</v>
      </c>
      <c r="AE2441" t="s">
        <v>51</v>
      </c>
      <c r="AF2441" t="s">
        <v>1930</v>
      </c>
    </row>
    <row r="2442" spans="1:32" ht="14.5" customHeight="1" x14ac:dyDescent="0.35">
      <c r="A2442" t="s">
        <v>774</v>
      </c>
      <c r="B2442" t="s">
        <v>1297</v>
      </c>
      <c r="C2442" t="s">
        <v>47</v>
      </c>
      <c r="D2442">
        <v>3100062</v>
      </c>
      <c r="E2442">
        <v>3100062</v>
      </c>
      <c r="F2442" t="s">
        <v>1925</v>
      </c>
      <c r="G2442" t="s">
        <v>1925</v>
      </c>
      <c r="H2442" t="s">
        <v>54</v>
      </c>
      <c r="I2442">
        <v>6958938</v>
      </c>
      <c r="J2442" s="12">
        <v>46125</v>
      </c>
      <c r="K2442" s="12">
        <v>46125</v>
      </c>
      <c r="L2442" s="12">
        <v>46125</v>
      </c>
      <c r="M2442">
        <v>7</v>
      </c>
      <c r="N2442">
        <v>-4935000</v>
      </c>
      <c r="O2442">
        <v>-4935000</v>
      </c>
      <c r="P2442">
        <v>0</v>
      </c>
      <c r="Q2442">
        <v>-4935000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 t="s">
        <v>47</v>
      </c>
      <c r="AA2442" t="s">
        <v>501</v>
      </c>
      <c r="AB2442" t="s">
        <v>51</v>
      </c>
      <c r="AC2442" t="s">
        <v>51</v>
      </c>
      <c r="AD2442" t="s">
        <v>51</v>
      </c>
      <c r="AE2442" t="s">
        <v>51</v>
      </c>
      <c r="AF2442" t="s">
        <v>1930</v>
      </c>
    </row>
    <row r="2443" spans="1:32" ht="14.5" customHeight="1" x14ac:dyDescent="0.35">
      <c r="A2443" t="s">
        <v>774</v>
      </c>
      <c r="B2443" t="s">
        <v>1297</v>
      </c>
      <c r="C2443" t="s">
        <v>47</v>
      </c>
      <c r="D2443">
        <v>3100062</v>
      </c>
      <c r="E2443">
        <v>3100062</v>
      </c>
      <c r="F2443" t="s">
        <v>1925</v>
      </c>
      <c r="G2443" t="s">
        <v>1925</v>
      </c>
      <c r="H2443" t="s">
        <v>54</v>
      </c>
      <c r="I2443">
        <v>6958939</v>
      </c>
      <c r="J2443" s="12">
        <v>46125</v>
      </c>
      <c r="K2443" s="12">
        <v>46125</v>
      </c>
      <c r="L2443" s="12">
        <v>46125</v>
      </c>
      <c r="M2443">
        <v>7</v>
      </c>
      <c r="N2443">
        <v>-4984000</v>
      </c>
      <c r="O2443">
        <v>-4984000</v>
      </c>
      <c r="P2443">
        <v>0</v>
      </c>
      <c r="Q2443">
        <v>-4984000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 t="s">
        <v>47</v>
      </c>
      <c r="AA2443" t="s">
        <v>501</v>
      </c>
      <c r="AB2443" t="s">
        <v>51</v>
      </c>
      <c r="AC2443" t="s">
        <v>51</v>
      </c>
      <c r="AD2443" t="s">
        <v>51</v>
      </c>
      <c r="AE2443" t="s">
        <v>51</v>
      </c>
      <c r="AF2443" t="s">
        <v>1930</v>
      </c>
    </row>
    <row r="2444" spans="1:32" ht="14.5" customHeight="1" x14ac:dyDescent="0.35">
      <c r="A2444" t="s">
        <v>774</v>
      </c>
      <c r="B2444" t="s">
        <v>1297</v>
      </c>
      <c r="C2444" t="s">
        <v>47</v>
      </c>
      <c r="D2444">
        <v>3100062</v>
      </c>
      <c r="E2444">
        <v>3100062</v>
      </c>
      <c r="F2444" t="s">
        <v>1925</v>
      </c>
      <c r="G2444" t="s">
        <v>1925</v>
      </c>
      <c r="H2444" t="s">
        <v>54</v>
      </c>
      <c r="I2444">
        <v>6958940</v>
      </c>
      <c r="J2444" s="12">
        <v>46125</v>
      </c>
      <c r="K2444" s="12">
        <v>46125</v>
      </c>
      <c r="L2444" s="12">
        <v>46125</v>
      </c>
      <c r="M2444">
        <v>7</v>
      </c>
      <c r="N2444">
        <v>-5124000</v>
      </c>
      <c r="O2444">
        <v>-5124000</v>
      </c>
      <c r="P2444">
        <v>0</v>
      </c>
      <c r="Q2444">
        <v>-5124000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 t="s">
        <v>47</v>
      </c>
      <c r="AA2444" t="s">
        <v>501</v>
      </c>
      <c r="AB2444" t="s">
        <v>51</v>
      </c>
      <c r="AC2444" t="s">
        <v>51</v>
      </c>
      <c r="AD2444" t="s">
        <v>51</v>
      </c>
      <c r="AE2444" t="s">
        <v>51</v>
      </c>
      <c r="AF2444" t="s">
        <v>1930</v>
      </c>
    </row>
    <row r="2445" spans="1:32" ht="14.5" customHeight="1" x14ac:dyDescent="0.35">
      <c r="A2445" t="s">
        <v>774</v>
      </c>
      <c r="B2445" t="s">
        <v>1297</v>
      </c>
      <c r="C2445" t="s">
        <v>47</v>
      </c>
      <c r="D2445">
        <v>3100062</v>
      </c>
      <c r="E2445">
        <v>3100062</v>
      </c>
      <c r="F2445" t="s">
        <v>1925</v>
      </c>
      <c r="G2445" t="s">
        <v>1925</v>
      </c>
      <c r="H2445" t="s">
        <v>54</v>
      </c>
      <c r="I2445">
        <v>6958941</v>
      </c>
      <c r="J2445" s="12">
        <v>46125</v>
      </c>
      <c r="K2445" s="12">
        <v>46125</v>
      </c>
      <c r="L2445" s="12">
        <v>46125</v>
      </c>
      <c r="M2445">
        <v>7</v>
      </c>
      <c r="N2445">
        <v>-205000</v>
      </c>
      <c r="O2445">
        <v>-205000</v>
      </c>
      <c r="P2445">
        <v>0</v>
      </c>
      <c r="Q2445">
        <v>-205000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 t="s">
        <v>47</v>
      </c>
      <c r="AA2445" t="s">
        <v>501</v>
      </c>
      <c r="AB2445" t="s">
        <v>51</v>
      </c>
      <c r="AC2445" t="s">
        <v>51</v>
      </c>
      <c r="AD2445" t="s">
        <v>51</v>
      </c>
      <c r="AE2445" t="s">
        <v>51</v>
      </c>
      <c r="AF2445" t="s">
        <v>1932</v>
      </c>
    </row>
    <row r="2446" spans="1:32" ht="14.5" customHeight="1" x14ac:dyDescent="0.35">
      <c r="A2446" t="s">
        <v>774</v>
      </c>
      <c r="B2446" t="s">
        <v>1297</v>
      </c>
      <c r="C2446" t="s">
        <v>47</v>
      </c>
      <c r="D2446">
        <v>3100062</v>
      </c>
      <c r="E2446">
        <v>3100062</v>
      </c>
      <c r="F2446" t="s">
        <v>1925</v>
      </c>
      <c r="G2446" t="s">
        <v>1925</v>
      </c>
      <c r="H2446" t="s">
        <v>54</v>
      </c>
      <c r="I2446">
        <v>6958942</v>
      </c>
      <c r="J2446" s="12">
        <v>46125</v>
      </c>
      <c r="K2446" s="12">
        <v>46125</v>
      </c>
      <c r="L2446" s="12">
        <v>46125</v>
      </c>
      <c r="M2446">
        <v>7</v>
      </c>
      <c r="N2446">
        <v>-1775200</v>
      </c>
      <c r="O2446">
        <v>-1775200</v>
      </c>
      <c r="P2446">
        <v>0</v>
      </c>
      <c r="Q2446">
        <v>-1775200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 t="s">
        <v>47</v>
      </c>
      <c r="AA2446" t="s">
        <v>501</v>
      </c>
      <c r="AB2446" t="s">
        <v>51</v>
      </c>
      <c r="AC2446" t="s">
        <v>51</v>
      </c>
      <c r="AD2446" t="s">
        <v>51</v>
      </c>
      <c r="AE2446" t="s">
        <v>51</v>
      </c>
      <c r="AF2446" t="s">
        <v>1932</v>
      </c>
    </row>
    <row r="2447" spans="1:32" ht="14.5" customHeight="1" x14ac:dyDescent="0.35">
      <c r="A2447" t="s">
        <v>774</v>
      </c>
      <c r="B2447" t="s">
        <v>1297</v>
      </c>
      <c r="C2447" t="s">
        <v>47</v>
      </c>
      <c r="D2447">
        <v>3100062</v>
      </c>
      <c r="E2447">
        <v>3100062</v>
      </c>
      <c r="F2447" t="s">
        <v>1925</v>
      </c>
      <c r="G2447" t="s">
        <v>1925</v>
      </c>
      <c r="H2447" t="s">
        <v>54</v>
      </c>
      <c r="I2447">
        <v>6958943</v>
      </c>
      <c r="J2447" s="12">
        <v>46125</v>
      </c>
      <c r="K2447" s="12">
        <v>46125</v>
      </c>
      <c r="L2447" s="12">
        <v>46125</v>
      </c>
      <c r="M2447">
        <v>7</v>
      </c>
      <c r="N2447">
        <v>-4209700</v>
      </c>
      <c r="O2447">
        <v>-4209700</v>
      </c>
      <c r="P2447">
        <v>0</v>
      </c>
      <c r="Q2447">
        <v>-4209700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 t="s">
        <v>47</v>
      </c>
      <c r="AA2447" t="s">
        <v>501</v>
      </c>
      <c r="AB2447" t="s">
        <v>51</v>
      </c>
      <c r="AC2447" t="s">
        <v>51</v>
      </c>
      <c r="AD2447" t="s">
        <v>51</v>
      </c>
      <c r="AE2447" t="s">
        <v>51</v>
      </c>
      <c r="AF2447" t="s">
        <v>1932</v>
      </c>
    </row>
    <row r="2448" spans="1:32" ht="14.5" customHeight="1" x14ac:dyDescent="0.35">
      <c r="A2448" t="s">
        <v>774</v>
      </c>
      <c r="B2448" t="s">
        <v>1297</v>
      </c>
      <c r="C2448" t="s">
        <v>47</v>
      </c>
      <c r="D2448">
        <v>3100062</v>
      </c>
      <c r="E2448">
        <v>3100062</v>
      </c>
      <c r="F2448" t="s">
        <v>1925</v>
      </c>
      <c r="G2448" t="s">
        <v>1925</v>
      </c>
      <c r="H2448" t="s">
        <v>54</v>
      </c>
      <c r="I2448">
        <v>6958944</v>
      </c>
      <c r="J2448" s="12">
        <v>46125</v>
      </c>
      <c r="K2448" s="12">
        <v>46125</v>
      </c>
      <c r="L2448" s="12">
        <v>46125</v>
      </c>
      <c r="M2448">
        <v>7</v>
      </c>
      <c r="N2448">
        <v>-3945000</v>
      </c>
      <c r="O2448">
        <v>-3945000</v>
      </c>
      <c r="P2448">
        <v>0</v>
      </c>
      <c r="Q2448">
        <v>-3945000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 t="s">
        <v>47</v>
      </c>
      <c r="AA2448" t="s">
        <v>501</v>
      </c>
      <c r="AB2448" t="s">
        <v>51</v>
      </c>
      <c r="AC2448" t="s">
        <v>51</v>
      </c>
      <c r="AD2448" t="s">
        <v>51</v>
      </c>
      <c r="AE2448" t="s">
        <v>51</v>
      </c>
      <c r="AF2448" t="s">
        <v>1932</v>
      </c>
    </row>
    <row r="2449" spans="1:32" ht="14.5" customHeight="1" x14ac:dyDescent="0.35">
      <c r="A2449" t="s">
        <v>774</v>
      </c>
      <c r="B2449" t="s">
        <v>1297</v>
      </c>
      <c r="C2449" t="s">
        <v>47</v>
      </c>
      <c r="D2449">
        <v>3100062</v>
      </c>
      <c r="E2449">
        <v>3100062</v>
      </c>
      <c r="F2449" t="s">
        <v>1925</v>
      </c>
      <c r="G2449" t="s">
        <v>1925</v>
      </c>
      <c r="H2449" t="s">
        <v>54</v>
      </c>
      <c r="I2449">
        <v>6958945</v>
      </c>
      <c r="J2449" s="12">
        <v>46125</v>
      </c>
      <c r="K2449" s="12">
        <v>46125</v>
      </c>
      <c r="L2449" s="12">
        <v>46125</v>
      </c>
      <c r="M2449">
        <v>7</v>
      </c>
      <c r="N2449">
        <v>-4034600</v>
      </c>
      <c r="O2449">
        <v>-4034600</v>
      </c>
      <c r="P2449">
        <v>0</v>
      </c>
      <c r="Q2449">
        <v>-4034600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 t="s">
        <v>47</v>
      </c>
      <c r="AA2449" t="s">
        <v>501</v>
      </c>
      <c r="AB2449" t="s">
        <v>51</v>
      </c>
      <c r="AC2449" t="s">
        <v>51</v>
      </c>
      <c r="AD2449" t="s">
        <v>51</v>
      </c>
      <c r="AE2449" t="s">
        <v>51</v>
      </c>
      <c r="AF2449" t="s">
        <v>1932</v>
      </c>
    </row>
    <row r="2450" spans="1:32" ht="14.5" customHeight="1" x14ac:dyDescent="0.35">
      <c r="A2450" t="s">
        <v>774</v>
      </c>
      <c r="B2450" t="s">
        <v>1297</v>
      </c>
      <c r="C2450" t="s">
        <v>47</v>
      </c>
      <c r="D2450">
        <v>3100062</v>
      </c>
      <c r="E2450">
        <v>3100062</v>
      </c>
      <c r="F2450" t="s">
        <v>1925</v>
      </c>
      <c r="G2450" t="s">
        <v>1925</v>
      </c>
      <c r="H2450" t="s">
        <v>54</v>
      </c>
      <c r="I2450">
        <v>6958946</v>
      </c>
      <c r="J2450" s="12">
        <v>46125</v>
      </c>
      <c r="K2450" s="12">
        <v>46125</v>
      </c>
      <c r="L2450" s="12">
        <v>46125</v>
      </c>
      <c r="M2450">
        <v>7</v>
      </c>
      <c r="N2450">
        <v>-2567100</v>
      </c>
      <c r="O2450">
        <v>-2567100</v>
      </c>
      <c r="P2450">
        <v>0</v>
      </c>
      <c r="Q2450">
        <v>-2567100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 t="s">
        <v>47</v>
      </c>
      <c r="AA2450" t="s">
        <v>501</v>
      </c>
      <c r="AB2450" t="s">
        <v>51</v>
      </c>
      <c r="AC2450" t="s">
        <v>51</v>
      </c>
      <c r="AD2450" t="s">
        <v>51</v>
      </c>
      <c r="AE2450" t="s">
        <v>51</v>
      </c>
      <c r="AF2450" t="s">
        <v>1930</v>
      </c>
    </row>
    <row r="2451" spans="1:32" ht="14.5" customHeight="1" x14ac:dyDescent="0.35">
      <c r="A2451" t="s">
        <v>774</v>
      </c>
      <c r="B2451" t="s">
        <v>1297</v>
      </c>
      <c r="C2451" t="s">
        <v>47</v>
      </c>
      <c r="D2451">
        <v>3100062</v>
      </c>
      <c r="E2451">
        <v>3100062</v>
      </c>
      <c r="F2451" t="s">
        <v>1925</v>
      </c>
      <c r="G2451" t="s">
        <v>1925</v>
      </c>
      <c r="H2451" t="s">
        <v>54</v>
      </c>
      <c r="I2451">
        <v>6958947</v>
      </c>
      <c r="J2451" s="12">
        <v>46125</v>
      </c>
      <c r="K2451" s="12">
        <v>46125</v>
      </c>
      <c r="L2451" s="12">
        <v>46125</v>
      </c>
      <c r="M2451">
        <v>7</v>
      </c>
      <c r="N2451">
        <v>-340600</v>
      </c>
      <c r="O2451">
        <v>-340600</v>
      </c>
      <c r="P2451">
        <v>0</v>
      </c>
      <c r="Q2451">
        <v>-340600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 t="s">
        <v>47</v>
      </c>
      <c r="AA2451" t="s">
        <v>501</v>
      </c>
      <c r="AB2451" t="s">
        <v>51</v>
      </c>
      <c r="AC2451" t="s">
        <v>51</v>
      </c>
      <c r="AD2451" t="s">
        <v>51</v>
      </c>
      <c r="AE2451" t="s">
        <v>51</v>
      </c>
      <c r="AF2451" t="s">
        <v>1932</v>
      </c>
    </row>
    <row r="2452" spans="1:32" ht="14.5" customHeight="1" x14ac:dyDescent="0.35">
      <c r="A2452" t="s">
        <v>774</v>
      </c>
      <c r="B2452" t="s">
        <v>1297</v>
      </c>
      <c r="C2452" t="s">
        <v>47</v>
      </c>
      <c r="D2452">
        <v>3100062</v>
      </c>
      <c r="E2452">
        <v>3100062</v>
      </c>
      <c r="F2452" t="s">
        <v>1925</v>
      </c>
      <c r="G2452" t="s">
        <v>1925</v>
      </c>
      <c r="H2452" t="s">
        <v>54</v>
      </c>
      <c r="I2452">
        <v>6958949</v>
      </c>
      <c r="J2452" s="12">
        <v>46125</v>
      </c>
      <c r="K2452" s="12">
        <v>46125</v>
      </c>
      <c r="L2452" s="12">
        <v>46125</v>
      </c>
      <c r="M2452">
        <v>7</v>
      </c>
      <c r="N2452">
        <v>-1175878</v>
      </c>
      <c r="O2452">
        <v>-1175878</v>
      </c>
      <c r="P2452">
        <v>0</v>
      </c>
      <c r="Q2452">
        <v>-1175878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 t="s">
        <v>47</v>
      </c>
      <c r="AA2452" t="s">
        <v>501</v>
      </c>
      <c r="AB2452" t="s">
        <v>51</v>
      </c>
      <c r="AC2452" t="s">
        <v>51</v>
      </c>
      <c r="AD2452" t="s">
        <v>51</v>
      </c>
      <c r="AE2452" t="s">
        <v>51</v>
      </c>
      <c r="AF2452" t="s">
        <v>1934</v>
      </c>
    </row>
    <row r="2453" spans="1:32" ht="14.5" customHeight="1" x14ac:dyDescent="0.35">
      <c r="A2453" t="s">
        <v>774</v>
      </c>
      <c r="B2453" t="s">
        <v>1297</v>
      </c>
      <c r="C2453" t="s">
        <v>47</v>
      </c>
      <c r="D2453">
        <v>3100062</v>
      </c>
      <c r="E2453">
        <v>3100062</v>
      </c>
      <c r="F2453" t="s">
        <v>1925</v>
      </c>
      <c r="G2453" t="s">
        <v>1925</v>
      </c>
      <c r="H2453" t="s">
        <v>54</v>
      </c>
      <c r="I2453">
        <v>6958950</v>
      </c>
      <c r="J2453" s="12">
        <v>46125</v>
      </c>
      <c r="K2453" s="12">
        <v>46125</v>
      </c>
      <c r="L2453" s="12">
        <v>46125</v>
      </c>
      <c r="M2453">
        <v>7</v>
      </c>
      <c r="N2453">
        <v>-76200</v>
      </c>
      <c r="O2453">
        <v>-76200</v>
      </c>
      <c r="P2453">
        <v>0</v>
      </c>
      <c r="Q2453">
        <v>-76200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 t="s">
        <v>47</v>
      </c>
      <c r="AA2453" t="s">
        <v>501</v>
      </c>
      <c r="AB2453" t="s">
        <v>51</v>
      </c>
      <c r="AC2453" t="s">
        <v>51</v>
      </c>
      <c r="AD2453" t="s">
        <v>51</v>
      </c>
      <c r="AE2453" t="s">
        <v>51</v>
      </c>
      <c r="AF2453" t="s">
        <v>1934</v>
      </c>
    </row>
    <row r="2454" spans="1:32" ht="14.5" customHeight="1" x14ac:dyDescent="0.35">
      <c r="A2454" t="s">
        <v>774</v>
      </c>
      <c r="B2454" t="s">
        <v>1297</v>
      </c>
      <c r="C2454" t="s">
        <v>47</v>
      </c>
      <c r="D2454">
        <v>3100062</v>
      </c>
      <c r="E2454">
        <v>3100062</v>
      </c>
      <c r="F2454" t="s">
        <v>1925</v>
      </c>
      <c r="G2454" t="s">
        <v>1925</v>
      </c>
      <c r="H2454" t="s">
        <v>54</v>
      </c>
      <c r="I2454">
        <v>6958951</v>
      </c>
      <c r="J2454" s="12">
        <v>46125</v>
      </c>
      <c r="K2454" s="12">
        <v>46125</v>
      </c>
      <c r="L2454" s="12">
        <v>46125</v>
      </c>
      <c r="M2454">
        <v>7</v>
      </c>
      <c r="N2454">
        <v>-7336230</v>
      </c>
      <c r="O2454">
        <v>-7336230</v>
      </c>
      <c r="P2454">
        <v>0</v>
      </c>
      <c r="Q2454">
        <v>-7336230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 t="s">
        <v>47</v>
      </c>
      <c r="AA2454" t="s">
        <v>501</v>
      </c>
      <c r="AB2454" t="s">
        <v>51</v>
      </c>
      <c r="AC2454" t="s">
        <v>51</v>
      </c>
      <c r="AD2454" t="s">
        <v>51</v>
      </c>
      <c r="AE2454" t="s">
        <v>51</v>
      </c>
      <c r="AF2454" t="s">
        <v>1931</v>
      </c>
    </row>
    <row r="2455" spans="1:32" ht="14.5" customHeight="1" x14ac:dyDescent="0.35">
      <c r="A2455" t="s">
        <v>774</v>
      </c>
      <c r="B2455" t="s">
        <v>1297</v>
      </c>
      <c r="C2455" t="s">
        <v>47</v>
      </c>
      <c r="D2455">
        <v>3100062</v>
      </c>
      <c r="E2455">
        <v>3100062</v>
      </c>
      <c r="F2455" t="s">
        <v>1925</v>
      </c>
      <c r="G2455" t="s">
        <v>1925</v>
      </c>
      <c r="H2455" t="s">
        <v>54</v>
      </c>
      <c r="I2455">
        <v>6958952</v>
      </c>
      <c r="J2455" s="12">
        <v>46125</v>
      </c>
      <c r="K2455" s="12">
        <v>46125</v>
      </c>
      <c r="L2455" s="12">
        <v>46125</v>
      </c>
      <c r="M2455">
        <v>7</v>
      </c>
      <c r="N2455">
        <v>-78842982</v>
      </c>
      <c r="O2455">
        <v>-78842982</v>
      </c>
      <c r="P2455">
        <v>0</v>
      </c>
      <c r="Q2455">
        <v>-78842982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 t="s">
        <v>47</v>
      </c>
      <c r="AA2455" t="s">
        <v>501</v>
      </c>
      <c r="AB2455" t="s">
        <v>51</v>
      </c>
      <c r="AC2455" t="s">
        <v>51</v>
      </c>
      <c r="AD2455" t="s">
        <v>51</v>
      </c>
      <c r="AE2455" t="s">
        <v>51</v>
      </c>
      <c r="AF2455" t="s">
        <v>1931</v>
      </c>
    </row>
    <row r="2456" spans="1:32" ht="14.5" customHeight="1" x14ac:dyDescent="0.35">
      <c r="A2456" t="s">
        <v>774</v>
      </c>
      <c r="B2456" t="s">
        <v>1297</v>
      </c>
      <c r="C2456" t="s">
        <v>47</v>
      </c>
      <c r="D2456">
        <v>3100062</v>
      </c>
      <c r="E2456">
        <v>3100062</v>
      </c>
      <c r="F2456" t="s">
        <v>1925</v>
      </c>
      <c r="G2456" t="s">
        <v>1925</v>
      </c>
      <c r="H2456" t="s">
        <v>54</v>
      </c>
      <c r="I2456">
        <v>6958957</v>
      </c>
      <c r="J2456" s="12">
        <v>46125</v>
      </c>
      <c r="K2456" s="12">
        <v>46125</v>
      </c>
      <c r="L2456" s="12">
        <v>46125</v>
      </c>
      <c r="M2456">
        <v>7</v>
      </c>
      <c r="N2456">
        <v>-7605886</v>
      </c>
      <c r="O2456">
        <v>-7605886</v>
      </c>
      <c r="P2456">
        <v>0</v>
      </c>
      <c r="Q2456">
        <v>-7605886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 t="s">
        <v>47</v>
      </c>
      <c r="AA2456" t="s">
        <v>501</v>
      </c>
      <c r="AB2456" t="s">
        <v>51</v>
      </c>
      <c r="AC2456" t="s">
        <v>51</v>
      </c>
      <c r="AD2456" t="s">
        <v>51</v>
      </c>
      <c r="AE2456" t="s">
        <v>51</v>
      </c>
      <c r="AF2456" t="s">
        <v>1933</v>
      </c>
    </row>
    <row r="2457" spans="1:32" ht="14.5" customHeight="1" x14ac:dyDescent="0.35">
      <c r="A2457" t="s">
        <v>774</v>
      </c>
      <c r="B2457" t="s">
        <v>1297</v>
      </c>
      <c r="C2457" t="s">
        <v>47</v>
      </c>
      <c r="D2457">
        <v>3100062</v>
      </c>
      <c r="E2457">
        <v>3100062</v>
      </c>
      <c r="F2457" t="s">
        <v>1925</v>
      </c>
      <c r="G2457" t="s">
        <v>1925</v>
      </c>
      <c r="H2457" t="s">
        <v>54</v>
      </c>
      <c r="I2457">
        <v>6958958</v>
      </c>
      <c r="J2457" s="12">
        <v>46125</v>
      </c>
      <c r="K2457" s="12">
        <v>46125</v>
      </c>
      <c r="L2457" s="12">
        <v>46125</v>
      </c>
      <c r="M2457">
        <v>7</v>
      </c>
      <c r="N2457">
        <v>-6723800</v>
      </c>
      <c r="O2457">
        <v>-6723800</v>
      </c>
      <c r="P2457">
        <v>0</v>
      </c>
      <c r="Q2457">
        <v>-6723800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 t="s">
        <v>47</v>
      </c>
      <c r="AA2457" t="s">
        <v>501</v>
      </c>
      <c r="AB2457" t="s">
        <v>51</v>
      </c>
      <c r="AC2457" t="s">
        <v>51</v>
      </c>
      <c r="AD2457" t="s">
        <v>51</v>
      </c>
      <c r="AE2457" t="s">
        <v>51</v>
      </c>
      <c r="AF2457" t="s">
        <v>1931</v>
      </c>
    </row>
    <row r="2458" spans="1:32" ht="14.5" customHeight="1" x14ac:dyDescent="0.35">
      <c r="A2458" t="s">
        <v>774</v>
      </c>
      <c r="B2458" t="s">
        <v>1297</v>
      </c>
      <c r="C2458" t="s">
        <v>47</v>
      </c>
      <c r="D2458">
        <v>3100062</v>
      </c>
      <c r="E2458">
        <v>3100062</v>
      </c>
      <c r="F2458" t="s">
        <v>1925</v>
      </c>
      <c r="G2458" t="s">
        <v>1925</v>
      </c>
      <c r="H2458" t="s">
        <v>54</v>
      </c>
      <c r="I2458">
        <v>6958959</v>
      </c>
      <c r="J2458" s="12">
        <v>46125</v>
      </c>
      <c r="K2458" s="12">
        <v>46125</v>
      </c>
      <c r="L2458" s="12">
        <v>46125</v>
      </c>
      <c r="M2458">
        <v>7</v>
      </c>
      <c r="N2458">
        <v>-10041862</v>
      </c>
      <c r="O2458">
        <v>-10041862</v>
      </c>
      <c r="P2458">
        <v>0</v>
      </c>
      <c r="Q2458">
        <v>-10041862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 t="s">
        <v>47</v>
      </c>
      <c r="AA2458" t="s">
        <v>501</v>
      </c>
      <c r="AB2458" t="s">
        <v>51</v>
      </c>
      <c r="AC2458" t="s">
        <v>51</v>
      </c>
      <c r="AD2458" t="s">
        <v>51</v>
      </c>
      <c r="AE2458" t="s">
        <v>51</v>
      </c>
      <c r="AF2458" t="s">
        <v>1931</v>
      </c>
    </row>
    <row r="2459" spans="1:32" ht="14.5" customHeight="1" x14ac:dyDescent="0.35">
      <c r="A2459" t="s">
        <v>774</v>
      </c>
      <c r="B2459" t="s">
        <v>1297</v>
      </c>
      <c r="C2459" t="s">
        <v>47</v>
      </c>
      <c r="D2459">
        <v>3100062</v>
      </c>
      <c r="E2459">
        <v>3100062</v>
      </c>
      <c r="F2459" t="s">
        <v>1925</v>
      </c>
      <c r="G2459" t="s">
        <v>1925</v>
      </c>
      <c r="H2459" t="s">
        <v>54</v>
      </c>
      <c r="I2459">
        <v>6958961</v>
      </c>
      <c r="J2459" s="12">
        <v>46125</v>
      </c>
      <c r="K2459" s="12">
        <v>46125</v>
      </c>
      <c r="L2459" s="12">
        <v>46125</v>
      </c>
      <c r="M2459">
        <v>7</v>
      </c>
      <c r="N2459">
        <v>-10052235</v>
      </c>
      <c r="O2459">
        <v>-10052235</v>
      </c>
      <c r="P2459">
        <v>0</v>
      </c>
      <c r="Q2459">
        <v>-10052235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 t="s">
        <v>47</v>
      </c>
      <c r="AA2459" t="s">
        <v>501</v>
      </c>
      <c r="AB2459" t="s">
        <v>51</v>
      </c>
      <c r="AC2459" t="s">
        <v>51</v>
      </c>
      <c r="AD2459" t="s">
        <v>51</v>
      </c>
      <c r="AE2459" t="s">
        <v>51</v>
      </c>
      <c r="AF2459" t="s">
        <v>1931</v>
      </c>
    </row>
    <row r="2460" spans="1:32" ht="14.5" customHeight="1" x14ac:dyDescent="0.35">
      <c r="A2460" t="s">
        <v>774</v>
      </c>
      <c r="B2460" t="s">
        <v>1297</v>
      </c>
      <c r="C2460" t="s">
        <v>47</v>
      </c>
      <c r="D2460">
        <v>3100062</v>
      </c>
      <c r="E2460">
        <v>3100062</v>
      </c>
      <c r="F2460" t="s">
        <v>1925</v>
      </c>
      <c r="G2460" t="s">
        <v>1925</v>
      </c>
      <c r="H2460" t="s">
        <v>54</v>
      </c>
      <c r="I2460">
        <v>6958964</v>
      </c>
      <c r="J2460" s="12">
        <v>46125</v>
      </c>
      <c r="K2460" s="12">
        <v>46125</v>
      </c>
      <c r="L2460" s="12">
        <v>46125</v>
      </c>
      <c r="M2460">
        <v>7</v>
      </c>
      <c r="N2460">
        <v>-15274069</v>
      </c>
      <c r="O2460">
        <v>-15274069</v>
      </c>
      <c r="P2460">
        <v>0</v>
      </c>
      <c r="Q2460">
        <v>-15274069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 t="s">
        <v>47</v>
      </c>
      <c r="AA2460" t="s">
        <v>501</v>
      </c>
      <c r="AB2460" t="s">
        <v>51</v>
      </c>
      <c r="AC2460" t="s">
        <v>51</v>
      </c>
      <c r="AD2460" t="s">
        <v>51</v>
      </c>
      <c r="AE2460" t="s">
        <v>51</v>
      </c>
      <c r="AF2460" t="s">
        <v>1931</v>
      </c>
    </row>
    <row r="2461" spans="1:32" ht="14.5" customHeight="1" x14ac:dyDescent="0.35">
      <c r="A2461" t="s">
        <v>774</v>
      </c>
      <c r="B2461" t="s">
        <v>1297</v>
      </c>
      <c r="C2461" t="s">
        <v>47</v>
      </c>
      <c r="D2461">
        <v>3100062</v>
      </c>
      <c r="E2461">
        <v>3100062</v>
      </c>
      <c r="F2461" t="s">
        <v>1925</v>
      </c>
      <c r="G2461" t="s">
        <v>1925</v>
      </c>
      <c r="H2461" t="s">
        <v>54</v>
      </c>
      <c r="I2461">
        <v>6958966</v>
      </c>
      <c r="J2461" s="12">
        <v>46125</v>
      </c>
      <c r="K2461" s="12">
        <v>46125</v>
      </c>
      <c r="L2461" s="12">
        <v>46125</v>
      </c>
      <c r="M2461">
        <v>7</v>
      </c>
      <c r="N2461">
        <v>-17061502</v>
      </c>
      <c r="O2461">
        <v>-17061502</v>
      </c>
      <c r="P2461">
        <v>0</v>
      </c>
      <c r="Q2461">
        <v>-17061502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 t="s">
        <v>47</v>
      </c>
      <c r="AA2461" t="s">
        <v>501</v>
      </c>
      <c r="AB2461" t="s">
        <v>51</v>
      </c>
      <c r="AC2461" t="s">
        <v>51</v>
      </c>
      <c r="AD2461" t="s">
        <v>51</v>
      </c>
      <c r="AE2461" t="s">
        <v>51</v>
      </c>
      <c r="AF2461" t="s">
        <v>1931</v>
      </c>
    </row>
    <row r="2462" spans="1:32" ht="14.5" customHeight="1" x14ac:dyDescent="0.35">
      <c r="A2462" t="s">
        <v>774</v>
      </c>
      <c r="B2462" t="s">
        <v>1297</v>
      </c>
      <c r="C2462" t="s">
        <v>47</v>
      </c>
      <c r="D2462">
        <v>3100062</v>
      </c>
      <c r="E2462">
        <v>3100062</v>
      </c>
      <c r="F2462" t="s">
        <v>1925</v>
      </c>
      <c r="G2462" t="s">
        <v>1925</v>
      </c>
      <c r="H2462" t="s">
        <v>54</v>
      </c>
      <c r="I2462">
        <v>6958967</v>
      </c>
      <c r="J2462" s="12">
        <v>46125</v>
      </c>
      <c r="K2462" s="12">
        <v>46125</v>
      </c>
      <c r="L2462" s="12">
        <v>46125</v>
      </c>
      <c r="M2462">
        <v>7</v>
      </c>
      <c r="N2462">
        <v>-5954381</v>
      </c>
      <c r="O2462">
        <v>-5954381</v>
      </c>
      <c r="P2462">
        <v>0</v>
      </c>
      <c r="Q2462">
        <v>-5954381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 t="s">
        <v>47</v>
      </c>
      <c r="AA2462" t="s">
        <v>501</v>
      </c>
      <c r="AB2462" t="s">
        <v>51</v>
      </c>
      <c r="AC2462" t="s">
        <v>51</v>
      </c>
      <c r="AD2462" t="s">
        <v>51</v>
      </c>
      <c r="AE2462" t="s">
        <v>51</v>
      </c>
      <c r="AF2462" t="s">
        <v>1931</v>
      </c>
    </row>
    <row r="2463" spans="1:32" ht="14.5" customHeight="1" x14ac:dyDescent="0.35">
      <c r="A2463" t="s">
        <v>774</v>
      </c>
      <c r="B2463" t="s">
        <v>1297</v>
      </c>
      <c r="C2463" t="s">
        <v>47</v>
      </c>
      <c r="D2463">
        <v>3100062</v>
      </c>
      <c r="E2463">
        <v>3100062</v>
      </c>
      <c r="F2463" t="s">
        <v>1925</v>
      </c>
      <c r="G2463" t="s">
        <v>1925</v>
      </c>
      <c r="H2463" t="s">
        <v>54</v>
      </c>
      <c r="I2463">
        <v>6958979</v>
      </c>
      <c r="J2463" s="12">
        <v>46125</v>
      </c>
      <c r="K2463" s="12">
        <v>46125</v>
      </c>
      <c r="L2463" s="12">
        <v>46125</v>
      </c>
      <c r="M2463">
        <v>7</v>
      </c>
      <c r="N2463">
        <v>-109000000</v>
      </c>
      <c r="O2463">
        <v>-109000000</v>
      </c>
      <c r="P2463">
        <v>0</v>
      </c>
      <c r="Q2463">
        <v>-109000000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 t="s">
        <v>47</v>
      </c>
      <c r="AA2463" t="s">
        <v>501</v>
      </c>
      <c r="AB2463" t="s">
        <v>51</v>
      </c>
      <c r="AC2463" t="s">
        <v>51</v>
      </c>
      <c r="AD2463" t="s">
        <v>51</v>
      </c>
      <c r="AE2463" t="s">
        <v>51</v>
      </c>
      <c r="AF2463" t="s">
        <v>1935</v>
      </c>
    </row>
    <row r="2464" spans="1:32" ht="14.5" customHeight="1" x14ac:dyDescent="0.35">
      <c r="A2464" t="s">
        <v>774</v>
      </c>
      <c r="B2464" t="s">
        <v>1297</v>
      </c>
      <c r="C2464" t="s">
        <v>47</v>
      </c>
      <c r="D2464">
        <v>3100062</v>
      </c>
      <c r="E2464">
        <v>3100062</v>
      </c>
      <c r="F2464" t="s">
        <v>1925</v>
      </c>
      <c r="G2464" t="s">
        <v>1925</v>
      </c>
      <c r="H2464" t="s">
        <v>54</v>
      </c>
      <c r="I2464">
        <v>6958996</v>
      </c>
      <c r="J2464" s="12">
        <v>46125</v>
      </c>
      <c r="K2464" s="12">
        <v>46125</v>
      </c>
      <c r="L2464" s="12">
        <v>46125</v>
      </c>
      <c r="M2464">
        <v>7</v>
      </c>
      <c r="N2464">
        <v>-8000000</v>
      </c>
      <c r="O2464">
        <v>-8000000</v>
      </c>
      <c r="P2464">
        <v>0</v>
      </c>
      <c r="Q2464">
        <v>-8000000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 t="s">
        <v>47</v>
      </c>
      <c r="AA2464" t="s">
        <v>501</v>
      </c>
      <c r="AB2464" t="s">
        <v>51</v>
      </c>
      <c r="AC2464" t="s">
        <v>51</v>
      </c>
      <c r="AD2464" t="s">
        <v>51</v>
      </c>
      <c r="AE2464" t="s">
        <v>51</v>
      </c>
      <c r="AF2464" t="s">
        <v>1936</v>
      </c>
    </row>
    <row r="2465" spans="1:32" ht="14.5" customHeight="1" x14ac:dyDescent="0.35">
      <c r="A2465" t="s">
        <v>774</v>
      </c>
      <c r="B2465" t="s">
        <v>1297</v>
      </c>
      <c r="C2465" t="s">
        <v>47</v>
      </c>
      <c r="D2465">
        <v>3100062</v>
      </c>
      <c r="E2465">
        <v>3100062</v>
      </c>
      <c r="F2465" t="s">
        <v>1925</v>
      </c>
      <c r="G2465" t="s">
        <v>1925</v>
      </c>
      <c r="H2465" t="s">
        <v>54</v>
      </c>
      <c r="I2465">
        <v>6958997</v>
      </c>
      <c r="J2465" s="12">
        <v>46125</v>
      </c>
      <c r="K2465" s="12">
        <v>46125</v>
      </c>
      <c r="L2465" s="12">
        <v>46125</v>
      </c>
      <c r="M2465">
        <v>7</v>
      </c>
      <c r="N2465">
        <v>-8720000</v>
      </c>
      <c r="O2465">
        <v>-8720000</v>
      </c>
      <c r="P2465">
        <v>0</v>
      </c>
      <c r="Q2465">
        <v>-8720000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 t="s">
        <v>47</v>
      </c>
      <c r="AA2465" t="s">
        <v>501</v>
      </c>
      <c r="AB2465" t="s">
        <v>51</v>
      </c>
      <c r="AC2465" t="s">
        <v>51</v>
      </c>
      <c r="AD2465" t="s">
        <v>51</v>
      </c>
      <c r="AE2465" t="s">
        <v>51</v>
      </c>
      <c r="AF2465" t="s">
        <v>1937</v>
      </c>
    </row>
    <row r="2466" spans="1:32" ht="14.5" customHeight="1" x14ac:dyDescent="0.35">
      <c r="A2466" t="s">
        <v>774</v>
      </c>
      <c r="B2466" t="s">
        <v>1297</v>
      </c>
      <c r="C2466" t="s">
        <v>47</v>
      </c>
      <c r="D2466">
        <v>3100062</v>
      </c>
      <c r="E2466">
        <v>3100062</v>
      </c>
      <c r="F2466" t="s">
        <v>1925</v>
      </c>
      <c r="G2466" t="s">
        <v>1925</v>
      </c>
      <c r="H2466" t="s">
        <v>54</v>
      </c>
      <c r="I2466">
        <v>6958998</v>
      </c>
      <c r="J2466" s="12">
        <v>46125</v>
      </c>
      <c r="K2466" s="12">
        <v>46125</v>
      </c>
      <c r="L2466" s="12">
        <v>46125</v>
      </c>
      <c r="M2466">
        <v>7</v>
      </c>
      <c r="N2466">
        <v>-1090000</v>
      </c>
      <c r="O2466">
        <v>-1090000</v>
      </c>
      <c r="P2466">
        <v>0</v>
      </c>
      <c r="Q2466">
        <v>-1090000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 t="s">
        <v>47</v>
      </c>
      <c r="AA2466" t="s">
        <v>501</v>
      </c>
      <c r="AB2466" t="s">
        <v>51</v>
      </c>
      <c r="AC2466" t="s">
        <v>51</v>
      </c>
      <c r="AD2466" t="s">
        <v>51</v>
      </c>
      <c r="AE2466" t="s">
        <v>51</v>
      </c>
      <c r="AF2466" t="s">
        <v>1937</v>
      </c>
    </row>
    <row r="2467" spans="1:32" ht="14.5" customHeight="1" x14ac:dyDescent="0.35">
      <c r="A2467" t="s">
        <v>774</v>
      </c>
      <c r="B2467" t="s">
        <v>1297</v>
      </c>
      <c r="C2467" t="s">
        <v>47</v>
      </c>
      <c r="D2467">
        <v>3100062</v>
      </c>
      <c r="E2467">
        <v>3100062</v>
      </c>
      <c r="F2467" t="s">
        <v>1925</v>
      </c>
      <c r="G2467" t="s">
        <v>1925</v>
      </c>
      <c r="H2467" t="s">
        <v>54</v>
      </c>
      <c r="I2467">
        <v>6958999</v>
      </c>
      <c r="J2467" s="12">
        <v>46125</v>
      </c>
      <c r="K2467" s="12">
        <v>46125</v>
      </c>
      <c r="L2467" s="12">
        <v>46125</v>
      </c>
      <c r="M2467">
        <v>7</v>
      </c>
      <c r="N2467">
        <v>-8720000</v>
      </c>
      <c r="O2467">
        <v>-8720000</v>
      </c>
      <c r="P2467">
        <v>0</v>
      </c>
      <c r="Q2467">
        <v>-8720000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 t="s">
        <v>47</v>
      </c>
      <c r="AA2467" t="s">
        <v>501</v>
      </c>
      <c r="AB2467" t="s">
        <v>51</v>
      </c>
      <c r="AC2467" t="s">
        <v>51</v>
      </c>
      <c r="AD2467" t="s">
        <v>51</v>
      </c>
      <c r="AE2467" t="s">
        <v>51</v>
      </c>
      <c r="AF2467" t="s">
        <v>1937</v>
      </c>
    </row>
    <row r="2468" spans="1:32" ht="14.5" customHeight="1" x14ac:dyDescent="0.35">
      <c r="A2468" t="s">
        <v>774</v>
      </c>
      <c r="B2468" t="s">
        <v>1297</v>
      </c>
      <c r="C2468" t="s">
        <v>47</v>
      </c>
      <c r="D2468">
        <v>3100062</v>
      </c>
      <c r="E2468">
        <v>3100062</v>
      </c>
      <c r="F2468" t="s">
        <v>1925</v>
      </c>
      <c r="G2468" t="s">
        <v>1925</v>
      </c>
      <c r="H2468" t="s">
        <v>54</v>
      </c>
      <c r="I2468">
        <v>6959000</v>
      </c>
      <c r="J2468" s="12">
        <v>46125</v>
      </c>
      <c r="K2468" s="12">
        <v>46125</v>
      </c>
      <c r="L2468" s="12">
        <v>46125</v>
      </c>
      <c r="M2468">
        <v>7</v>
      </c>
      <c r="N2468">
        <v>-308487</v>
      </c>
      <c r="O2468">
        <v>-308487</v>
      </c>
      <c r="P2468">
        <v>0</v>
      </c>
      <c r="Q2468">
        <v>-308487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 t="s">
        <v>47</v>
      </c>
      <c r="AA2468" t="s">
        <v>501</v>
      </c>
      <c r="AB2468" t="s">
        <v>51</v>
      </c>
      <c r="AC2468" t="s">
        <v>51</v>
      </c>
      <c r="AD2468" t="s">
        <v>51</v>
      </c>
      <c r="AE2468" t="s">
        <v>51</v>
      </c>
      <c r="AF2468" t="s">
        <v>1938</v>
      </c>
    </row>
    <row r="2469" spans="1:32" ht="14.5" customHeight="1" x14ac:dyDescent="0.35">
      <c r="A2469" t="s">
        <v>774</v>
      </c>
      <c r="B2469" t="s">
        <v>1297</v>
      </c>
      <c r="C2469" t="s">
        <v>47</v>
      </c>
      <c r="D2469">
        <v>3100062</v>
      </c>
      <c r="E2469">
        <v>3100062</v>
      </c>
      <c r="F2469" t="s">
        <v>1925</v>
      </c>
      <c r="G2469" t="s">
        <v>1925</v>
      </c>
      <c r="H2469" t="s">
        <v>54</v>
      </c>
      <c r="I2469">
        <v>6959001</v>
      </c>
      <c r="J2469" s="12">
        <v>46125</v>
      </c>
      <c r="K2469" s="12">
        <v>46125</v>
      </c>
      <c r="L2469" s="12">
        <v>46125</v>
      </c>
      <c r="M2469">
        <v>7</v>
      </c>
      <c r="N2469">
        <v>-203625</v>
      </c>
      <c r="O2469">
        <v>-203625</v>
      </c>
      <c r="P2469">
        <v>0</v>
      </c>
      <c r="Q2469">
        <v>-203625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 t="s">
        <v>47</v>
      </c>
      <c r="AA2469" t="s">
        <v>501</v>
      </c>
      <c r="AB2469" t="s">
        <v>51</v>
      </c>
      <c r="AC2469" t="s">
        <v>51</v>
      </c>
      <c r="AD2469" t="s">
        <v>51</v>
      </c>
      <c r="AE2469" t="s">
        <v>51</v>
      </c>
      <c r="AF2469" t="s">
        <v>1939</v>
      </c>
    </row>
    <row r="2470" spans="1:32" ht="14.5" customHeight="1" x14ac:dyDescent="0.35">
      <c r="A2470" t="s">
        <v>774</v>
      </c>
      <c r="B2470" t="s">
        <v>1297</v>
      </c>
      <c r="C2470" t="s">
        <v>47</v>
      </c>
      <c r="D2470">
        <v>3100062</v>
      </c>
      <c r="E2470">
        <v>3100062</v>
      </c>
      <c r="F2470" t="s">
        <v>1925</v>
      </c>
      <c r="G2470" t="s">
        <v>1925</v>
      </c>
      <c r="H2470" t="s">
        <v>54</v>
      </c>
      <c r="I2470">
        <v>6959002</v>
      </c>
      <c r="J2470" s="12">
        <v>46125</v>
      </c>
      <c r="K2470" s="12">
        <v>46125</v>
      </c>
      <c r="L2470" s="12">
        <v>46125</v>
      </c>
      <c r="M2470">
        <v>7</v>
      </c>
      <c r="N2470">
        <v>-1353650</v>
      </c>
      <c r="O2470">
        <v>-1353650</v>
      </c>
      <c r="P2470">
        <v>0</v>
      </c>
      <c r="Q2470">
        <v>-1353650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 t="s">
        <v>47</v>
      </c>
      <c r="AA2470" t="s">
        <v>501</v>
      </c>
      <c r="AB2470" t="s">
        <v>51</v>
      </c>
      <c r="AC2470" t="s">
        <v>51</v>
      </c>
      <c r="AD2470" t="s">
        <v>51</v>
      </c>
      <c r="AE2470" t="s">
        <v>51</v>
      </c>
      <c r="AF2470" t="s">
        <v>1930</v>
      </c>
    </row>
    <row r="2471" spans="1:32" ht="14.5" customHeight="1" x14ac:dyDescent="0.35">
      <c r="A2471" t="s">
        <v>774</v>
      </c>
      <c r="B2471" t="s">
        <v>1297</v>
      </c>
      <c r="C2471" t="s">
        <v>47</v>
      </c>
      <c r="D2471">
        <v>3100062</v>
      </c>
      <c r="E2471">
        <v>3100062</v>
      </c>
      <c r="F2471" t="s">
        <v>1925</v>
      </c>
      <c r="G2471" t="s">
        <v>1925</v>
      </c>
      <c r="H2471" t="s">
        <v>54</v>
      </c>
      <c r="I2471">
        <v>6959003</v>
      </c>
      <c r="J2471" s="12">
        <v>46125</v>
      </c>
      <c r="K2471" s="12">
        <v>46125</v>
      </c>
      <c r="L2471" s="12">
        <v>46125</v>
      </c>
      <c r="M2471">
        <v>7</v>
      </c>
      <c r="N2471">
        <v>-10424600</v>
      </c>
      <c r="O2471">
        <v>-10424600</v>
      </c>
      <c r="P2471">
        <v>0</v>
      </c>
      <c r="Q2471">
        <v>-10424600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 t="s">
        <v>47</v>
      </c>
      <c r="AA2471" t="s">
        <v>501</v>
      </c>
      <c r="AB2471" t="s">
        <v>51</v>
      </c>
      <c r="AC2471" t="s">
        <v>51</v>
      </c>
      <c r="AD2471" t="s">
        <v>51</v>
      </c>
      <c r="AE2471" t="s">
        <v>51</v>
      </c>
      <c r="AF2471" t="s">
        <v>1930</v>
      </c>
    </row>
    <row r="2472" spans="1:32" ht="14.5" customHeight="1" x14ac:dyDescent="0.35">
      <c r="A2472" t="s">
        <v>774</v>
      </c>
      <c r="B2472" t="s">
        <v>1297</v>
      </c>
      <c r="C2472" t="s">
        <v>47</v>
      </c>
      <c r="D2472">
        <v>3100062</v>
      </c>
      <c r="E2472">
        <v>3100062</v>
      </c>
      <c r="F2472" t="s">
        <v>1925</v>
      </c>
      <c r="G2472" t="s">
        <v>1925</v>
      </c>
      <c r="H2472" t="s">
        <v>54</v>
      </c>
      <c r="I2472">
        <v>6959004</v>
      </c>
      <c r="J2472" s="12">
        <v>46125</v>
      </c>
      <c r="K2472" s="12">
        <v>46125</v>
      </c>
      <c r="L2472" s="12">
        <v>46125</v>
      </c>
      <c r="M2472">
        <v>7</v>
      </c>
      <c r="N2472">
        <v>-7722100</v>
      </c>
      <c r="O2472">
        <v>-7722100</v>
      </c>
      <c r="P2472">
        <v>0</v>
      </c>
      <c r="Q2472">
        <v>-7722100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 t="s">
        <v>47</v>
      </c>
      <c r="AA2472" t="s">
        <v>501</v>
      </c>
      <c r="AB2472" t="s">
        <v>51</v>
      </c>
      <c r="AC2472" t="s">
        <v>51</v>
      </c>
      <c r="AD2472" t="s">
        <v>51</v>
      </c>
      <c r="AE2472" t="s">
        <v>51</v>
      </c>
      <c r="AF2472" t="s">
        <v>1930</v>
      </c>
    </row>
    <row r="2473" spans="1:32" ht="14.5" customHeight="1" x14ac:dyDescent="0.35">
      <c r="A2473" t="s">
        <v>774</v>
      </c>
      <c r="B2473" t="s">
        <v>1297</v>
      </c>
      <c r="C2473" t="s">
        <v>47</v>
      </c>
      <c r="D2473">
        <v>3100062</v>
      </c>
      <c r="E2473">
        <v>3100062</v>
      </c>
      <c r="F2473" t="s">
        <v>1925</v>
      </c>
      <c r="G2473" t="s">
        <v>1925</v>
      </c>
      <c r="H2473" t="s">
        <v>54</v>
      </c>
      <c r="I2473">
        <v>6959005</v>
      </c>
      <c r="J2473" s="12">
        <v>46125</v>
      </c>
      <c r="K2473" s="12">
        <v>46125</v>
      </c>
      <c r="L2473" s="12">
        <v>46125</v>
      </c>
      <c r="M2473">
        <v>7</v>
      </c>
      <c r="N2473">
        <v>-2531375</v>
      </c>
      <c r="O2473">
        <v>-2531375</v>
      </c>
      <c r="P2473">
        <v>0</v>
      </c>
      <c r="Q2473">
        <v>-2531375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 t="s">
        <v>47</v>
      </c>
      <c r="AA2473" t="s">
        <v>501</v>
      </c>
      <c r="AB2473" t="s">
        <v>51</v>
      </c>
      <c r="AC2473" t="s">
        <v>51</v>
      </c>
      <c r="AD2473" t="s">
        <v>51</v>
      </c>
      <c r="AE2473" t="s">
        <v>51</v>
      </c>
      <c r="AF2473" t="s">
        <v>1930</v>
      </c>
    </row>
    <row r="2474" spans="1:32" ht="14.5" customHeight="1" x14ac:dyDescent="0.35">
      <c r="A2474" t="s">
        <v>774</v>
      </c>
      <c r="B2474" t="s">
        <v>1297</v>
      </c>
      <c r="C2474" t="s">
        <v>47</v>
      </c>
      <c r="D2474">
        <v>3100062</v>
      </c>
      <c r="E2474">
        <v>3100062</v>
      </c>
      <c r="F2474" t="s">
        <v>1925</v>
      </c>
      <c r="G2474" t="s">
        <v>1925</v>
      </c>
      <c r="H2474" t="s">
        <v>54</v>
      </c>
      <c r="I2474">
        <v>6959006</v>
      </c>
      <c r="J2474" s="12">
        <v>46125</v>
      </c>
      <c r="K2474" s="12">
        <v>46125</v>
      </c>
      <c r="L2474" s="12">
        <v>46125</v>
      </c>
      <c r="M2474">
        <v>7</v>
      </c>
      <c r="N2474">
        <v>-2773200</v>
      </c>
      <c r="O2474">
        <v>-2773200</v>
      </c>
      <c r="P2474">
        <v>0</v>
      </c>
      <c r="Q2474">
        <v>-2773200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 t="s">
        <v>47</v>
      </c>
      <c r="AA2474" t="s">
        <v>501</v>
      </c>
      <c r="AB2474" t="s">
        <v>51</v>
      </c>
      <c r="AC2474" t="s">
        <v>51</v>
      </c>
      <c r="AD2474" t="s">
        <v>51</v>
      </c>
      <c r="AE2474" t="s">
        <v>51</v>
      </c>
      <c r="AF2474" t="s">
        <v>1930</v>
      </c>
    </row>
    <row r="2475" spans="1:32" ht="14.5" customHeight="1" x14ac:dyDescent="0.35">
      <c r="A2475" t="s">
        <v>774</v>
      </c>
      <c r="B2475" t="s">
        <v>1297</v>
      </c>
      <c r="C2475" t="s">
        <v>47</v>
      </c>
      <c r="D2475">
        <v>3100062</v>
      </c>
      <c r="E2475">
        <v>3100062</v>
      </c>
      <c r="F2475" t="s">
        <v>1925</v>
      </c>
      <c r="G2475" t="s">
        <v>1925</v>
      </c>
      <c r="H2475" t="s">
        <v>54</v>
      </c>
      <c r="I2475">
        <v>6959007</v>
      </c>
      <c r="J2475" s="12">
        <v>46125</v>
      </c>
      <c r="K2475" s="12">
        <v>46125</v>
      </c>
      <c r="L2475" s="12">
        <v>46125</v>
      </c>
      <c r="M2475">
        <v>7</v>
      </c>
      <c r="N2475">
        <v>-486200</v>
      </c>
      <c r="O2475">
        <v>-486200</v>
      </c>
      <c r="P2475">
        <v>0</v>
      </c>
      <c r="Q2475">
        <v>-486200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 t="s">
        <v>47</v>
      </c>
      <c r="AA2475" t="s">
        <v>501</v>
      </c>
      <c r="AB2475" t="s">
        <v>51</v>
      </c>
      <c r="AC2475" t="s">
        <v>51</v>
      </c>
      <c r="AD2475" t="s">
        <v>51</v>
      </c>
      <c r="AE2475" t="s">
        <v>51</v>
      </c>
      <c r="AF2475" t="s">
        <v>1932</v>
      </c>
    </row>
    <row r="2476" spans="1:32" ht="14.5" customHeight="1" x14ac:dyDescent="0.35">
      <c r="A2476" t="s">
        <v>774</v>
      </c>
      <c r="B2476" t="s">
        <v>1297</v>
      </c>
      <c r="C2476" t="s">
        <v>47</v>
      </c>
      <c r="D2476">
        <v>3100062</v>
      </c>
      <c r="E2476">
        <v>3100062</v>
      </c>
      <c r="F2476" t="s">
        <v>1925</v>
      </c>
      <c r="G2476" t="s">
        <v>1925</v>
      </c>
      <c r="H2476" t="s">
        <v>54</v>
      </c>
      <c r="I2476">
        <v>6959008</v>
      </c>
      <c r="J2476" s="12">
        <v>46125</v>
      </c>
      <c r="K2476" s="12">
        <v>46125</v>
      </c>
      <c r="L2476" s="12">
        <v>46125</v>
      </c>
      <c r="M2476">
        <v>7</v>
      </c>
      <c r="N2476">
        <v>-213120</v>
      </c>
      <c r="O2476">
        <v>-213120</v>
      </c>
      <c r="P2476">
        <v>0</v>
      </c>
      <c r="Q2476">
        <v>-213120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 t="s">
        <v>47</v>
      </c>
      <c r="AA2476" t="s">
        <v>501</v>
      </c>
      <c r="AB2476" t="s">
        <v>51</v>
      </c>
      <c r="AC2476" t="s">
        <v>51</v>
      </c>
      <c r="AD2476" t="s">
        <v>51</v>
      </c>
      <c r="AE2476" t="s">
        <v>51</v>
      </c>
      <c r="AF2476" t="s">
        <v>1932</v>
      </c>
    </row>
    <row r="2477" spans="1:32" ht="14.5" customHeight="1" x14ac:dyDescent="0.35">
      <c r="A2477" t="s">
        <v>774</v>
      </c>
      <c r="B2477" t="s">
        <v>1297</v>
      </c>
      <c r="C2477" t="s">
        <v>47</v>
      </c>
      <c r="D2477">
        <v>3100062</v>
      </c>
      <c r="E2477">
        <v>3100062</v>
      </c>
      <c r="F2477" t="s">
        <v>1925</v>
      </c>
      <c r="G2477" t="s">
        <v>1925</v>
      </c>
      <c r="H2477" t="s">
        <v>54</v>
      </c>
      <c r="I2477">
        <v>6959009</v>
      </c>
      <c r="J2477" s="12">
        <v>46125</v>
      </c>
      <c r="K2477" s="12">
        <v>46125</v>
      </c>
      <c r="L2477" s="12">
        <v>46125</v>
      </c>
      <c r="M2477">
        <v>7</v>
      </c>
      <c r="N2477">
        <v>-71840</v>
      </c>
      <c r="O2477">
        <v>-71840</v>
      </c>
      <c r="P2477">
        <v>0</v>
      </c>
      <c r="Q2477">
        <v>-71840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 t="s">
        <v>47</v>
      </c>
      <c r="AA2477" t="s">
        <v>501</v>
      </c>
      <c r="AB2477" t="s">
        <v>51</v>
      </c>
      <c r="AC2477" t="s">
        <v>51</v>
      </c>
      <c r="AD2477" t="s">
        <v>51</v>
      </c>
      <c r="AE2477" t="s">
        <v>51</v>
      </c>
      <c r="AF2477" t="s">
        <v>1932</v>
      </c>
    </row>
    <row r="2478" spans="1:32" ht="14.5" customHeight="1" x14ac:dyDescent="0.35">
      <c r="A2478" t="s">
        <v>774</v>
      </c>
      <c r="B2478" t="s">
        <v>1297</v>
      </c>
      <c r="C2478" t="s">
        <v>47</v>
      </c>
      <c r="D2478">
        <v>3100062</v>
      </c>
      <c r="E2478">
        <v>3100062</v>
      </c>
      <c r="F2478" t="s">
        <v>1925</v>
      </c>
      <c r="G2478" t="s">
        <v>1925</v>
      </c>
      <c r="H2478" t="s">
        <v>54</v>
      </c>
      <c r="I2478">
        <v>6959010</v>
      </c>
      <c r="J2478" s="12">
        <v>46125</v>
      </c>
      <c r="K2478" s="12">
        <v>46125</v>
      </c>
      <c r="L2478" s="12">
        <v>46125</v>
      </c>
      <c r="M2478">
        <v>7</v>
      </c>
      <c r="N2478">
        <v>-612000</v>
      </c>
      <c r="O2478">
        <v>-612000</v>
      </c>
      <c r="P2478">
        <v>0</v>
      </c>
      <c r="Q2478">
        <v>-612000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 t="s">
        <v>47</v>
      </c>
      <c r="AA2478" t="s">
        <v>501</v>
      </c>
      <c r="AB2478" t="s">
        <v>51</v>
      </c>
      <c r="AC2478" t="s">
        <v>51</v>
      </c>
      <c r="AD2478" t="s">
        <v>51</v>
      </c>
      <c r="AE2478" t="s">
        <v>51</v>
      </c>
      <c r="AF2478" t="s">
        <v>1932</v>
      </c>
    </row>
    <row r="2479" spans="1:32" ht="14.5" customHeight="1" x14ac:dyDescent="0.35">
      <c r="A2479" t="s">
        <v>774</v>
      </c>
      <c r="B2479" t="s">
        <v>1297</v>
      </c>
      <c r="C2479" t="s">
        <v>47</v>
      </c>
      <c r="D2479">
        <v>3100062</v>
      </c>
      <c r="E2479">
        <v>3100062</v>
      </c>
      <c r="F2479" t="s">
        <v>1925</v>
      </c>
      <c r="G2479" t="s">
        <v>1925</v>
      </c>
      <c r="H2479" t="s">
        <v>54</v>
      </c>
      <c r="I2479">
        <v>6959011</v>
      </c>
      <c r="J2479" s="12">
        <v>46125</v>
      </c>
      <c r="K2479" s="12">
        <v>46125</v>
      </c>
      <c r="L2479" s="12">
        <v>46125</v>
      </c>
      <c r="M2479">
        <v>7</v>
      </c>
      <c r="N2479">
        <v>-2224100</v>
      </c>
      <c r="O2479">
        <v>-2224100</v>
      </c>
      <c r="P2479">
        <v>0</v>
      </c>
      <c r="Q2479">
        <v>-2224100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 t="s">
        <v>47</v>
      </c>
      <c r="AA2479" t="s">
        <v>501</v>
      </c>
      <c r="AB2479" t="s">
        <v>51</v>
      </c>
      <c r="AC2479" t="s">
        <v>51</v>
      </c>
      <c r="AD2479" t="s">
        <v>51</v>
      </c>
      <c r="AE2479" t="s">
        <v>51</v>
      </c>
      <c r="AF2479" t="s">
        <v>1932</v>
      </c>
    </row>
    <row r="2480" spans="1:32" ht="14.5" customHeight="1" x14ac:dyDescent="0.35">
      <c r="A2480" t="s">
        <v>774</v>
      </c>
      <c r="B2480" t="s">
        <v>1297</v>
      </c>
      <c r="C2480" t="s">
        <v>47</v>
      </c>
      <c r="D2480">
        <v>3100062</v>
      </c>
      <c r="E2480">
        <v>3100062</v>
      </c>
      <c r="F2480" t="s">
        <v>1925</v>
      </c>
      <c r="G2480" t="s">
        <v>1925</v>
      </c>
      <c r="H2480" t="s">
        <v>54</v>
      </c>
      <c r="I2480">
        <v>6959012</v>
      </c>
      <c r="J2480" s="12">
        <v>46125</v>
      </c>
      <c r="K2480" s="12">
        <v>46125</v>
      </c>
      <c r="L2480" s="12">
        <v>46125</v>
      </c>
      <c r="M2480">
        <v>7</v>
      </c>
      <c r="N2480">
        <v>-2715000</v>
      </c>
      <c r="O2480">
        <v>-2715000</v>
      </c>
      <c r="P2480">
        <v>0</v>
      </c>
      <c r="Q2480">
        <v>-2715000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 t="s">
        <v>47</v>
      </c>
      <c r="AA2480" t="s">
        <v>501</v>
      </c>
      <c r="AB2480" t="s">
        <v>51</v>
      </c>
      <c r="AC2480" t="s">
        <v>51</v>
      </c>
      <c r="AD2480" t="s">
        <v>51</v>
      </c>
      <c r="AE2480" t="s">
        <v>51</v>
      </c>
      <c r="AF2480" t="s">
        <v>1932</v>
      </c>
    </row>
    <row r="2481" spans="1:32" ht="14.5" customHeight="1" x14ac:dyDescent="0.35">
      <c r="A2481" t="s">
        <v>774</v>
      </c>
      <c r="B2481" t="s">
        <v>1297</v>
      </c>
      <c r="C2481" t="s">
        <v>47</v>
      </c>
      <c r="D2481">
        <v>3100062</v>
      </c>
      <c r="E2481">
        <v>3100062</v>
      </c>
      <c r="F2481" t="s">
        <v>1925</v>
      </c>
      <c r="G2481" t="s">
        <v>1925</v>
      </c>
      <c r="H2481" t="s">
        <v>54</v>
      </c>
      <c r="I2481">
        <v>6959013</v>
      </c>
      <c r="J2481" s="12">
        <v>46125</v>
      </c>
      <c r="K2481" s="12">
        <v>46125</v>
      </c>
      <c r="L2481" s="12">
        <v>46125</v>
      </c>
      <c r="M2481">
        <v>7</v>
      </c>
      <c r="N2481">
        <v>-887730</v>
      </c>
      <c r="O2481">
        <v>-887730</v>
      </c>
      <c r="P2481">
        <v>0</v>
      </c>
      <c r="Q2481">
        <v>-887730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 t="s">
        <v>47</v>
      </c>
      <c r="AA2481" t="s">
        <v>501</v>
      </c>
      <c r="AB2481" t="s">
        <v>51</v>
      </c>
      <c r="AC2481" t="s">
        <v>51</v>
      </c>
      <c r="AD2481" t="s">
        <v>51</v>
      </c>
      <c r="AE2481" t="s">
        <v>51</v>
      </c>
      <c r="AF2481" t="s">
        <v>1932</v>
      </c>
    </row>
    <row r="2482" spans="1:32" ht="14.5" customHeight="1" x14ac:dyDescent="0.35">
      <c r="A2482" t="s">
        <v>774</v>
      </c>
      <c r="B2482" t="s">
        <v>1297</v>
      </c>
      <c r="C2482" t="s">
        <v>47</v>
      </c>
      <c r="D2482">
        <v>3100062</v>
      </c>
      <c r="E2482">
        <v>3100062</v>
      </c>
      <c r="F2482" t="s">
        <v>1925</v>
      </c>
      <c r="G2482" t="s">
        <v>1925</v>
      </c>
      <c r="H2482" t="s">
        <v>54</v>
      </c>
      <c r="I2482">
        <v>6959014</v>
      </c>
      <c r="J2482" s="12">
        <v>46125</v>
      </c>
      <c r="K2482" s="12">
        <v>46125</v>
      </c>
      <c r="L2482" s="12">
        <v>46125</v>
      </c>
      <c r="M2482">
        <v>7</v>
      </c>
      <c r="N2482">
        <v>-1299960</v>
      </c>
      <c r="O2482">
        <v>-1299960</v>
      </c>
      <c r="P2482">
        <v>0</v>
      </c>
      <c r="Q2482">
        <v>-1299960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 t="s">
        <v>47</v>
      </c>
      <c r="AA2482" t="s">
        <v>501</v>
      </c>
      <c r="AB2482" t="s">
        <v>51</v>
      </c>
      <c r="AC2482" t="s">
        <v>51</v>
      </c>
      <c r="AD2482" t="s">
        <v>51</v>
      </c>
      <c r="AE2482" t="s">
        <v>51</v>
      </c>
      <c r="AF2482" t="s">
        <v>1932</v>
      </c>
    </row>
    <row r="2483" spans="1:32" ht="14.5" customHeight="1" x14ac:dyDescent="0.35">
      <c r="A2483" t="s">
        <v>774</v>
      </c>
      <c r="B2483" t="s">
        <v>1297</v>
      </c>
      <c r="C2483" t="s">
        <v>47</v>
      </c>
      <c r="D2483">
        <v>3100062</v>
      </c>
      <c r="E2483">
        <v>3100062</v>
      </c>
      <c r="F2483" t="s">
        <v>1925</v>
      </c>
      <c r="G2483" t="s">
        <v>1925</v>
      </c>
      <c r="H2483" t="s">
        <v>54</v>
      </c>
      <c r="I2483">
        <v>6959015</v>
      </c>
      <c r="J2483" s="12">
        <v>46125</v>
      </c>
      <c r="K2483" s="12">
        <v>46125</v>
      </c>
      <c r="L2483" s="12">
        <v>46125</v>
      </c>
      <c r="M2483">
        <v>7</v>
      </c>
      <c r="N2483">
        <v>-7771000</v>
      </c>
      <c r="O2483">
        <v>-7771000</v>
      </c>
      <c r="P2483">
        <v>0</v>
      </c>
      <c r="Q2483">
        <v>-7771000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 t="s">
        <v>47</v>
      </c>
      <c r="AA2483" t="s">
        <v>501</v>
      </c>
      <c r="AB2483" t="s">
        <v>51</v>
      </c>
      <c r="AC2483" t="s">
        <v>51</v>
      </c>
      <c r="AD2483" t="s">
        <v>51</v>
      </c>
      <c r="AE2483" t="s">
        <v>51</v>
      </c>
      <c r="AF2483" t="s">
        <v>1932</v>
      </c>
    </row>
    <row r="2484" spans="1:32" ht="14.5" customHeight="1" x14ac:dyDescent="0.35">
      <c r="A2484" t="s">
        <v>774</v>
      </c>
      <c r="B2484" t="s">
        <v>1297</v>
      </c>
      <c r="C2484" t="s">
        <v>47</v>
      </c>
      <c r="D2484">
        <v>3100062</v>
      </c>
      <c r="E2484">
        <v>3100062</v>
      </c>
      <c r="F2484" t="s">
        <v>1925</v>
      </c>
      <c r="G2484" t="s">
        <v>1925</v>
      </c>
      <c r="H2484" t="s">
        <v>54</v>
      </c>
      <c r="I2484">
        <v>6959016</v>
      </c>
      <c r="J2484" s="12">
        <v>46125</v>
      </c>
      <c r="K2484" s="12">
        <v>46125</v>
      </c>
      <c r="L2484" s="12">
        <v>46125</v>
      </c>
      <c r="M2484">
        <v>7</v>
      </c>
      <c r="N2484">
        <v>-4709600</v>
      </c>
      <c r="O2484">
        <v>-4709600</v>
      </c>
      <c r="P2484">
        <v>0</v>
      </c>
      <c r="Q2484">
        <v>-4709600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 t="s">
        <v>47</v>
      </c>
      <c r="AA2484" t="s">
        <v>501</v>
      </c>
      <c r="AB2484" t="s">
        <v>51</v>
      </c>
      <c r="AC2484" t="s">
        <v>51</v>
      </c>
      <c r="AD2484" t="s">
        <v>51</v>
      </c>
      <c r="AE2484" t="s">
        <v>51</v>
      </c>
      <c r="AF2484" t="s">
        <v>1932</v>
      </c>
    </row>
    <row r="2485" spans="1:32" ht="14.5" customHeight="1" x14ac:dyDescent="0.35">
      <c r="A2485" t="s">
        <v>774</v>
      </c>
      <c r="B2485" t="s">
        <v>1297</v>
      </c>
      <c r="C2485" t="s">
        <v>47</v>
      </c>
      <c r="D2485">
        <v>3100062</v>
      </c>
      <c r="E2485">
        <v>3100062</v>
      </c>
      <c r="F2485" t="s">
        <v>1925</v>
      </c>
      <c r="G2485" t="s">
        <v>1925</v>
      </c>
      <c r="H2485" t="s">
        <v>54</v>
      </c>
      <c r="I2485">
        <v>6959017</v>
      </c>
      <c r="J2485" s="12">
        <v>46125</v>
      </c>
      <c r="K2485" s="12">
        <v>46125</v>
      </c>
      <c r="L2485" s="12">
        <v>46125</v>
      </c>
      <c r="M2485">
        <v>7</v>
      </c>
      <c r="N2485">
        <v>-3651000</v>
      </c>
      <c r="O2485">
        <v>-3651000</v>
      </c>
      <c r="P2485">
        <v>0</v>
      </c>
      <c r="Q2485">
        <v>-3651000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 t="s">
        <v>47</v>
      </c>
      <c r="AA2485" t="s">
        <v>501</v>
      </c>
      <c r="AB2485" t="s">
        <v>51</v>
      </c>
      <c r="AC2485" t="s">
        <v>51</v>
      </c>
      <c r="AD2485" t="s">
        <v>51</v>
      </c>
      <c r="AE2485" t="s">
        <v>51</v>
      </c>
      <c r="AF2485" t="s">
        <v>1932</v>
      </c>
    </row>
    <row r="2486" spans="1:32" ht="14.5" customHeight="1" x14ac:dyDescent="0.35">
      <c r="A2486" t="s">
        <v>774</v>
      </c>
      <c r="B2486" t="s">
        <v>1297</v>
      </c>
      <c r="C2486" t="s">
        <v>47</v>
      </c>
      <c r="D2486">
        <v>3100062</v>
      </c>
      <c r="E2486">
        <v>3100062</v>
      </c>
      <c r="F2486" t="s">
        <v>1925</v>
      </c>
      <c r="G2486" t="s">
        <v>1925</v>
      </c>
      <c r="H2486" t="s">
        <v>54</v>
      </c>
      <c r="I2486">
        <v>6959018</v>
      </c>
      <c r="J2486" s="12">
        <v>46125</v>
      </c>
      <c r="K2486" s="12">
        <v>46125</v>
      </c>
      <c r="L2486" s="12">
        <v>46125</v>
      </c>
      <c r="M2486">
        <v>7</v>
      </c>
      <c r="N2486">
        <v>-1220356</v>
      </c>
      <c r="O2486">
        <v>-1220356</v>
      </c>
      <c r="P2486">
        <v>0</v>
      </c>
      <c r="Q2486">
        <v>-1220356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 t="s">
        <v>47</v>
      </c>
      <c r="AA2486" t="s">
        <v>501</v>
      </c>
      <c r="AB2486" t="s">
        <v>51</v>
      </c>
      <c r="AC2486" t="s">
        <v>51</v>
      </c>
      <c r="AD2486" t="s">
        <v>51</v>
      </c>
      <c r="AE2486" t="s">
        <v>51</v>
      </c>
      <c r="AF2486" t="s">
        <v>1933</v>
      </c>
    </row>
    <row r="2487" spans="1:32" ht="14.5" customHeight="1" x14ac:dyDescent="0.35">
      <c r="A2487" t="s">
        <v>774</v>
      </c>
      <c r="B2487" t="s">
        <v>1297</v>
      </c>
      <c r="C2487" t="s">
        <v>47</v>
      </c>
      <c r="D2487">
        <v>3100062</v>
      </c>
      <c r="E2487">
        <v>3100062</v>
      </c>
      <c r="F2487" t="s">
        <v>1925</v>
      </c>
      <c r="G2487" t="s">
        <v>1925</v>
      </c>
      <c r="H2487" t="s">
        <v>54</v>
      </c>
      <c r="I2487">
        <v>6959019</v>
      </c>
      <c r="J2487" s="12">
        <v>46125</v>
      </c>
      <c r="K2487" s="12">
        <v>46125</v>
      </c>
      <c r="L2487" s="12">
        <v>46125</v>
      </c>
      <c r="M2487">
        <v>7</v>
      </c>
      <c r="N2487">
        <v>-31186955</v>
      </c>
      <c r="O2487">
        <v>-31186955</v>
      </c>
      <c r="P2487">
        <v>0</v>
      </c>
      <c r="Q2487">
        <v>-31186955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 t="s">
        <v>47</v>
      </c>
      <c r="AA2487" t="s">
        <v>501</v>
      </c>
      <c r="AB2487" t="s">
        <v>51</v>
      </c>
      <c r="AC2487" t="s">
        <v>51</v>
      </c>
      <c r="AD2487" t="s">
        <v>51</v>
      </c>
      <c r="AE2487" t="s">
        <v>51</v>
      </c>
      <c r="AF2487" t="s">
        <v>1931</v>
      </c>
    </row>
    <row r="2488" spans="1:32" ht="14.5" customHeight="1" x14ac:dyDescent="0.35">
      <c r="A2488" t="s">
        <v>774</v>
      </c>
      <c r="B2488" t="s">
        <v>1297</v>
      </c>
      <c r="C2488" t="s">
        <v>47</v>
      </c>
      <c r="D2488">
        <v>3100062</v>
      </c>
      <c r="E2488">
        <v>3100062</v>
      </c>
      <c r="F2488" t="s">
        <v>1925</v>
      </c>
      <c r="G2488" t="s">
        <v>1925</v>
      </c>
      <c r="H2488" t="s">
        <v>54</v>
      </c>
      <c r="I2488">
        <v>6959020</v>
      </c>
      <c r="J2488" s="12">
        <v>46125</v>
      </c>
      <c r="K2488" s="12">
        <v>46125</v>
      </c>
      <c r="L2488" s="12">
        <v>46125</v>
      </c>
      <c r="M2488">
        <v>7</v>
      </c>
      <c r="N2488">
        <v>-33736400</v>
      </c>
      <c r="O2488">
        <v>-33736400</v>
      </c>
      <c r="P2488">
        <v>0</v>
      </c>
      <c r="Q2488">
        <v>-33736400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 t="s">
        <v>47</v>
      </c>
      <c r="AA2488" t="s">
        <v>501</v>
      </c>
      <c r="AB2488" t="s">
        <v>51</v>
      </c>
      <c r="AC2488" t="s">
        <v>51</v>
      </c>
      <c r="AD2488" t="s">
        <v>51</v>
      </c>
      <c r="AE2488" t="s">
        <v>51</v>
      </c>
      <c r="AF2488" t="s">
        <v>1930</v>
      </c>
    </row>
    <row r="2489" spans="1:32" ht="14.5" customHeight="1" x14ac:dyDescent="0.35">
      <c r="A2489" t="s">
        <v>774</v>
      </c>
      <c r="B2489" t="s">
        <v>1297</v>
      </c>
      <c r="C2489" t="s">
        <v>47</v>
      </c>
      <c r="D2489">
        <v>3100062</v>
      </c>
      <c r="E2489">
        <v>3100062</v>
      </c>
      <c r="F2489" t="s">
        <v>1925</v>
      </c>
      <c r="G2489" t="s">
        <v>1925</v>
      </c>
      <c r="H2489" t="s">
        <v>54</v>
      </c>
      <c r="I2489">
        <v>6959021</v>
      </c>
      <c r="J2489" s="12">
        <v>46125</v>
      </c>
      <c r="K2489" s="12">
        <v>46125</v>
      </c>
      <c r="L2489" s="12">
        <v>46125</v>
      </c>
      <c r="M2489">
        <v>7</v>
      </c>
      <c r="N2489">
        <v>-23616482</v>
      </c>
      <c r="O2489">
        <v>-23616482</v>
      </c>
      <c r="P2489">
        <v>0</v>
      </c>
      <c r="Q2489">
        <v>-23616482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 t="s">
        <v>47</v>
      </c>
      <c r="AA2489" t="s">
        <v>501</v>
      </c>
      <c r="AB2489" t="s">
        <v>51</v>
      </c>
      <c r="AC2489" t="s">
        <v>51</v>
      </c>
      <c r="AD2489" t="s">
        <v>51</v>
      </c>
      <c r="AE2489" t="s">
        <v>51</v>
      </c>
      <c r="AF2489" t="s">
        <v>1930</v>
      </c>
    </row>
    <row r="2490" spans="1:32" ht="14.5" customHeight="1" x14ac:dyDescent="0.35">
      <c r="A2490" t="s">
        <v>774</v>
      </c>
      <c r="B2490" t="s">
        <v>1297</v>
      </c>
      <c r="C2490" t="s">
        <v>47</v>
      </c>
      <c r="D2490">
        <v>3100062</v>
      </c>
      <c r="E2490">
        <v>3100062</v>
      </c>
      <c r="F2490" t="s">
        <v>1925</v>
      </c>
      <c r="G2490" t="s">
        <v>1925</v>
      </c>
      <c r="H2490" t="s">
        <v>54</v>
      </c>
      <c r="I2490">
        <v>6959022</v>
      </c>
      <c r="J2490" s="12">
        <v>46125</v>
      </c>
      <c r="K2490" s="12">
        <v>46125</v>
      </c>
      <c r="L2490" s="12">
        <v>46125</v>
      </c>
      <c r="M2490">
        <v>7</v>
      </c>
      <c r="N2490">
        <v>-19377600</v>
      </c>
      <c r="O2490">
        <v>-19377600</v>
      </c>
      <c r="P2490">
        <v>0</v>
      </c>
      <c r="Q2490">
        <v>-19377600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 t="s">
        <v>47</v>
      </c>
      <c r="AA2490" t="s">
        <v>501</v>
      </c>
      <c r="AB2490" t="s">
        <v>51</v>
      </c>
      <c r="AC2490" t="s">
        <v>51</v>
      </c>
      <c r="AD2490" t="s">
        <v>51</v>
      </c>
      <c r="AE2490" t="s">
        <v>51</v>
      </c>
      <c r="AF2490" t="s">
        <v>1932</v>
      </c>
    </row>
    <row r="2491" spans="1:32" ht="14.5" customHeight="1" x14ac:dyDescent="0.35">
      <c r="A2491" t="s">
        <v>774</v>
      </c>
      <c r="B2491" t="s">
        <v>1297</v>
      </c>
      <c r="C2491" t="s">
        <v>47</v>
      </c>
      <c r="D2491">
        <v>3100062</v>
      </c>
      <c r="E2491">
        <v>3100062</v>
      </c>
      <c r="F2491" t="s">
        <v>1925</v>
      </c>
      <c r="G2491" t="s">
        <v>1925</v>
      </c>
      <c r="H2491" t="s">
        <v>54</v>
      </c>
      <c r="I2491">
        <v>6959023</v>
      </c>
      <c r="J2491" s="12">
        <v>46125</v>
      </c>
      <c r="K2491" s="12">
        <v>46125</v>
      </c>
      <c r="L2491" s="12">
        <v>46125</v>
      </c>
      <c r="M2491">
        <v>7</v>
      </c>
      <c r="N2491">
        <v>-15872580</v>
      </c>
      <c r="O2491">
        <v>-15872580</v>
      </c>
      <c r="P2491">
        <v>0</v>
      </c>
      <c r="Q2491">
        <v>-15872580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 t="s">
        <v>47</v>
      </c>
      <c r="AA2491" t="s">
        <v>501</v>
      </c>
      <c r="AB2491" t="s">
        <v>51</v>
      </c>
      <c r="AC2491" t="s">
        <v>51</v>
      </c>
      <c r="AD2491" t="s">
        <v>51</v>
      </c>
      <c r="AE2491" t="s">
        <v>51</v>
      </c>
      <c r="AF2491" t="s">
        <v>1887</v>
      </c>
    </row>
    <row r="2492" spans="1:32" ht="14.5" customHeight="1" x14ac:dyDescent="0.35">
      <c r="A2492" t="s">
        <v>774</v>
      </c>
      <c r="B2492" t="s">
        <v>1297</v>
      </c>
      <c r="C2492" t="s">
        <v>47</v>
      </c>
      <c r="D2492">
        <v>3100062</v>
      </c>
      <c r="E2492">
        <v>3100062</v>
      </c>
      <c r="F2492" t="s">
        <v>1925</v>
      </c>
      <c r="G2492" t="s">
        <v>1925</v>
      </c>
      <c r="H2492" t="s">
        <v>54</v>
      </c>
      <c r="I2492">
        <v>6959024</v>
      </c>
      <c r="J2492" s="12">
        <v>46125</v>
      </c>
      <c r="K2492" s="12">
        <v>46125</v>
      </c>
      <c r="L2492" s="12">
        <v>46125</v>
      </c>
      <c r="M2492">
        <v>7</v>
      </c>
      <c r="N2492">
        <v>-15115091</v>
      </c>
      <c r="O2492">
        <v>-15115091</v>
      </c>
      <c r="P2492">
        <v>0</v>
      </c>
      <c r="Q2492">
        <v>-15115091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 t="s">
        <v>47</v>
      </c>
      <c r="AA2492" t="s">
        <v>501</v>
      </c>
      <c r="AB2492" t="s">
        <v>51</v>
      </c>
      <c r="AC2492" t="s">
        <v>51</v>
      </c>
      <c r="AD2492" t="s">
        <v>51</v>
      </c>
      <c r="AE2492" t="s">
        <v>51</v>
      </c>
      <c r="AF2492" t="s">
        <v>1887</v>
      </c>
    </row>
    <row r="2493" spans="1:32" ht="14.5" customHeight="1" x14ac:dyDescent="0.35">
      <c r="A2493" t="s">
        <v>774</v>
      </c>
      <c r="B2493" t="s">
        <v>1297</v>
      </c>
      <c r="C2493" t="s">
        <v>47</v>
      </c>
      <c r="D2493">
        <v>3100062</v>
      </c>
      <c r="E2493">
        <v>3100062</v>
      </c>
      <c r="F2493" t="s">
        <v>1925</v>
      </c>
      <c r="G2493" t="s">
        <v>1925</v>
      </c>
      <c r="H2493" t="s">
        <v>54</v>
      </c>
      <c r="I2493">
        <v>6959025</v>
      </c>
      <c r="J2493" s="12">
        <v>46125</v>
      </c>
      <c r="K2493" s="12">
        <v>46125</v>
      </c>
      <c r="L2493" s="12">
        <v>46125</v>
      </c>
      <c r="M2493">
        <v>7</v>
      </c>
      <c r="N2493">
        <v>-26487000</v>
      </c>
      <c r="O2493">
        <v>-26487000</v>
      </c>
      <c r="P2493">
        <v>0</v>
      </c>
      <c r="Q2493">
        <v>-26487000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 t="s">
        <v>47</v>
      </c>
      <c r="AA2493" t="s">
        <v>501</v>
      </c>
      <c r="AB2493" t="s">
        <v>51</v>
      </c>
      <c r="AC2493" t="s">
        <v>51</v>
      </c>
      <c r="AD2493" t="s">
        <v>51</v>
      </c>
      <c r="AE2493" t="s">
        <v>51</v>
      </c>
      <c r="AF2493" t="s">
        <v>1940</v>
      </c>
    </row>
    <row r="2494" spans="1:32" ht="14.5" customHeight="1" x14ac:dyDescent="0.35">
      <c r="A2494" t="s">
        <v>774</v>
      </c>
      <c r="B2494" t="s">
        <v>1297</v>
      </c>
      <c r="C2494" t="s">
        <v>47</v>
      </c>
      <c r="D2494">
        <v>3100062</v>
      </c>
      <c r="E2494">
        <v>3100062</v>
      </c>
      <c r="F2494" t="s">
        <v>1925</v>
      </c>
      <c r="G2494" t="s">
        <v>1925</v>
      </c>
      <c r="H2494" t="s">
        <v>54</v>
      </c>
      <c r="I2494">
        <v>6959026</v>
      </c>
      <c r="J2494" s="12">
        <v>46125</v>
      </c>
      <c r="K2494" s="12">
        <v>46125</v>
      </c>
      <c r="L2494" s="12">
        <v>46125</v>
      </c>
      <c r="M2494">
        <v>7</v>
      </c>
      <c r="N2494">
        <v>-7630000</v>
      </c>
      <c r="O2494">
        <v>-7630000</v>
      </c>
      <c r="P2494">
        <v>0</v>
      </c>
      <c r="Q2494">
        <v>-7630000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 t="s">
        <v>47</v>
      </c>
      <c r="AA2494" t="s">
        <v>501</v>
      </c>
      <c r="AB2494" t="s">
        <v>51</v>
      </c>
      <c r="AC2494" t="s">
        <v>51</v>
      </c>
      <c r="AD2494" t="s">
        <v>51</v>
      </c>
      <c r="AE2494" t="s">
        <v>51</v>
      </c>
      <c r="AF2494" t="s">
        <v>1941</v>
      </c>
    </row>
    <row r="2495" spans="1:32" ht="14.5" customHeight="1" x14ac:dyDescent="0.35">
      <c r="A2495" t="s">
        <v>774</v>
      </c>
      <c r="B2495" t="s">
        <v>1297</v>
      </c>
      <c r="C2495" t="s">
        <v>47</v>
      </c>
      <c r="D2495">
        <v>3100062</v>
      </c>
      <c r="E2495">
        <v>3100062</v>
      </c>
      <c r="F2495" t="s">
        <v>1925</v>
      </c>
      <c r="G2495" t="s">
        <v>1925</v>
      </c>
      <c r="H2495" t="s">
        <v>54</v>
      </c>
      <c r="I2495">
        <v>6959027</v>
      </c>
      <c r="J2495" s="12">
        <v>46125</v>
      </c>
      <c r="K2495" s="12">
        <v>46125</v>
      </c>
      <c r="L2495" s="12">
        <v>46125</v>
      </c>
      <c r="M2495">
        <v>7</v>
      </c>
      <c r="N2495">
        <v>-924044</v>
      </c>
      <c r="O2495">
        <v>-924044</v>
      </c>
      <c r="P2495">
        <v>0</v>
      </c>
      <c r="Q2495">
        <v>-924044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 t="s">
        <v>47</v>
      </c>
      <c r="AA2495" t="s">
        <v>501</v>
      </c>
      <c r="AB2495" t="s">
        <v>51</v>
      </c>
      <c r="AC2495" t="s">
        <v>51</v>
      </c>
      <c r="AD2495" t="s">
        <v>51</v>
      </c>
      <c r="AE2495" t="s">
        <v>51</v>
      </c>
      <c r="AF2495" t="s">
        <v>1933</v>
      </c>
    </row>
    <row r="2496" spans="1:32" ht="14.5" customHeight="1" x14ac:dyDescent="0.35">
      <c r="A2496" t="s">
        <v>774</v>
      </c>
      <c r="B2496" t="s">
        <v>1297</v>
      </c>
      <c r="C2496" t="s">
        <v>47</v>
      </c>
      <c r="D2496">
        <v>3100062</v>
      </c>
      <c r="E2496">
        <v>3100062</v>
      </c>
      <c r="F2496" t="s">
        <v>1925</v>
      </c>
      <c r="G2496" t="s">
        <v>1925</v>
      </c>
      <c r="H2496" t="s">
        <v>54</v>
      </c>
      <c r="I2496">
        <v>6959028</v>
      </c>
      <c r="J2496" s="12">
        <v>46125</v>
      </c>
      <c r="K2496" s="12">
        <v>46125</v>
      </c>
      <c r="L2496" s="12">
        <v>46125</v>
      </c>
      <c r="M2496">
        <v>7</v>
      </c>
      <c r="N2496">
        <v>-15257945</v>
      </c>
      <c r="O2496">
        <v>-15257945</v>
      </c>
      <c r="P2496">
        <v>0</v>
      </c>
      <c r="Q2496">
        <v>-15257945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 t="s">
        <v>47</v>
      </c>
      <c r="AA2496" t="s">
        <v>501</v>
      </c>
      <c r="AB2496" t="s">
        <v>51</v>
      </c>
      <c r="AC2496" t="s">
        <v>51</v>
      </c>
      <c r="AD2496" t="s">
        <v>51</v>
      </c>
      <c r="AE2496" t="s">
        <v>51</v>
      </c>
      <c r="AF2496" t="s">
        <v>1931</v>
      </c>
    </row>
    <row r="2497" spans="1:32" ht="14.5" customHeight="1" x14ac:dyDescent="0.35">
      <c r="A2497" t="s">
        <v>774</v>
      </c>
      <c r="B2497" t="s">
        <v>1297</v>
      </c>
      <c r="C2497" t="s">
        <v>47</v>
      </c>
      <c r="D2497">
        <v>3100062</v>
      </c>
      <c r="E2497">
        <v>3100062</v>
      </c>
      <c r="F2497" t="s">
        <v>1925</v>
      </c>
      <c r="G2497" t="s">
        <v>1925</v>
      </c>
      <c r="H2497" t="s">
        <v>54</v>
      </c>
      <c r="I2497">
        <v>6959036</v>
      </c>
      <c r="J2497" s="12">
        <v>46125</v>
      </c>
      <c r="K2497" s="12">
        <v>46125</v>
      </c>
      <c r="L2497" s="12">
        <v>46125</v>
      </c>
      <c r="M2497">
        <v>7</v>
      </c>
      <c r="N2497">
        <v>-57600</v>
      </c>
      <c r="O2497">
        <v>-57600</v>
      </c>
      <c r="P2497">
        <v>0</v>
      </c>
      <c r="Q2497">
        <v>-57600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 t="s">
        <v>47</v>
      </c>
      <c r="AA2497" t="s">
        <v>501</v>
      </c>
      <c r="AB2497" t="s">
        <v>51</v>
      </c>
      <c r="AC2497" t="s">
        <v>51</v>
      </c>
      <c r="AD2497" t="s">
        <v>51</v>
      </c>
      <c r="AE2497" t="s">
        <v>51</v>
      </c>
      <c r="AF2497" t="s">
        <v>1939</v>
      </c>
    </row>
    <row r="2498" spans="1:32" ht="14.5" customHeight="1" x14ac:dyDescent="0.35">
      <c r="A2498" t="s">
        <v>774</v>
      </c>
      <c r="B2498" t="s">
        <v>1297</v>
      </c>
      <c r="C2498" t="s">
        <v>47</v>
      </c>
      <c r="D2498">
        <v>3100062</v>
      </c>
      <c r="E2498">
        <v>3100062</v>
      </c>
      <c r="F2498" t="s">
        <v>1925</v>
      </c>
      <c r="G2498" t="s">
        <v>1925</v>
      </c>
      <c r="H2498" t="s">
        <v>54</v>
      </c>
      <c r="I2498">
        <v>6959037</v>
      </c>
      <c r="J2498" s="12">
        <v>46125</v>
      </c>
      <c r="K2498" s="12">
        <v>46125</v>
      </c>
      <c r="L2498" s="12">
        <v>46125</v>
      </c>
      <c r="M2498">
        <v>7</v>
      </c>
      <c r="N2498">
        <v>-66570</v>
      </c>
      <c r="O2498">
        <v>-66570</v>
      </c>
      <c r="P2498">
        <v>0</v>
      </c>
      <c r="Q2498">
        <v>-66570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 t="s">
        <v>47</v>
      </c>
      <c r="AA2498" t="s">
        <v>501</v>
      </c>
      <c r="AB2498" t="s">
        <v>51</v>
      </c>
      <c r="AC2498" t="s">
        <v>51</v>
      </c>
      <c r="AD2498" t="s">
        <v>51</v>
      </c>
      <c r="AE2498" t="s">
        <v>51</v>
      </c>
      <c r="AF2498" t="s">
        <v>1942</v>
      </c>
    </row>
    <row r="2499" spans="1:32" ht="14.5" customHeight="1" x14ac:dyDescent="0.35">
      <c r="A2499" t="s">
        <v>774</v>
      </c>
      <c r="B2499" t="s">
        <v>1297</v>
      </c>
      <c r="C2499" t="s">
        <v>47</v>
      </c>
      <c r="D2499">
        <v>3100062</v>
      </c>
      <c r="E2499">
        <v>3100062</v>
      </c>
      <c r="F2499" t="s">
        <v>1925</v>
      </c>
      <c r="G2499" t="s">
        <v>1925</v>
      </c>
      <c r="H2499" t="s">
        <v>54</v>
      </c>
      <c r="I2499">
        <v>6959071</v>
      </c>
      <c r="J2499" s="12">
        <v>46125</v>
      </c>
      <c r="K2499" s="12">
        <v>46125</v>
      </c>
      <c r="L2499" s="12">
        <v>46125</v>
      </c>
      <c r="M2499">
        <v>7</v>
      </c>
      <c r="N2499">
        <v>-2017425</v>
      </c>
      <c r="O2499">
        <v>-2017425</v>
      </c>
      <c r="P2499">
        <v>0</v>
      </c>
      <c r="Q2499">
        <v>-2017425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 t="s">
        <v>47</v>
      </c>
      <c r="AA2499" t="s">
        <v>501</v>
      </c>
      <c r="AB2499" t="s">
        <v>51</v>
      </c>
      <c r="AC2499" t="s">
        <v>51</v>
      </c>
      <c r="AD2499" t="s">
        <v>51</v>
      </c>
      <c r="AE2499" t="s">
        <v>51</v>
      </c>
      <c r="AF2499" t="s">
        <v>1943</v>
      </c>
    </row>
    <row r="2500" spans="1:32" ht="14.5" customHeight="1" x14ac:dyDescent="0.35">
      <c r="A2500" t="s">
        <v>774</v>
      </c>
      <c r="B2500" t="s">
        <v>1297</v>
      </c>
      <c r="C2500" t="s">
        <v>47</v>
      </c>
      <c r="D2500">
        <v>3100062</v>
      </c>
      <c r="E2500">
        <v>3100062</v>
      </c>
      <c r="F2500" t="s">
        <v>1925</v>
      </c>
      <c r="G2500" t="s">
        <v>1925</v>
      </c>
      <c r="H2500" t="s">
        <v>54</v>
      </c>
      <c r="I2500">
        <v>6959095</v>
      </c>
      <c r="J2500" s="12">
        <v>46125</v>
      </c>
      <c r="K2500" s="12">
        <v>46125</v>
      </c>
      <c r="L2500" s="12">
        <v>46125</v>
      </c>
      <c r="M2500">
        <v>7</v>
      </c>
      <c r="N2500">
        <v>-235483</v>
      </c>
      <c r="O2500">
        <v>-235483</v>
      </c>
      <c r="P2500">
        <v>0</v>
      </c>
      <c r="Q2500">
        <v>-235483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 t="s">
        <v>47</v>
      </c>
      <c r="AA2500" t="s">
        <v>501</v>
      </c>
      <c r="AB2500" t="s">
        <v>51</v>
      </c>
      <c r="AC2500" t="s">
        <v>51</v>
      </c>
      <c r="AD2500" t="s">
        <v>51</v>
      </c>
      <c r="AE2500" t="s">
        <v>51</v>
      </c>
      <c r="AF2500" t="s">
        <v>1929</v>
      </c>
    </row>
    <row r="2501" spans="1:32" ht="14.5" customHeight="1" x14ac:dyDescent="0.35">
      <c r="A2501" t="s">
        <v>774</v>
      </c>
      <c r="B2501" t="s">
        <v>1297</v>
      </c>
      <c r="C2501" t="s">
        <v>47</v>
      </c>
      <c r="D2501">
        <v>3100062</v>
      </c>
      <c r="E2501">
        <v>3100062</v>
      </c>
      <c r="F2501" t="s">
        <v>1925</v>
      </c>
      <c r="G2501" t="s">
        <v>1925</v>
      </c>
      <c r="H2501" t="s">
        <v>54</v>
      </c>
      <c r="I2501">
        <v>6959096</v>
      </c>
      <c r="J2501" s="12">
        <v>46125</v>
      </c>
      <c r="K2501" s="12">
        <v>46125</v>
      </c>
      <c r="L2501" s="12">
        <v>46125</v>
      </c>
      <c r="M2501">
        <v>7</v>
      </c>
      <c r="N2501">
        <v>-40150</v>
      </c>
      <c r="O2501">
        <v>-40150</v>
      </c>
      <c r="P2501">
        <v>0</v>
      </c>
      <c r="Q2501">
        <v>-40150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 t="s">
        <v>47</v>
      </c>
      <c r="AA2501" t="s">
        <v>501</v>
      </c>
      <c r="AB2501" t="s">
        <v>51</v>
      </c>
      <c r="AC2501" t="s">
        <v>51</v>
      </c>
      <c r="AD2501" t="s">
        <v>51</v>
      </c>
      <c r="AE2501" t="s">
        <v>51</v>
      </c>
      <c r="AF2501" t="s">
        <v>1942</v>
      </c>
    </row>
    <row r="2502" spans="1:32" ht="14.5" customHeight="1" x14ac:dyDescent="0.35">
      <c r="A2502" t="s">
        <v>774</v>
      </c>
      <c r="B2502" t="s">
        <v>1297</v>
      </c>
      <c r="C2502" t="s">
        <v>47</v>
      </c>
      <c r="D2502">
        <v>3100062</v>
      </c>
      <c r="E2502">
        <v>3100062</v>
      </c>
      <c r="F2502" t="s">
        <v>1925</v>
      </c>
      <c r="G2502" t="s">
        <v>1925</v>
      </c>
      <c r="H2502" t="s">
        <v>54</v>
      </c>
      <c r="I2502">
        <v>6959166</v>
      </c>
      <c r="J2502" s="12">
        <v>46125</v>
      </c>
      <c r="K2502" s="12">
        <v>46125</v>
      </c>
      <c r="L2502" s="12">
        <v>46125</v>
      </c>
      <c r="M2502">
        <v>7</v>
      </c>
      <c r="N2502">
        <v>-54221501</v>
      </c>
      <c r="O2502">
        <v>-54221501</v>
      </c>
      <c r="P2502">
        <v>0</v>
      </c>
      <c r="Q2502">
        <v>-54221501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 t="s">
        <v>47</v>
      </c>
      <c r="AA2502" t="s">
        <v>501</v>
      </c>
      <c r="AB2502" t="s">
        <v>51</v>
      </c>
      <c r="AC2502" t="s">
        <v>51</v>
      </c>
      <c r="AD2502" t="s">
        <v>51</v>
      </c>
      <c r="AE2502" t="s">
        <v>51</v>
      </c>
      <c r="AF2502" t="s">
        <v>1931</v>
      </c>
    </row>
    <row r="2503" spans="1:32" ht="14.5" customHeight="1" x14ac:dyDescent="0.35">
      <c r="A2503" t="s">
        <v>774</v>
      </c>
      <c r="B2503" t="s">
        <v>1297</v>
      </c>
      <c r="C2503" t="s">
        <v>47</v>
      </c>
      <c r="D2503">
        <v>3100062</v>
      </c>
      <c r="E2503">
        <v>3100062</v>
      </c>
      <c r="F2503" t="s">
        <v>1925</v>
      </c>
      <c r="G2503" t="s">
        <v>1925</v>
      </c>
      <c r="H2503" t="s">
        <v>54</v>
      </c>
      <c r="I2503">
        <v>6959167</v>
      </c>
      <c r="J2503" s="12">
        <v>46125</v>
      </c>
      <c r="K2503" s="12">
        <v>46125</v>
      </c>
      <c r="L2503" s="12">
        <v>46125</v>
      </c>
      <c r="M2503">
        <v>7</v>
      </c>
      <c r="N2503">
        <v>-4285899</v>
      </c>
      <c r="O2503">
        <v>-4285899</v>
      </c>
      <c r="P2503">
        <v>0</v>
      </c>
      <c r="Q2503">
        <v>-4285899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 t="s">
        <v>47</v>
      </c>
      <c r="AA2503" t="s">
        <v>501</v>
      </c>
      <c r="AB2503" t="s">
        <v>51</v>
      </c>
      <c r="AC2503" t="s">
        <v>51</v>
      </c>
      <c r="AD2503" t="s">
        <v>51</v>
      </c>
      <c r="AE2503" t="s">
        <v>51</v>
      </c>
      <c r="AF2503" t="s">
        <v>1931</v>
      </c>
    </row>
    <row r="2504" spans="1:32" ht="14.5" customHeight="1" x14ac:dyDescent="0.35">
      <c r="A2504" t="s">
        <v>774</v>
      </c>
      <c r="B2504" t="s">
        <v>1297</v>
      </c>
      <c r="C2504" t="s">
        <v>47</v>
      </c>
      <c r="D2504">
        <v>3100062</v>
      </c>
      <c r="E2504">
        <v>3100062</v>
      </c>
      <c r="F2504" t="s">
        <v>1925</v>
      </c>
      <c r="G2504" t="s">
        <v>1925</v>
      </c>
      <c r="H2504" t="s">
        <v>111</v>
      </c>
      <c r="I2504">
        <v>6959188</v>
      </c>
      <c r="J2504" s="12">
        <v>46126</v>
      </c>
      <c r="K2504" s="12">
        <v>46126</v>
      </c>
      <c r="L2504" s="12">
        <v>46126</v>
      </c>
      <c r="M2504">
        <v>6</v>
      </c>
      <c r="N2504">
        <v>-230409</v>
      </c>
      <c r="O2504">
        <v>-230409</v>
      </c>
      <c r="P2504">
        <v>0</v>
      </c>
      <c r="Q2504">
        <v>-230409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 t="s">
        <v>47</v>
      </c>
      <c r="AA2504" t="s">
        <v>501</v>
      </c>
      <c r="AB2504" t="s">
        <v>51</v>
      </c>
      <c r="AC2504" t="s">
        <v>51</v>
      </c>
      <c r="AD2504" t="s">
        <v>51</v>
      </c>
      <c r="AE2504" t="s">
        <v>51</v>
      </c>
      <c r="AF2504" t="s">
        <v>1680</v>
      </c>
    </row>
    <row r="2505" spans="1:32" ht="14.5" customHeight="1" x14ac:dyDescent="0.35">
      <c r="A2505" t="s">
        <v>774</v>
      </c>
      <c r="B2505" t="s">
        <v>1297</v>
      </c>
      <c r="C2505" t="s">
        <v>47</v>
      </c>
      <c r="D2505">
        <v>3100062</v>
      </c>
      <c r="E2505">
        <v>3100062</v>
      </c>
      <c r="F2505" t="s">
        <v>1925</v>
      </c>
      <c r="G2505" t="s">
        <v>1925</v>
      </c>
      <c r="H2505" t="s">
        <v>54</v>
      </c>
      <c r="I2505">
        <v>6959371</v>
      </c>
      <c r="J2505" s="12">
        <v>46127</v>
      </c>
      <c r="K2505" s="12">
        <v>46127</v>
      </c>
      <c r="L2505" s="12">
        <v>46127</v>
      </c>
      <c r="M2505">
        <v>5</v>
      </c>
      <c r="N2505">
        <v>-1090000</v>
      </c>
      <c r="O2505">
        <v>-1090000</v>
      </c>
      <c r="P2505">
        <v>0</v>
      </c>
      <c r="Q2505">
        <v>-1090000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 t="s">
        <v>47</v>
      </c>
      <c r="AA2505" t="s">
        <v>501</v>
      </c>
      <c r="AB2505" t="s">
        <v>51</v>
      </c>
      <c r="AC2505" t="s">
        <v>51</v>
      </c>
      <c r="AD2505" t="s">
        <v>51</v>
      </c>
      <c r="AE2505" t="s">
        <v>51</v>
      </c>
      <c r="AF2505" t="s">
        <v>1937</v>
      </c>
    </row>
    <row r="2506" spans="1:32" ht="14.5" customHeight="1" x14ac:dyDescent="0.35">
      <c r="A2506" t="s">
        <v>774</v>
      </c>
      <c r="B2506" t="s">
        <v>1297</v>
      </c>
      <c r="C2506" t="s">
        <v>47</v>
      </c>
      <c r="D2506">
        <v>3100062</v>
      </c>
      <c r="E2506">
        <v>3100062</v>
      </c>
      <c r="F2506" t="s">
        <v>1925</v>
      </c>
      <c r="G2506" t="s">
        <v>1925</v>
      </c>
      <c r="H2506" t="s">
        <v>54</v>
      </c>
      <c r="I2506">
        <v>6959372</v>
      </c>
      <c r="J2506" s="12">
        <v>46127</v>
      </c>
      <c r="K2506" s="12">
        <v>46127</v>
      </c>
      <c r="L2506" s="12">
        <v>46127</v>
      </c>
      <c r="M2506">
        <v>5</v>
      </c>
      <c r="N2506">
        <v>-1376375</v>
      </c>
      <c r="O2506">
        <v>-1376375</v>
      </c>
      <c r="P2506">
        <v>0</v>
      </c>
      <c r="Q2506">
        <v>-1376375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 t="s">
        <v>47</v>
      </c>
      <c r="AA2506" t="s">
        <v>501</v>
      </c>
      <c r="AB2506" t="s">
        <v>51</v>
      </c>
      <c r="AC2506" t="s">
        <v>51</v>
      </c>
      <c r="AD2506" t="s">
        <v>51</v>
      </c>
      <c r="AE2506" t="s">
        <v>51</v>
      </c>
      <c r="AF2506" t="s">
        <v>1930</v>
      </c>
    </row>
    <row r="2507" spans="1:32" ht="14.5" customHeight="1" x14ac:dyDescent="0.35">
      <c r="A2507" t="s">
        <v>774</v>
      </c>
      <c r="B2507" t="s">
        <v>1297</v>
      </c>
      <c r="C2507" t="s">
        <v>47</v>
      </c>
      <c r="D2507">
        <v>3100062</v>
      </c>
      <c r="E2507">
        <v>3100062</v>
      </c>
      <c r="F2507" t="s">
        <v>1925</v>
      </c>
      <c r="G2507" t="s">
        <v>1925</v>
      </c>
      <c r="H2507" t="s">
        <v>54</v>
      </c>
      <c r="I2507">
        <v>6959373</v>
      </c>
      <c r="J2507" s="12">
        <v>46127</v>
      </c>
      <c r="K2507" s="12">
        <v>46127</v>
      </c>
      <c r="L2507" s="12">
        <v>46127</v>
      </c>
      <c r="M2507">
        <v>5</v>
      </c>
      <c r="N2507">
        <v>-4922500</v>
      </c>
      <c r="O2507">
        <v>-4922500</v>
      </c>
      <c r="P2507">
        <v>0</v>
      </c>
      <c r="Q2507">
        <v>-4922500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 t="s">
        <v>47</v>
      </c>
      <c r="AA2507" t="s">
        <v>501</v>
      </c>
      <c r="AB2507" t="s">
        <v>51</v>
      </c>
      <c r="AC2507" t="s">
        <v>51</v>
      </c>
      <c r="AD2507" t="s">
        <v>51</v>
      </c>
      <c r="AE2507" t="s">
        <v>51</v>
      </c>
      <c r="AF2507" t="s">
        <v>1930</v>
      </c>
    </row>
    <row r="2508" spans="1:32" ht="14.5" customHeight="1" x14ac:dyDescent="0.35">
      <c r="A2508" t="s">
        <v>774</v>
      </c>
      <c r="B2508" t="s">
        <v>1297</v>
      </c>
      <c r="C2508" t="s">
        <v>47</v>
      </c>
      <c r="D2508">
        <v>3100062</v>
      </c>
      <c r="E2508">
        <v>3100062</v>
      </c>
      <c r="F2508" t="s">
        <v>1925</v>
      </c>
      <c r="G2508" t="s">
        <v>1925</v>
      </c>
      <c r="H2508" t="s">
        <v>54</v>
      </c>
      <c r="I2508">
        <v>6959374</v>
      </c>
      <c r="J2508" s="12">
        <v>46127</v>
      </c>
      <c r="K2508" s="12">
        <v>46127</v>
      </c>
      <c r="L2508" s="12">
        <v>46127</v>
      </c>
      <c r="M2508">
        <v>5</v>
      </c>
      <c r="N2508">
        <v>-429000</v>
      </c>
      <c r="O2508">
        <v>-429000</v>
      </c>
      <c r="P2508">
        <v>0</v>
      </c>
      <c r="Q2508">
        <v>-429000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 t="s">
        <v>47</v>
      </c>
      <c r="AA2508" t="s">
        <v>501</v>
      </c>
      <c r="AB2508" t="s">
        <v>51</v>
      </c>
      <c r="AC2508" t="s">
        <v>51</v>
      </c>
      <c r="AD2508" t="s">
        <v>51</v>
      </c>
      <c r="AE2508" t="s">
        <v>51</v>
      </c>
      <c r="AF2508" t="s">
        <v>1932</v>
      </c>
    </row>
    <row r="2509" spans="1:32" ht="14.5" customHeight="1" x14ac:dyDescent="0.35">
      <c r="A2509" t="s">
        <v>774</v>
      </c>
      <c r="B2509" t="s">
        <v>1297</v>
      </c>
      <c r="C2509" t="s">
        <v>47</v>
      </c>
      <c r="D2509">
        <v>3100062</v>
      </c>
      <c r="E2509">
        <v>3100062</v>
      </c>
      <c r="F2509" t="s">
        <v>1925</v>
      </c>
      <c r="G2509" t="s">
        <v>1925</v>
      </c>
      <c r="H2509" t="s">
        <v>54</v>
      </c>
      <c r="I2509">
        <v>6959375</v>
      </c>
      <c r="J2509" s="12">
        <v>46127</v>
      </c>
      <c r="K2509" s="12">
        <v>46127</v>
      </c>
      <c r="L2509" s="12">
        <v>46127</v>
      </c>
      <c r="M2509">
        <v>5</v>
      </c>
      <c r="N2509">
        <v>-6175200</v>
      </c>
      <c r="O2509">
        <v>-6175200</v>
      </c>
      <c r="P2509">
        <v>0</v>
      </c>
      <c r="Q2509">
        <v>-6175200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 t="s">
        <v>47</v>
      </c>
      <c r="AA2509" t="s">
        <v>501</v>
      </c>
      <c r="AB2509" t="s">
        <v>51</v>
      </c>
      <c r="AC2509" t="s">
        <v>51</v>
      </c>
      <c r="AD2509" t="s">
        <v>51</v>
      </c>
      <c r="AE2509" t="s">
        <v>51</v>
      </c>
      <c r="AF2509" t="s">
        <v>1932</v>
      </c>
    </row>
    <row r="2510" spans="1:32" ht="14.5" customHeight="1" x14ac:dyDescent="0.35">
      <c r="A2510" t="s">
        <v>774</v>
      </c>
      <c r="B2510" t="s">
        <v>1297</v>
      </c>
      <c r="C2510" t="s">
        <v>47</v>
      </c>
      <c r="D2510">
        <v>3100062</v>
      </c>
      <c r="E2510">
        <v>3100062</v>
      </c>
      <c r="F2510" t="s">
        <v>1925</v>
      </c>
      <c r="G2510" t="s">
        <v>1925</v>
      </c>
      <c r="H2510" t="s">
        <v>54</v>
      </c>
      <c r="I2510">
        <v>6959376</v>
      </c>
      <c r="J2510" s="12">
        <v>46127</v>
      </c>
      <c r="K2510" s="12">
        <v>46127</v>
      </c>
      <c r="L2510" s="12">
        <v>46127</v>
      </c>
      <c r="M2510">
        <v>5</v>
      </c>
      <c r="N2510">
        <v>-185400</v>
      </c>
      <c r="O2510">
        <v>-185400</v>
      </c>
      <c r="P2510">
        <v>0</v>
      </c>
      <c r="Q2510">
        <v>-185400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 t="s">
        <v>47</v>
      </c>
      <c r="AA2510" t="s">
        <v>501</v>
      </c>
      <c r="AB2510" t="s">
        <v>51</v>
      </c>
      <c r="AC2510" t="s">
        <v>51</v>
      </c>
      <c r="AD2510" t="s">
        <v>51</v>
      </c>
      <c r="AE2510" t="s">
        <v>51</v>
      </c>
      <c r="AF2510" t="s">
        <v>1932</v>
      </c>
    </row>
    <row r="2511" spans="1:32" ht="14.5" customHeight="1" x14ac:dyDescent="0.35">
      <c r="A2511" t="s">
        <v>774</v>
      </c>
      <c r="B2511" t="s">
        <v>1297</v>
      </c>
      <c r="C2511" t="s">
        <v>47</v>
      </c>
      <c r="D2511">
        <v>3100062</v>
      </c>
      <c r="E2511">
        <v>3100062</v>
      </c>
      <c r="F2511" t="s">
        <v>1925</v>
      </c>
      <c r="G2511" t="s">
        <v>1925</v>
      </c>
      <c r="H2511" t="s">
        <v>54</v>
      </c>
      <c r="I2511">
        <v>6959377</v>
      </c>
      <c r="J2511" s="12">
        <v>46127</v>
      </c>
      <c r="K2511" s="12">
        <v>46127</v>
      </c>
      <c r="L2511" s="12">
        <v>46127</v>
      </c>
      <c r="M2511">
        <v>5</v>
      </c>
      <c r="N2511">
        <v>-2040000</v>
      </c>
      <c r="O2511">
        <v>-2040000</v>
      </c>
      <c r="P2511">
        <v>0</v>
      </c>
      <c r="Q2511">
        <v>-2040000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 t="s">
        <v>47</v>
      </c>
      <c r="AA2511" t="s">
        <v>501</v>
      </c>
      <c r="AB2511" t="s">
        <v>51</v>
      </c>
      <c r="AC2511" t="s">
        <v>51</v>
      </c>
      <c r="AD2511" t="s">
        <v>51</v>
      </c>
      <c r="AE2511" t="s">
        <v>51</v>
      </c>
      <c r="AF2511" t="s">
        <v>1932</v>
      </c>
    </row>
    <row r="2512" spans="1:32" ht="14.5" customHeight="1" x14ac:dyDescent="0.35">
      <c r="A2512" t="s">
        <v>774</v>
      </c>
      <c r="B2512" t="s">
        <v>1297</v>
      </c>
      <c r="C2512" t="s">
        <v>47</v>
      </c>
      <c r="D2512">
        <v>3100062</v>
      </c>
      <c r="E2512">
        <v>3100062</v>
      </c>
      <c r="F2512" t="s">
        <v>1925</v>
      </c>
      <c r="G2512" t="s">
        <v>1925</v>
      </c>
      <c r="H2512" t="s">
        <v>54</v>
      </c>
      <c r="I2512">
        <v>6959378</v>
      </c>
      <c r="J2512" s="12">
        <v>46127</v>
      </c>
      <c r="K2512" s="12">
        <v>46127</v>
      </c>
      <c r="L2512" s="12">
        <v>46127</v>
      </c>
      <c r="M2512">
        <v>5</v>
      </c>
      <c r="N2512">
        <v>-2671590</v>
      </c>
      <c r="O2512">
        <v>-2671590</v>
      </c>
      <c r="P2512">
        <v>0</v>
      </c>
      <c r="Q2512">
        <v>-2671590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 t="s">
        <v>47</v>
      </c>
      <c r="AA2512" t="s">
        <v>501</v>
      </c>
      <c r="AB2512" t="s">
        <v>51</v>
      </c>
      <c r="AC2512" t="s">
        <v>51</v>
      </c>
      <c r="AD2512" t="s">
        <v>51</v>
      </c>
      <c r="AE2512" t="s">
        <v>51</v>
      </c>
      <c r="AF2512" t="s">
        <v>1944</v>
      </c>
    </row>
    <row r="2513" spans="1:32" ht="14.5" customHeight="1" x14ac:dyDescent="0.35">
      <c r="A2513" t="s">
        <v>774</v>
      </c>
      <c r="B2513" t="s">
        <v>1297</v>
      </c>
      <c r="C2513" t="s">
        <v>47</v>
      </c>
      <c r="D2513">
        <v>3100062</v>
      </c>
      <c r="E2513">
        <v>3100062</v>
      </c>
      <c r="F2513" t="s">
        <v>1925</v>
      </c>
      <c r="G2513" t="s">
        <v>1925</v>
      </c>
      <c r="H2513" t="s">
        <v>54</v>
      </c>
      <c r="I2513">
        <v>6959379</v>
      </c>
      <c r="J2513" s="12">
        <v>46127</v>
      </c>
      <c r="K2513" s="12">
        <v>46127</v>
      </c>
      <c r="L2513" s="12">
        <v>46127</v>
      </c>
      <c r="M2513">
        <v>5</v>
      </c>
      <c r="N2513">
        <v>-84000</v>
      </c>
      <c r="O2513">
        <v>-84000</v>
      </c>
      <c r="P2513">
        <v>0</v>
      </c>
      <c r="Q2513">
        <v>-84000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 t="s">
        <v>47</v>
      </c>
      <c r="AA2513" t="s">
        <v>501</v>
      </c>
      <c r="AB2513" t="s">
        <v>51</v>
      </c>
      <c r="AC2513" t="s">
        <v>51</v>
      </c>
      <c r="AD2513" t="s">
        <v>51</v>
      </c>
      <c r="AE2513" t="s">
        <v>51</v>
      </c>
      <c r="AF2513" t="s">
        <v>1930</v>
      </c>
    </row>
    <row r="2514" spans="1:32" ht="14.5" customHeight="1" x14ac:dyDescent="0.35">
      <c r="A2514" t="s">
        <v>774</v>
      </c>
      <c r="B2514" t="s">
        <v>1297</v>
      </c>
      <c r="C2514" t="s">
        <v>47</v>
      </c>
      <c r="D2514">
        <v>3100062</v>
      </c>
      <c r="E2514">
        <v>3100062</v>
      </c>
      <c r="F2514" t="s">
        <v>1925</v>
      </c>
      <c r="G2514" t="s">
        <v>1925</v>
      </c>
      <c r="H2514" t="s">
        <v>54</v>
      </c>
      <c r="I2514">
        <v>6959380</v>
      </c>
      <c r="J2514" s="12">
        <v>46127</v>
      </c>
      <c r="K2514" s="12">
        <v>46127</v>
      </c>
      <c r="L2514" s="12">
        <v>46127</v>
      </c>
      <c r="M2514">
        <v>5</v>
      </c>
      <c r="N2514">
        <v>-6039000</v>
      </c>
      <c r="O2514">
        <v>-6039000</v>
      </c>
      <c r="P2514">
        <v>0</v>
      </c>
      <c r="Q2514">
        <v>-6039000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 t="s">
        <v>47</v>
      </c>
      <c r="AA2514" t="s">
        <v>501</v>
      </c>
      <c r="AB2514" t="s">
        <v>51</v>
      </c>
      <c r="AC2514" t="s">
        <v>51</v>
      </c>
      <c r="AD2514" t="s">
        <v>51</v>
      </c>
      <c r="AE2514" t="s">
        <v>51</v>
      </c>
      <c r="AF2514" t="s">
        <v>1930</v>
      </c>
    </row>
    <row r="2515" spans="1:32" ht="14.5" customHeight="1" x14ac:dyDescent="0.35">
      <c r="A2515" t="s">
        <v>774</v>
      </c>
      <c r="B2515" t="s">
        <v>1297</v>
      </c>
      <c r="C2515" t="s">
        <v>47</v>
      </c>
      <c r="D2515">
        <v>3100062</v>
      </c>
      <c r="E2515">
        <v>3100062</v>
      </c>
      <c r="F2515" t="s">
        <v>1925</v>
      </c>
      <c r="G2515" t="s">
        <v>1925</v>
      </c>
      <c r="H2515" t="s">
        <v>54</v>
      </c>
      <c r="I2515">
        <v>6959381</v>
      </c>
      <c r="J2515" s="12">
        <v>46127</v>
      </c>
      <c r="K2515" s="12">
        <v>46127</v>
      </c>
      <c r="L2515" s="12">
        <v>46127</v>
      </c>
      <c r="M2515">
        <v>5</v>
      </c>
      <c r="N2515">
        <v>-2961000</v>
      </c>
      <c r="O2515">
        <v>-2961000</v>
      </c>
      <c r="P2515">
        <v>0</v>
      </c>
      <c r="Q2515">
        <v>-2961000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 t="s">
        <v>47</v>
      </c>
      <c r="AA2515" t="s">
        <v>501</v>
      </c>
      <c r="AB2515" t="s">
        <v>51</v>
      </c>
      <c r="AC2515" t="s">
        <v>51</v>
      </c>
      <c r="AD2515" t="s">
        <v>51</v>
      </c>
      <c r="AE2515" t="s">
        <v>51</v>
      </c>
      <c r="AF2515" t="s">
        <v>1930</v>
      </c>
    </row>
    <row r="2516" spans="1:32" ht="14.5" customHeight="1" x14ac:dyDescent="0.35">
      <c r="A2516" t="s">
        <v>774</v>
      </c>
      <c r="B2516" t="s">
        <v>1297</v>
      </c>
      <c r="C2516" t="s">
        <v>47</v>
      </c>
      <c r="D2516">
        <v>3100062</v>
      </c>
      <c r="E2516">
        <v>3100062</v>
      </c>
      <c r="F2516" t="s">
        <v>1925</v>
      </c>
      <c r="G2516" t="s">
        <v>1925</v>
      </c>
      <c r="H2516" t="s">
        <v>54</v>
      </c>
      <c r="I2516">
        <v>6959382</v>
      </c>
      <c r="J2516" s="12">
        <v>46127</v>
      </c>
      <c r="K2516" s="12">
        <v>46127</v>
      </c>
      <c r="L2516" s="12">
        <v>46127</v>
      </c>
      <c r="M2516">
        <v>5</v>
      </c>
      <c r="N2516">
        <v>-3081000</v>
      </c>
      <c r="O2516">
        <v>-3081000</v>
      </c>
      <c r="P2516">
        <v>0</v>
      </c>
      <c r="Q2516">
        <v>-3081000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 t="s">
        <v>47</v>
      </c>
      <c r="AA2516" t="s">
        <v>501</v>
      </c>
      <c r="AB2516" t="s">
        <v>51</v>
      </c>
      <c r="AC2516" t="s">
        <v>51</v>
      </c>
      <c r="AD2516" t="s">
        <v>51</v>
      </c>
      <c r="AE2516" t="s">
        <v>51</v>
      </c>
      <c r="AF2516" t="s">
        <v>1930</v>
      </c>
    </row>
    <row r="2517" spans="1:32" ht="14.5" customHeight="1" x14ac:dyDescent="0.35">
      <c r="A2517" t="s">
        <v>774</v>
      </c>
      <c r="B2517" t="s">
        <v>1297</v>
      </c>
      <c r="C2517" t="s">
        <v>47</v>
      </c>
      <c r="D2517">
        <v>3100062</v>
      </c>
      <c r="E2517">
        <v>3100062</v>
      </c>
      <c r="F2517" t="s">
        <v>1925</v>
      </c>
      <c r="G2517" t="s">
        <v>1925</v>
      </c>
      <c r="H2517" t="s">
        <v>54</v>
      </c>
      <c r="I2517">
        <v>6959383</v>
      </c>
      <c r="J2517" s="12">
        <v>46127</v>
      </c>
      <c r="K2517" s="12">
        <v>46127</v>
      </c>
      <c r="L2517" s="12">
        <v>46127</v>
      </c>
      <c r="M2517">
        <v>5</v>
      </c>
      <c r="N2517">
        <v>-4932900</v>
      </c>
      <c r="O2517">
        <v>-4932900</v>
      </c>
      <c r="P2517">
        <v>0</v>
      </c>
      <c r="Q2517">
        <v>-4932900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 t="s">
        <v>47</v>
      </c>
      <c r="AA2517" t="s">
        <v>501</v>
      </c>
      <c r="AB2517" t="s">
        <v>51</v>
      </c>
      <c r="AC2517" t="s">
        <v>51</v>
      </c>
      <c r="AD2517" t="s">
        <v>51</v>
      </c>
      <c r="AE2517" t="s">
        <v>51</v>
      </c>
      <c r="AF2517" t="s">
        <v>1930</v>
      </c>
    </row>
    <row r="2518" spans="1:32" ht="14.5" customHeight="1" x14ac:dyDescent="0.35">
      <c r="A2518" t="s">
        <v>774</v>
      </c>
      <c r="B2518" t="s">
        <v>1297</v>
      </c>
      <c r="C2518" t="s">
        <v>47</v>
      </c>
      <c r="D2518">
        <v>3100062</v>
      </c>
      <c r="E2518">
        <v>3100062</v>
      </c>
      <c r="F2518" t="s">
        <v>1925</v>
      </c>
      <c r="G2518" t="s">
        <v>1925</v>
      </c>
      <c r="H2518" t="s">
        <v>54</v>
      </c>
      <c r="I2518">
        <v>6959384</v>
      </c>
      <c r="J2518" s="12">
        <v>46127</v>
      </c>
      <c r="K2518" s="12">
        <v>46127</v>
      </c>
      <c r="L2518" s="12">
        <v>46127</v>
      </c>
      <c r="M2518">
        <v>5</v>
      </c>
      <c r="N2518">
        <v>-2498600</v>
      </c>
      <c r="O2518">
        <v>-2498600</v>
      </c>
      <c r="P2518">
        <v>0</v>
      </c>
      <c r="Q2518">
        <v>-2498600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 t="s">
        <v>47</v>
      </c>
      <c r="AA2518" t="s">
        <v>501</v>
      </c>
      <c r="AB2518" t="s">
        <v>51</v>
      </c>
      <c r="AC2518" t="s">
        <v>51</v>
      </c>
      <c r="AD2518" t="s">
        <v>51</v>
      </c>
      <c r="AE2518" t="s">
        <v>51</v>
      </c>
      <c r="AF2518" t="s">
        <v>1930</v>
      </c>
    </row>
    <row r="2519" spans="1:32" ht="14.5" customHeight="1" x14ac:dyDescent="0.35">
      <c r="A2519" t="s">
        <v>774</v>
      </c>
      <c r="B2519" t="s">
        <v>1297</v>
      </c>
      <c r="C2519" t="s">
        <v>47</v>
      </c>
      <c r="D2519">
        <v>3100062</v>
      </c>
      <c r="E2519">
        <v>3100062</v>
      </c>
      <c r="F2519" t="s">
        <v>1925</v>
      </c>
      <c r="G2519" t="s">
        <v>1925</v>
      </c>
      <c r="H2519" t="s">
        <v>54</v>
      </c>
      <c r="I2519">
        <v>6959385</v>
      </c>
      <c r="J2519" s="12">
        <v>46127</v>
      </c>
      <c r="K2519" s="12">
        <v>46127</v>
      </c>
      <c r="L2519" s="12">
        <v>46127</v>
      </c>
      <c r="M2519">
        <v>5</v>
      </c>
      <c r="N2519">
        <v>-3323100</v>
      </c>
      <c r="O2519">
        <v>-3323100</v>
      </c>
      <c r="P2519">
        <v>0</v>
      </c>
      <c r="Q2519">
        <v>-3323100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 t="s">
        <v>47</v>
      </c>
      <c r="AA2519" t="s">
        <v>501</v>
      </c>
      <c r="AB2519" t="s">
        <v>51</v>
      </c>
      <c r="AC2519" t="s">
        <v>51</v>
      </c>
      <c r="AD2519" t="s">
        <v>51</v>
      </c>
      <c r="AE2519" t="s">
        <v>51</v>
      </c>
      <c r="AF2519" t="s">
        <v>1930</v>
      </c>
    </row>
    <row r="2520" spans="1:32" ht="14.5" customHeight="1" x14ac:dyDescent="0.35">
      <c r="A2520" t="s">
        <v>774</v>
      </c>
      <c r="B2520" t="s">
        <v>1297</v>
      </c>
      <c r="C2520" t="s">
        <v>47</v>
      </c>
      <c r="D2520">
        <v>3100062</v>
      </c>
      <c r="E2520">
        <v>3100062</v>
      </c>
      <c r="F2520" t="s">
        <v>1925</v>
      </c>
      <c r="G2520" t="s">
        <v>1925</v>
      </c>
      <c r="H2520" t="s">
        <v>54</v>
      </c>
      <c r="I2520">
        <v>6959386</v>
      </c>
      <c r="J2520" s="12">
        <v>46127</v>
      </c>
      <c r="K2520" s="12">
        <v>46127</v>
      </c>
      <c r="L2520" s="12">
        <v>46127</v>
      </c>
      <c r="M2520">
        <v>5</v>
      </c>
      <c r="N2520">
        <v>-3084000</v>
      </c>
      <c r="O2520">
        <v>-3084000</v>
      </c>
      <c r="P2520">
        <v>0</v>
      </c>
      <c r="Q2520">
        <v>-3084000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 t="s">
        <v>47</v>
      </c>
      <c r="AA2520" t="s">
        <v>501</v>
      </c>
      <c r="AB2520" t="s">
        <v>51</v>
      </c>
      <c r="AC2520" t="s">
        <v>51</v>
      </c>
      <c r="AD2520" t="s">
        <v>51</v>
      </c>
      <c r="AE2520" t="s">
        <v>51</v>
      </c>
      <c r="AF2520" t="s">
        <v>1930</v>
      </c>
    </row>
    <row r="2521" spans="1:32" ht="14.5" customHeight="1" x14ac:dyDescent="0.35">
      <c r="A2521" t="s">
        <v>774</v>
      </c>
      <c r="B2521" t="s">
        <v>1297</v>
      </c>
      <c r="C2521" t="s">
        <v>47</v>
      </c>
      <c r="D2521">
        <v>3100062</v>
      </c>
      <c r="E2521">
        <v>3100062</v>
      </c>
      <c r="F2521" t="s">
        <v>1925</v>
      </c>
      <c r="G2521" t="s">
        <v>1925</v>
      </c>
      <c r="H2521" t="s">
        <v>54</v>
      </c>
      <c r="I2521">
        <v>6959387</v>
      </c>
      <c r="J2521" s="12">
        <v>46127</v>
      </c>
      <c r="K2521" s="12">
        <v>46127</v>
      </c>
      <c r="L2521" s="12">
        <v>46127</v>
      </c>
      <c r="M2521">
        <v>5</v>
      </c>
      <c r="N2521">
        <v>-2377375</v>
      </c>
      <c r="O2521">
        <v>-2377375</v>
      </c>
      <c r="P2521">
        <v>0</v>
      </c>
      <c r="Q2521">
        <v>-2377375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 t="s">
        <v>47</v>
      </c>
      <c r="AA2521" t="s">
        <v>501</v>
      </c>
      <c r="AB2521" t="s">
        <v>51</v>
      </c>
      <c r="AC2521" t="s">
        <v>51</v>
      </c>
      <c r="AD2521" t="s">
        <v>51</v>
      </c>
      <c r="AE2521" t="s">
        <v>51</v>
      </c>
      <c r="AF2521" t="s">
        <v>1930</v>
      </c>
    </row>
    <row r="2522" spans="1:32" ht="14.5" customHeight="1" x14ac:dyDescent="0.35">
      <c r="A2522" t="s">
        <v>774</v>
      </c>
      <c r="B2522" t="s">
        <v>1297</v>
      </c>
      <c r="C2522" t="s">
        <v>47</v>
      </c>
      <c r="D2522">
        <v>3100062</v>
      </c>
      <c r="E2522">
        <v>3100062</v>
      </c>
      <c r="F2522" t="s">
        <v>1925</v>
      </c>
      <c r="G2522" t="s">
        <v>1925</v>
      </c>
      <c r="H2522" t="s">
        <v>54</v>
      </c>
      <c r="I2522">
        <v>6959388</v>
      </c>
      <c r="J2522" s="12">
        <v>46127</v>
      </c>
      <c r="K2522" s="12">
        <v>46127</v>
      </c>
      <c r="L2522" s="12">
        <v>46127</v>
      </c>
      <c r="M2522">
        <v>5</v>
      </c>
      <c r="N2522">
        <v>-3810600</v>
      </c>
      <c r="O2522">
        <v>-3810600</v>
      </c>
      <c r="P2522">
        <v>0</v>
      </c>
      <c r="Q2522">
        <v>-3810600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 t="s">
        <v>47</v>
      </c>
      <c r="AA2522" t="s">
        <v>501</v>
      </c>
      <c r="AB2522" t="s">
        <v>51</v>
      </c>
      <c r="AC2522" t="s">
        <v>51</v>
      </c>
      <c r="AD2522" t="s">
        <v>51</v>
      </c>
      <c r="AE2522" t="s">
        <v>51</v>
      </c>
      <c r="AF2522" t="s">
        <v>1930</v>
      </c>
    </row>
    <row r="2523" spans="1:32" ht="14.5" customHeight="1" x14ac:dyDescent="0.35">
      <c r="A2523" t="s">
        <v>774</v>
      </c>
      <c r="B2523" t="s">
        <v>1297</v>
      </c>
      <c r="C2523" t="s">
        <v>47</v>
      </c>
      <c r="D2523">
        <v>3100062</v>
      </c>
      <c r="E2523">
        <v>3100062</v>
      </c>
      <c r="F2523" t="s">
        <v>1925</v>
      </c>
      <c r="G2523" t="s">
        <v>1925</v>
      </c>
      <c r="H2523" t="s">
        <v>54</v>
      </c>
      <c r="I2523">
        <v>6959389</v>
      </c>
      <c r="J2523" s="12">
        <v>46127</v>
      </c>
      <c r="K2523" s="12">
        <v>46127</v>
      </c>
      <c r="L2523" s="12">
        <v>46127</v>
      </c>
      <c r="M2523">
        <v>5</v>
      </c>
      <c r="N2523">
        <v>-1386000</v>
      </c>
      <c r="O2523">
        <v>-1386000</v>
      </c>
      <c r="P2523">
        <v>0</v>
      </c>
      <c r="Q2523">
        <v>-1386000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 t="s">
        <v>47</v>
      </c>
      <c r="AA2523" t="s">
        <v>501</v>
      </c>
      <c r="AB2523" t="s">
        <v>51</v>
      </c>
      <c r="AC2523" t="s">
        <v>51</v>
      </c>
      <c r="AD2523" t="s">
        <v>51</v>
      </c>
      <c r="AE2523" t="s">
        <v>51</v>
      </c>
      <c r="AF2523" t="s">
        <v>1931</v>
      </c>
    </row>
    <row r="2524" spans="1:32" ht="14.5" customHeight="1" x14ac:dyDescent="0.35">
      <c r="A2524" t="s">
        <v>774</v>
      </c>
      <c r="B2524" t="s">
        <v>1297</v>
      </c>
      <c r="C2524" t="s">
        <v>47</v>
      </c>
      <c r="D2524">
        <v>3100062</v>
      </c>
      <c r="E2524">
        <v>3100062</v>
      </c>
      <c r="F2524" t="s">
        <v>1925</v>
      </c>
      <c r="G2524" t="s">
        <v>1925</v>
      </c>
      <c r="H2524" t="s">
        <v>54</v>
      </c>
      <c r="I2524">
        <v>6959390</v>
      </c>
      <c r="J2524" s="12">
        <v>46127</v>
      </c>
      <c r="K2524" s="12">
        <v>46127</v>
      </c>
      <c r="L2524" s="12">
        <v>46127</v>
      </c>
      <c r="M2524">
        <v>5</v>
      </c>
      <c r="N2524">
        <v>-8430000</v>
      </c>
      <c r="O2524">
        <v>-8430000</v>
      </c>
      <c r="P2524">
        <v>0</v>
      </c>
      <c r="Q2524">
        <v>-8430000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 t="s">
        <v>47</v>
      </c>
      <c r="AA2524" t="s">
        <v>501</v>
      </c>
      <c r="AB2524" t="s">
        <v>51</v>
      </c>
      <c r="AC2524" t="s">
        <v>51</v>
      </c>
      <c r="AD2524" t="s">
        <v>51</v>
      </c>
      <c r="AE2524" t="s">
        <v>51</v>
      </c>
      <c r="AF2524" t="s">
        <v>1930</v>
      </c>
    </row>
    <row r="2525" spans="1:32" ht="14.5" customHeight="1" x14ac:dyDescent="0.35">
      <c r="A2525" t="s">
        <v>774</v>
      </c>
      <c r="B2525" t="s">
        <v>1297</v>
      </c>
      <c r="C2525" t="s">
        <v>47</v>
      </c>
      <c r="D2525">
        <v>3100062</v>
      </c>
      <c r="E2525">
        <v>3100062</v>
      </c>
      <c r="F2525" t="s">
        <v>1925</v>
      </c>
      <c r="G2525" t="s">
        <v>1925</v>
      </c>
      <c r="H2525" t="s">
        <v>54</v>
      </c>
      <c r="I2525">
        <v>6959391</v>
      </c>
      <c r="J2525" s="12">
        <v>46127</v>
      </c>
      <c r="K2525" s="12">
        <v>46127</v>
      </c>
      <c r="L2525" s="12">
        <v>46127</v>
      </c>
      <c r="M2525">
        <v>5</v>
      </c>
      <c r="N2525">
        <v>-2856000</v>
      </c>
      <c r="O2525">
        <v>-2856000</v>
      </c>
      <c r="P2525">
        <v>0</v>
      </c>
      <c r="Q2525">
        <v>-2856000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 t="s">
        <v>47</v>
      </c>
      <c r="AA2525" t="s">
        <v>501</v>
      </c>
      <c r="AB2525" t="s">
        <v>51</v>
      </c>
      <c r="AC2525" t="s">
        <v>51</v>
      </c>
      <c r="AD2525" t="s">
        <v>51</v>
      </c>
      <c r="AE2525" t="s">
        <v>51</v>
      </c>
      <c r="AF2525" t="s">
        <v>1930</v>
      </c>
    </row>
    <row r="2526" spans="1:32" ht="14.5" customHeight="1" x14ac:dyDescent="0.35">
      <c r="A2526" t="s">
        <v>774</v>
      </c>
      <c r="B2526" t="s">
        <v>1297</v>
      </c>
      <c r="C2526" t="s">
        <v>47</v>
      </c>
      <c r="D2526">
        <v>3100062</v>
      </c>
      <c r="E2526">
        <v>3100062</v>
      </c>
      <c r="F2526" t="s">
        <v>1925</v>
      </c>
      <c r="G2526" t="s">
        <v>1925</v>
      </c>
      <c r="H2526" t="s">
        <v>54</v>
      </c>
      <c r="I2526">
        <v>6959392</v>
      </c>
      <c r="J2526" s="12">
        <v>46127</v>
      </c>
      <c r="K2526" s="12">
        <v>46127</v>
      </c>
      <c r="L2526" s="12">
        <v>46127</v>
      </c>
      <c r="M2526">
        <v>5</v>
      </c>
      <c r="N2526">
        <v>-4823000</v>
      </c>
      <c r="O2526">
        <v>-4823000</v>
      </c>
      <c r="P2526">
        <v>0</v>
      </c>
      <c r="Q2526">
        <v>-4823000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 t="s">
        <v>47</v>
      </c>
      <c r="AA2526" t="s">
        <v>501</v>
      </c>
      <c r="AB2526" t="s">
        <v>51</v>
      </c>
      <c r="AC2526" t="s">
        <v>51</v>
      </c>
      <c r="AD2526" t="s">
        <v>51</v>
      </c>
      <c r="AE2526" t="s">
        <v>51</v>
      </c>
      <c r="AF2526" t="s">
        <v>1930</v>
      </c>
    </row>
    <row r="2527" spans="1:32" ht="14.5" customHeight="1" x14ac:dyDescent="0.35">
      <c r="A2527" t="s">
        <v>774</v>
      </c>
      <c r="B2527" t="s">
        <v>1297</v>
      </c>
      <c r="C2527" t="s">
        <v>47</v>
      </c>
      <c r="D2527">
        <v>3100062</v>
      </c>
      <c r="E2527">
        <v>3100062</v>
      </c>
      <c r="F2527" t="s">
        <v>1925</v>
      </c>
      <c r="G2527" t="s">
        <v>1925</v>
      </c>
      <c r="H2527" t="s">
        <v>54</v>
      </c>
      <c r="I2527">
        <v>6959393</v>
      </c>
      <c r="J2527" s="12">
        <v>46127</v>
      </c>
      <c r="K2527" s="12">
        <v>46127</v>
      </c>
      <c r="L2527" s="12">
        <v>46127</v>
      </c>
      <c r="M2527">
        <v>5</v>
      </c>
      <c r="N2527">
        <v>-3161100</v>
      </c>
      <c r="O2527">
        <v>-3161100</v>
      </c>
      <c r="P2527">
        <v>0</v>
      </c>
      <c r="Q2527">
        <v>-3161100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 t="s">
        <v>47</v>
      </c>
      <c r="AA2527" t="s">
        <v>501</v>
      </c>
      <c r="AB2527" t="s">
        <v>51</v>
      </c>
      <c r="AC2527" t="s">
        <v>51</v>
      </c>
      <c r="AD2527" t="s">
        <v>51</v>
      </c>
      <c r="AE2527" t="s">
        <v>51</v>
      </c>
      <c r="AF2527" t="s">
        <v>1930</v>
      </c>
    </row>
    <row r="2528" spans="1:32" ht="14.5" customHeight="1" x14ac:dyDescent="0.35">
      <c r="A2528" t="s">
        <v>774</v>
      </c>
      <c r="B2528" t="s">
        <v>1297</v>
      </c>
      <c r="C2528" t="s">
        <v>47</v>
      </c>
      <c r="D2528">
        <v>3100062</v>
      </c>
      <c r="E2528">
        <v>3100062</v>
      </c>
      <c r="F2528" t="s">
        <v>1925</v>
      </c>
      <c r="G2528" t="s">
        <v>1925</v>
      </c>
      <c r="H2528" t="s">
        <v>54</v>
      </c>
      <c r="I2528">
        <v>6959394</v>
      </c>
      <c r="J2528" s="12">
        <v>46127</v>
      </c>
      <c r="K2528" s="12">
        <v>46127</v>
      </c>
      <c r="L2528" s="12">
        <v>46127</v>
      </c>
      <c r="M2528">
        <v>5</v>
      </c>
      <c r="N2528">
        <v>-2792700</v>
      </c>
      <c r="O2528">
        <v>-2792700</v>
      </c>
      <c r="P2528">
        <v>0</v>
      </c>
      <c r="Q2528">
        <v>-2792700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 t="s">
        <v>47</v>
      </c>
      <c r="AA2528" t="s">
        <v>501</v>
      </c>
      <c r="AB2528" t="s">
        <v>51</v>
      </c>
      <c r="AC2528" t="s">
        <v>51</v>
      </c>
      <c r="AD2528" t="s">
        <v>51</v>
      </c>
      <c r="AE2528" t="s">
        <v>51</v>
      </c>
      <c r="AF2528" t="s">
        <v>1930</v>
      </c>
    </row>
    <row r="2529" spans="1:32" ht="14.5" customHeight="1" x14ac:dyDescent="0.35">
      <c r="A2529" t="s">
        <v>774</v>
      </c>
      <c r="B2529" t="s">
        <v>1297</v>
      </c>
      <c r="C2529" t="s">
        <v>47</v>
      </c>
      <c r="D2529">
        <v>3100062</v>
      </c>
      <c r="E2529">
        <v>3100062</v>
      </c>
      <c r="F2529" t="s">
        <v>1925</v>
      </c>
      <c r="G2529" t="s">
        <v>1925</v>
      </c>
      <c r="H2529" t="s">
        <v>54</v>
      </c>
      <c r="I2529">
        <v>6959395</v>
      </c>
      <c r="J2529" s="12">
        <v>46127</v>
      </c>
      <c r="K2529" s="12">
        <v>46127</v>
      </c>
      <c r="L2529" s="12">
        <v>46127</v>
      </c>
      <c r="M2529">
        <v>5</v>
      </c>
      <c r="N2529">
        <v>-3996000</v>
      </c>
      <c r="O2529">
        <v>-3996000</v>
      </c>
      <c r="P2529">
        <v>0</v>
      </c>
      <c r="Q2529">
        <v>-3996000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 t="s">
        <v>47</v>
      </c>
      <c r="AA2529" t="s">
        <v>501</v>
      </c>
      <c r="AB2529" t="s">
        <v>51</v>
      </c>
      <c r="AC2529" t="s">
        <v>51</v>
      </c>
      <c r="AD2529" t="s">
        <v>51</v>
      </c>
      <c r="AE2529" t="s">
        <v>51</v>
      </c>
      <c r="AF2529" t="s">
        <v>1930</v>
      </c>
    </row>
    <row r="2530" spans="1:32" ht="14.5" customHeight="1" x14ac:dyDescent="0.35">
      <c r="A2530" t="s">
        <v>774</v>
      </c>
      <c r="B2530" t="s">
        <v>1297</v>
      </c>
      <c r="C2530" t="s">
        <v>47</v>
      </c>
      <c r="D2530">
        <v>3100062</v>
      </c>
      <c r="E2530">
        <v>3100062</v>
      </c>
      <c r="F2530" t="s">
        <v>1925</v>
      </c>
      <c r="G2530" t="s">
        <v>1925</v>
      </c>
      <c r="H2530" t="s">
        <v>54</v>
      </c>
      <c r="I2530">
        <v>6959396</v>
      </c>
      <c r="J2530" s="12">
        <v>46127</v>
      </c>
      <c r="K2530" s="12">
        <v>46127</v>
      </c>
      <c r="L2530" s="12">
        <v>46127</v>
      </c>
      <c r="M2530">
        <v>5</v>
      </c>
      <c r="N2530">
        <v>-2370750</v>
      </c>
      <c r="O2530">
        <v>-2370750</v>
      </c>
      <c r="P2530">
        <v>0</v>
      </c>
      <c r="Q2530">
        <v>-2370750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 t="s">
        <v>47</v>
      </c>
      <c r="AA2530" t="s">
        <v>501</v>
      </c>
      <c r="AB2530" t="s">
        <v>51</v>
      </c>
      <c r="AC2530" t="s">
        <v>51</v>
      </c>
      <c r="AD2530" t="s">
        <v>51</v>
      </c>
      <c r="AE2530" t="s">
        <v>51</v>
      </c>
      <c r="AF2530" t="s">
        <v>1930</v>
      </c>
    </row>
    <row r="2531" spans="1:32" ht="14.5" customHeight="1" x14ac:dyDescent="0.35">
      <c r="A2531" t="s">
        <v>774</v>
      </c>
      <c r="B2531" t="s">
        <v>1297</v>
      </c>
      <c r="C2531" t="s">
        <v>47</v>
      </c>
      <c r="D2531">
        <v>3100062</v>
      </c>
      <c r="E2531">
        <v>3100062</v>
      </c>
      <c r="F2531" t="s">
        <v>1925</v>
      </c>
      <c r="G2531" t="s">
        <v>1925</v>
      </c>
      <c r="H2531" t="s">
        <v>54</v>
      </c>
      <c r="I2531">
        <v>6959397</v>
      </c>
      <c r="J2531" s="12">
        <v>46127</v>
      </c>
      <c r="K2531" s="12">
        <v>46127</v>
      </c>
      <c r="L2531" s="12">
        <v>46127</v>
      </c>
      <c r="M2531">
        <v>5</v>
      </c>
      <c r="N2531">
        <v>-2189400</v>
      </c>
      <c r="O2531">
        <v>-2189400</v>
      </c>
      <c r="P2531">
        <v>0</v>
      </c>
      <c r="Q2531">
        <v>-2189400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 t="s">
        <v>47</v>
      </c>
      <c r="AA2531" t="s">
        <v>501</v>
      </c>
      <c r="AB2531" t="s">
        <v>51</v>
      </c>
      <c r="AC2531" t="s">
        <v>51</v>
      </c>
      <c r="AD2531" t="s">
        <v>51</v>
      </c>
      <c r="AE2531" t="s">
        <v>51</v>
      </c>
      <c r="AF2531" t="s">
        <v>1930</v>
      </c>
    </row>
    <row r="2532" spans="1:32" ht="14.5" customHeight="1" x14ac:dyDescent="0.35">
      <c r="A2532" t="s">
        <v>774</v>
      </c>
      <c r="B2532" t="s">
        <v>1297</v>
      </c>
      <c r="C2532" t="s">
        <v>47</v>
      </c>
      <c r="D2532">
        <v>3100062</v>
      </c>
      <c r="E2532">
        <v>3100062</v>
      </c>
      <c r="F2532" t="s">
        <v>1925</v>
      </c>
      <c r="G2532" t="s">
        <v>1925</v>
      </c>
      <c r="H2532" t="s">
        <v>54</v>
      </c>
      <c r="I2532">
        <v>6959398</v>
      </c>
      <c r="J2532" s="12">
        <v>46127</v>
      </c>
      <c r="K2532" s="12">
        <v>46127</v>
      </c>
      <c r="L2532" s="12">
        <v>46127</v>
      </c>
      <c r="M2532">
        <v>5</v>
      </c>
      <c r="N2532">
        <v>-3426000</v>
      </c>
      <c r="O2532">
        <v>-3426000</v>
      </c>
      <c r="P2532">
        <v>0</v>
      </c>
      <c r="Q2532">
        <v>-3426000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 t="s">
        <v>47</v>
      </c>
      <c r="AA2532" t="s">
        <v>501</v>
      </c>
      <c r="AB2532" t="s">
        <v>51</v>
      </c>
      <c r="AC2532" t="s">
        <v>51</v>
      </c>
      <c r="AD2532" t="s">
        <v>51</v>
      </c>
      <c r="AE2532" t="s">
        <v>51</v>
      </c>
      <c r="AF2532" t="s">
        <v>1930</v>
      </c>
    </row>
    <row r="2533" spans="1:32" ht="14.5" customHeight="1" x14ac:dyDescent="0.35">
      <c r="A2533" t="s">
        <v>774</v>
      </c>
      <c r="B2533" t="s">
        <v>1297</v>
      </c>
      <c r="C2533" t="s">
        <v>47</v>
      </c>
      <c r="D2533">
        <v>3100062</v>
      </c>
      <c r="E2533">
        <v>3100062</v>
      </c>
      <c r="F2533" t="s">
        <v>1925</v>
      </c>
      <c r="G2533" t="s">
        <v>1925</v>
      </c>
      <c r="H2533" t="s">
        <v>54</v>
      </c>
      <c r="I2533">
        <v>6959399</v>
      </c>
      <c r="J2533" s="12">
        <v>46127</v>
      </c>
      <c r="K2533" s="12">
        <v>46127</v>
      </c>
      <c r="L2533" s="12">
        <v>46127</v>
      </c>
      <c r="M2533">
        <v>5</v>
      </c>
      <c r="N2533">
        <v>-3096000</v>
      </c>
      <c r="O2533">
        <v>-3096000</v>
      </c>
      <c r="P2533">
        <v>0</v>
      </c>
      <c r="Q2533">
        <v>-3096000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 t="s">
        <v>47</v>
      </c>
      <c r="AA2533" t="s">
        <v>501</v>
      </c>
      <c r="AB2533" t="s">
        <v>51</v>
      </c>
      <c r="AC2533" t="s">
        <v>51</v>
      </c>
      <c r="AD2533" t="s">
        <v>51</v>
      </c>
      <c r="AE2533" t="s">
        <v>51</v>
      </c>
      <c r="AF2533" t="s">
        <v>1930</v>
      </c>
    </row>
    <row r="2534" spans="1:32" ht="14.5" customHeight="1" x14ac:dyDescent="0.35">
      <c r="A2534" t="s">
        <v>774</v>
      </c>
      <c r="B2534" t="s">
        <v>1297</v>
      </c>
      <c r="C2534" t="s">
        <v>47</v>
      </c>
      <c r="D2534">
        <v>3100062</v>
      </c>
      <c r="E2534">
        <v>3100062</v>
      </c>
      <c r="F2534" t="s">
        <v>1925</v>
      </c>
      <c r="G2534" t="s">
        <v>1925</v>
      </c>
      <c r="H2534" t="s">
        <v>54</v>
      </c>
      <c r="I2534">
        <v>6959400</v>
      </c>
      <c r="J2534" s="12">
        <v>46127</v>
      </c>
      <c r="K2534" s="12">
        <v>46127</v>
      </c>
      <c r="L2534" s="12">
        <v>46127</v>
      </c>
      <c r="M2534">
        <v>5</v>
      </c>
      <c r="N2534">
        <v>-2483850</v>
      </c>
      <c r="O2534">
        <v>-2483850</v>
      </c>
      <c r="P2534">
        <v>0</v>
      </c>
      <c r="Q2534">
        <v>-2483850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 t="s">
        <v>47</v>
      </c>
      <c r="AA2534" t="s">
        <v>501</v>
      </c>
      <c r="AB2534" t="s">
        <v>51</v>
      </c>
      <c r="AC2534" t="s">
        <v>51</v>
      </c>
      <c r="AD2534" t="s">
        <v>51</v>
      </c>
      <c r="AE2534" t="s">
        <v>51</v>
      </c>
      <c r="AF2534" t="s">
        <v>1930</v>
      </c>
    </row>
    <row r="2535" spans="1:32" ht="14.5" customHeight="1" x14ac:dyDescent="0.35">
      <c r="A2535" t="s">
        <v>774</v>
      </c>
      <c r="B2535" t="s">
        <v>1297</v>
      </c>
      <c r="C2535" t="s">
        <v>47</v>
      </c>
      <c r="D2535">
        <v>3100062</v>
      </c>
      <c r="E2535">
        <v>3100062</v>
      </c>
      <c r="F2535" t="s">
        <v>1925</v>
      </c>
      <c r="G2535" t="s">
        <v>1925</v>
      </c>
      <c r="H2535" t="s">
        <v>54</v>
      </c>
      <c r="I2535">
        <v>6959401</v>
      </c>
      <c r="J2535" s="12">
        <v>46127</v>
      </c>
      <c r="K2535" s="12">
        <v>46127</v>
      </c>
      <c r="L2535" s="12">
        <v>46127</v>
      </c>
      <c r="M2535">
        <v>5</v>
      </c>
      <c r="N2535">
        <v>-3058600</v>
      </c>
      <c r="O2535">
        <v>-3058600</v>
      </c>
      <c r="P2535">
        <v>0</v>
      </c>
      <c r="Q2535">
        <v>-3058600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 t="s">
        <v>47</v>
      </c>
      <c r="AA2535" t="s">
        <v>501</v>
      </c>
      <c r="AB2535" t="s">
        <v>51</v>
      </c>
      <c r="AC2535" t="s">
        <v>51</v>
      </c>
      <c r="AD2535" t="s">
        <v>51</v>
      </c>
      <c r="AE2535" t="s">
        <v>51</v>
      </c>
      <c r="AF2535" t="s">
        <v>1930</v>
      </c>
    </row>
    <row r="2536" spans="1:32" ht="14.5" customHeight="1" x14ac:dyDescent="0.35">
      <c r="A2536" t="s">
        <v>774</v>
      </c>
      <c r="B2536" t="s">
        <v>1297</v>
      </c>
      <c r="C2536" t="s">
        <v>47</v>
      </c>
      <c r="D2536">
        <v>3100062</v>
      </c>
      <c r="E2536">
        <v>3100062</v>
      </c>
      <c r="F2536" t="s">
        <v>1925</v>
      </c>
      <c r="G2536" t="s">
        <v>1925</v>
      </c>
      <c r="H2536" t="s">
        <v>54</v>
      </c>
      <c r="I2536">
        <v>6959402</v>
      </c>
      <c r="J2536" s="12">
        <v>46127</v>
      </c>
      <c r="K2536" s="12">
        <v>46127</v>
      </c>
      <c r="L2536" s="12">
        <v>46127</v>
      </c>
      <c r="M2536">
        <v>5</v>
      </c>
      <c r="N2536">
        <v>-3879800</v>
      </c>
      <c r="O2536">
        <v>-3879800</v>
      </c>
      <c r="P2536">
        <v>0</v>
      </c>
      <c r="Q2536">
        <v>-3879800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 t="s">
        <v>47</v>
      </c>
      <c r="AA2536" t="s">
        <v>501</v>
      </c>
      <c r="AB2536" t="s">
        <v>51</v>
      </c>
      <c r="AC2536" t="s">
        <v>51</v>
      </c>
      <c r="AD2536" t="s">
        <v>51</v>
      </c>
      <c r="AE2536" t="s">
        <v>51</v>
      </c>
      <c r="AF2536" t="s">
        <v>1930</v>
      </c>
    </row>
    <row r="2537" spans="1:32" ht="14.5" customHeight="1" x14ac:dyDescent="0.35">
      <c r="A2537" t="s">
        <v>774</v>
      </c>
      <c r="B2537" t="s">
        <v>1297</v>
      </c>
      <c r="C2537" t="s">
        <v>47</v>
      </c>
      <c r="D2537">
        <v>3100062</v>
      </c>
      <c r="E2537">
        <v>3100062</v>
      </c>
      <c r="F2537" t="s">
        <v>1925</v>
      </c>
      <c r="G2537" t="s">
        <v>1925</v>
      </c>
      <c r="H2537" t="s">
        <v>54</v>
      </c>
      <c r="I2537">
        <v>6959403</v>
      </c>
      <c r="J2537" s="12">
        <v>46127</v>
      </c>
      <c r="K2537" s="12">
        <v>46127</v>
      </c>
      <c r="L2537" s="12">
        <v>46127</v>
      </c>
      <c r="M2537">
        <v>5</v>
      </c>
      <c r="N2537">
        <v>-4321400</v>
      </c>
      <c r="O2537">
        <v>-4321400</v>
      </c>
      <c r="P2537">
        <v>0</v>
      </c>
      <c r="Q2537">
        <v>-4321400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 t="s">
        <v>47</v>
      </c>
      <c r="AA2537" t="s">
        <v>501</v>
      </c>
      <c r="AB2537" t="s">
        <v>51</v>
      </c>
      <c r="AC2537" t="s">
        <v>51</v>
      </c>
      <c r="AD2537" t="s">
        <v>51</v>
      </c>
      <c r="AE2537" t="s">
        <v>51</v>
      </c>
      <c r="AF2537" t="s">
        <v>1930</v>
      </c>
    </row>
    <row r="2538" spans="1:32" ht="14.5" customHeight="1" x14ac:dyDescent="0.35">
      <c r="A2538" t="s">
        <v>774</v>
      </c>
      <c r="B2538" t="s">
        <v>1297</v>
      </c>
      <c r="C2538" t="s">
        <v>47</v>
      </c>
      <c r="D2538">
        <v>3100062</v>
      </c>
      <c r="E2538">
        <v>3100062</v>
      </c>
      <c r="F2538" t="s">
        <v>1925</v>
      </c>
      <c r="G2538" t="s">
        <v>1925</v>
      </c>
      <c r="H2538" t="s">
        <v>54</v>
      </c>
      <c r="I2538">
        <v>6959404</v>
      </c>
      <c r="J2538" s="12">
        <v>46127</v>
      </c>
      <c r="K2538" s="12">
        <v>46127</v>
      </c>
      <c r="L2538" s="12">
        <v>46127</v>
      </c>
      <c r="M2538">
        <v>5</v>
      </c>
      <c r="N2538">
        <v>-4074000</v>
      </c>
      <c r="O2538">
        <v>-4074000</v>
      </c>
      <c r="P2538">
        <v>0</v>
      </c>
      <c r="Q2538">
        <v>-4074000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 t="s">
        <v>47</v>
      </c>
      <c r="AA2538" t="s">
        <v>501</v>
      </c>
      <c r="AB2538" t="s">
        <v>51</v>
      </c>
      <c r="AC2538" t="s">
        <v>51</v>
      </c>
      <c r="AD2538" t="s">
        <v>51</v>
      </c>
      <c r="AE2538" t="s">
        <v>51</v>
      </c>
      <c r="AF2538" t="s">
        <v>1930</v>
      </c>
    </row>
    <row r="2539" spans="1:32" ht="14.5" customHeight="1" x14ac:dyDescent="0.35">
      <c r="A2539" t="s">
        <v>774</v>
      </c>
      <c r="B2539" t="s">
        <v>1297</v>
      </c>
      <c r="C2539" t="s">
        <v>47</v>
      </c>
      <c r="D2539">
        <v>3100062</v>
      </c>
      <c r="E2539">
        <v>3100062</v>
      </c>
      <c r="F2539" t="s">
        <v>1925</v>
      </c>
      <c r="G2539" t="s">
        <v>1925</v>
      </c>
      <c r="H2539" t="s">
        <v>54</v>
      </c>
      <c r="I2539">
        <v>6959405</v>
      </c>
      <c r="J2539" s="12">
        <v>46127</v>
      </c>
      <c r="K2539" s="12">
        <v>46127</v>
      </c>
      <c r="L2539" s="12">
        <v>46127</v>
      </c>
      <c r="M2539">
        <v>5</v>
      </c>
      <c r="N2539">
        <v>-2266350</v>
      </c>
      <c r="O2539">
        <v>-2266350</v>
      </c>
      <c r="P2539">
        <v>0</v>
      </c>
      <c r="Q2539">
        <v>-2266350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 t="s">
        <v>47</v>
      </c>
      <c r="AA2539" t="s">
        <v>501</v>
      </c>
      <c r="AB2539" t="s">
        <v>51</v>
      </c>
      <c r="AC2539" t="s">
        <v>51</v>
      </c>
      <c r="AD2539" t="s">
        <v>51</v>
      </c>
      <c r="AE2539" t="s">
        <v>51</v>
      </c>
      <c r="AF2539" t="s">
        <v>1930</v>
      </c>
    </row>
    <row r="2540" spans="1:32" ht="14.5" customHeight="1" x14ac:dyDescent="0.35">
      <c r="A2540" t="s">
        <v>774</v>
      </c>
      <c r="B2540" t="s">
        <v>1297</v>
      </c>
      <c r="C2540" t="s">
        <v>47</v>
      </c>
      <c r="D2540">
        <v>3100062</v>
      </c>
      <c r="E2540">
        <v>3100062</v>
      </c>
      <c r="F2540" t="s">
        <v>1925</v>
      </c>
      <c r="G2540" t="s">
        <v>1925</v>
      </c>
      <c r="H2540" t="s">
        <v>54</v>
      </c>
      <c r="I2540">
        <v>6959406</v>
      </c>
      <c r="J2540" s="12">
        <v>46127</v>
      </c>
      <c r="K2540" s="12">
        <v>46127</v>
      </c>
      <c r="L2540" s="12">
        <v>46127</v>
      </c>
      <c r="M2540">
        <v>5</v>
      </c>
      <c r="N2540">
        <v>-3192000</v>
      </c>
      <c r="O2540">
        <v>-3192000</v>
      </c>
      <c r="P2540">
        <v>0</v>
      </c>
      <c r="Q2540">
        <v>-3192000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 t="s">
        <v>47</v>
      </c>
      <c r="AA2540" t="s">
        <v>501</v>
      </c>
      <c r="AB2540" t="s">
        <v>51</v>
      </c>
      <c r="AC2540" t="s">
        <v>51</v>
      </c>
      <c r="AD2540" t="s">
        <v>51</v>
      </c>
      <c r="AE2540" t="s">
        <v>51</v>
      </c>
      <c r="AF2540" t="s">
        <v>1930</v>
      </c>
    </row>
    <row r="2541" spans="1:32" ht="14.5" customHeight="1" x14ac:dyDescent="0.35">
      <c r="A2541" t="s">
        <v>774</v>
      </c>
      <c r="B2541" t="s">
        <v>1297</v>
      </c>
      <c r="C2541" t="s">
        <v>47</v>
      </c>
      <c r="D2541">
        <v>3100062</v>
      </c>
      <c r="E2541">
        <v>3100062</v>
      </c>
      <c r="F2541" t="s">
        <v>1925</v>
      </c>
      <c r="G2541" t="s">
        <v>1925</v>
      </c>
      <c r="H2541" t="s">
        <v>54</v>
      </c>
      <c r="I2541">
        <v>6959407</v>
      </c>
      <c r="J2541" s="12">
        <v>46127</v>
      </c>
      <c r="K2541" s="12">
        <v>46127</v>
      </c>
      <c r="L2541" s="12">
        <v>46127</v>
      </c>
      <c r="M2541">
        <v>5</v>
      </c>
      <c r="N2541">
        <v>-3228000</v>
      </c>
      <c r="O2541">
        <v>-3228000</v>
      </c>
      <c r="P2541">
        <v>0</v>
      </c>
      <c r="Q2541">
        <v>-3228000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 t="s">
        <v>47</v>
      </c>
      <c r="AA2541" t="s">
        <v>501</v>
      </c>
      <c r="AB2541" t="s">
        <v>51</v>
      </c>
      <c r="AC2541" t="s">
        <v>51</v>
      </c>
      <c r="AD2541" t="s">
        <v>51</v>
      </c>
      <c r="AE2541" t="s">
        <v>51</v>
      </c>
      <c r="AF2541" t="s">
        <v>1930</v>
      </c>
    </row>
    <row r="2542" spans="1:32" ht="14.5" customHeight="1" x14ac:dyDescent="0.35">
      <c r="A2542" t="s">
        <v>774</v>
      </c>
      <c r="B2542" t="s">
        <v>1297</v>
      </c>
      <c r="C2542" t="s">
        <v>47</v>
      </c>
      <c r="D2542">
        <v>3100062</v>
      </c>
      <c r="E2542">
        <v>3100062</v>
      </c>
      <c r="F2542" t="s">
        <v>1925</v>
      </c>
      <c r="G2542" t="s">
        <v>1925</v>
      </c>
      <c r="H2542" t="s">
        <v>54</v>
      </c>
      <c r="I2542">
        <v>6959408</v>
      </c>
      <c r="J2542" s="12">
        <v>46127</v>
      </c>
      <c r="K2542" s="12">
        <v>46127</v>
      </c>
      <c r="L2542" s="12">
        <v>46127</v>
      </c>
      <c r="M2542">
        <v>5</v>
      </c>
      <c r="N2542">
        <v>-6060000</v>
      </c>
      <c r="O2542">
        <v>-6060000</v>
      </c>
      <c r="P2542">
        <v>0</v>
      </c>
      <c r="Q2542">
        <v>-6060000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 t="s">
        <v>47</v>
      </c>
      <c r="AA2542" t="s">
        <v>501</v>
      </c>
      <c r="AB2542" t="s">
        <v>51</v>
      </c>
      <c r="AC2542" t="s">
        <v>51</v>
      </c>
      <c r="AD2542" t="s">
        <v>51</v>
      </c>
      <c r="AE2542" t="s">
        <v>51</v>
      </c>
      <c r="AF2542" t="s">
        <v>1930</v>
      </c>
    </row>
    <row r="2543" spans="1:32" ht="14.5" customHeight="1" x14ac:dyDescent="0.35">
      <c r="A2543" t="s">
        <v>774</v>
      </c>
      <c r="B2543" t="s">
        <v>1297</v>
      </c>
      <c r="C2543" t="s">
        <v>47</v>
      </c>
      <c r="D2543">
        <v>3100062</v>
      </c>
      <c r="E2543">
        <v>3100062</v>
      </c>
      <c r="F2543" t="s">
        <v>1925</v>
      </c>
      <c r="G2543" t="s">
        <v>1925</v>
      </c>
      <c r="H2543" t="s">
        <v>54</v>
      </c>
      <c r="I2543">
        <v>6959409</v>
      </c>
      <c r="J2543" s="12">
        <v>46127</v>
      </c>
      <c r="K2543" s="12">
        <v>46127</v>
      </c>
      <c r="L2543" s="12">
        <v>46127</v>
      </c>
      <c r="M2543">
        <v>5</v>
      </c>
      <c r="N2543">
        <v>-6379600</v>
      </c>
      <c r="O2543">
        <v>-6379600</v>
      </c>
      <c r="P2543">
        <v>0</v>
      </c>
      <c r="Q2543">
        <v>-6379600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 t="s">
        <v>47</v>
      </c>
      <c r="AA2543" t="s">
        <v>501</v>
      </c>
      <c r="AB2543" t="s">
        <v>51</v>
      </c>
      <c r="AC2543" t="s">
        <v>51</v>
      </c>
      <c r="AD2543" t="s">
        <v>51</v>
      </c>
      <c r="AE2543" t="s">
        <v>51</v>
      </c>
      <c r="AF2543" t="s">
        <v>1930</v>
      </c>
    </row>
    <row r="2544" spans="1:32" ht="14.5" customHeight="1" x14ac:dyDescent="0.35">
      <c r="A2544" t="s">
        <v>774</v>
      </c>
      <c r="B2544" t="s">
        <v>1297</v>
      </c>
      <c r="C2544" t="s">
        <v>47</v>
      </c>
      <c r="D2544">
        <v>3100062</v>
      </c>
      <c r="E2544">
        <v>3100062</v>
      </c>
      <c r="F2544" t="s">
        <v>1925</v>
      </c>
      <c r="G2544" t="s">
        <v>1925</v>
      </c>
      <c r="H2544" t="s">
        <v>54</v>
      </c>
      <c r="I2544">
        <v>6959410</v>
      </c>
      <c r="J2544" s="12">
        <v>46127</v>
      </c>
      <c r="K2544" s="12">
        <v>46127</v>
      </c>
      <c r="L2544" s="12">
        <v>46127</v>
      </c>
      <c r="M2544">
        <v>5</v>
      </c>
      <c r="N2544">
        <v>-4962800</v>
      </c>
      <c r="O2544">
        <v>-4962800</v>
      </c>
      <c r="P2544">
        <v>0</v>
      </c>
      <c r="Q2544">
        <v>-4962800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 t="s">
        <v>47</v>
      </c>
      <c r="AA2544" t="s">
        <v>501</v>
      </c>
      <c r="AB2544" t="s">
        <v>51</v>
      </c>
      <c r="AC2544" t="s">
        <v>51</v>
      </c>
      <c r="AD2544" t="s">
        <v>51</v>
      </c>
      <c r="AE2544" t="s">
        <v>51</v>
      </c>
      <c r="AF2544" t="s">
        <v>1930</v>
      </c>
    </row>
    <row r="2545" spans="1:32" ht="14.5" customHeight="1" x14ac:dyDescent="0.35">
      <c r="A2545" t="s">
        <v>774</v>
      </c>
      <c r="B2545" t="s">
        <v>1297</v>
      </c>
      <c r="C2545" t="s">
        <v>47</v>
      </c>
      <c r="D2545">
        <v>3100062</v>
      </c>
      <c r="E2545">
        <v>3100062</v>
      </c>
      <c r="F2545" t="s">
        <v>1925</v>
      </c>
      <c r="G2545" t="s">
        <v>1925</v>
      </c>
      <c r="H2545" t="s">
        <v>54</v>
      </c>
      <c r="I2545">
        <v>6959411</v>
      </c>
      <c r="J2545" s="12">
        <v>46127</v>
      </c>
      <c r="K2545" s="12">
        <v>46127</v>
      </c>
      <c r="L2545" s="12">
        <v>46127</v>
      </c>
      <c r="M2545">
        <v>5</v>
      </c>
      <c r="N2545">
        <v>-6168300</v>
      </c>
      <c r="O2545">
        <v>-6168300</v>
      </c>
      <c r="P2545">
        <v>0</v>
      </c>
      <c r="Q2545">
        <v>-6168300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 t="s">
        <v>47</v>
      </c>
      <c r="AA2545" t="s">
        <v>501</v>
      </c>
      <c r="AB2545" t="s">
        <v>51</v>
      </c>
      <c r="AC2545" t="s">
        <v>51</v>
      </c>
      <c r="AD2545" t="s">
        <v>51</v>
      </c>
      <c r="AE2545" t="s">
        <v>51</v>
      </c>
      <c r="AF2545" t="s">
        <v>1930</v>
      </c>
    </row>
    <row r="2546" spans="1:32" ht="14.5" customHeight="1" x14ac:dyDescent="0.35">
      <c r="A2546" t="s">
        <v>774</v>
      </c>
      <c r="B2546" t="s">
        <v>1297</v>
      </c>
      <c r="C2546" t="s">
        <v>47</v>
      </c>
      <c r="D2546">
        <v>3100062</v>
      </c>
      <c r="E2546">
        <v>3100062</v>
      </c>
      <c r="F2546" t="s">
        <v>1925</v>
      </c>
      <c r="G2546" t="s">
        <v>1925</v>
      </c>
      <c r="H2546" t="s">
        <v>54</v>
      </c>
      <c r="I2546">
        <v>6959412</v>
      </c>
      <c r="J2546" s="12">
        <v>46127</v>
      </c>
      <c r="K2546" s="12">
        <v>46127</v>
      </c>
      <c r="L2546" s="12">
        <v>46127</v>
      </c>
      <c r="M2546">
        <v>5</v>
      </c>
      <c r="N2546">
        <v>-2423400</v>
      </c>
      <c r="O2546">
        <v>-2423400</v>
      </c>
      <c r="P2546">
        <v>0</v>
      </c>
      <c r="Q2546">
        <v>-2423400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 t="s">
        <v>47</v>
      </c>
      <c r="AA2546" t="s">
        <v>501</v>
      </c>
      <c r="AB2546" t="s">
        <v>51</v>
      </c>
      <c r="AC2546" t="s">
        <v>51</v>
      </c>
      <c r="AD2546" t="s">
        <v>51</v>
      </c>
      <c r="AE2546" t="s">
        <v>51</v>
      </c>
      <c r="AF2546" t="s">
        <v>1932</v>
      </c>
    </row>
    <row r="2547" spans="1:32" ht="14.5" customHeight="1" x14ac:dyDescent="0.35">
      <c r="A2547" t="s">
        <v>774</v>
      </c>
      <c r="B2547" t="s">
        <v>1297</v>
      </c>
      <c r="C2547" t="s">
        <v>47</v>
      </c>
      <c r="D2547">
        <v>3100062</v>
      </c>
      <c r="E2547">
        <v>3100062</v>
      </c>
      <c r="F2547" t="s">
        <v>1925</v>
      </c>
      <c r="G2547" t="s">
        <v>1925</v>
      </c>
      <c r="H2547" t="s">
        <v>54</v>
      </c>
      <c r="I2547">
        <v>6959413</v>
      </c>
      <c r="J2547" s="12">
        <v>46127</v>
      </c>
      <c r="K2547" s="12">
        <v>46127</v>
      </c>
      <c r="L2547" s="12">
        <v>46127</v>
      </c>
      <c r="M2547">
        <v>5</v>
      </c>
      <c r="N2547">
        <v>-8190000</v>
      </c>
      <c r="O2547">
        <v>-8190000</v>
      </c>
      <c r="P2547">
        <v>0</v>
      </c>
      <c r="Q2547">
        <v>-8190000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 t="s">
        <v>47</v>
      </c>
      <c r="AA2547" t="s">
        <v>501</v>
      </c>
      <c r="AB2547" t="s">
        <v>51</v>
      </c>
      <c r="AC2547" t="s">
        <v>51</v>
      </c>
      <c r="AD2547" t="s">
        <v>51</v>
      </c>
      <c r="AE2547" t="s">
        <v>51</v>
      </c>
      <c r="AF2547" t="s">
        <v>1932</v>
      </c>
    </row>
    <row r="2548" spans="1:32" ht="14.5" customHeight="1" x14ac:dyDescent="0.35">
      <c r="A2548" t="s">
        <v>774</v>
      </c>
      <c r="B2548" t="s">
        <v>1297</v>
      </c>
      <c r="C2548" t="s">
        <v>47</v>
      </c>
      <c r="D2548">
        <v>3100062</v>
      </c>
      <c r="E2548">
        <v>3100062</v>
      </c>
      <c r="F2548" t="s">
        <v>1925</v>
      </c>
      <c r="G2548" t="s">
        <v>1925</v>
      </c>
      <c r="H2548" t="s">
        <v>54</v>
      </c>
      <c r="I2548">
        <v>6959414</v>
      </c>
      <c r="J2548" s="12">
        <v>46127</v>
      </c>
      <c r="K2548" s="12">
        <v>46127</v>
      </c>
      <c r="L2548" s="12">
        <v>46127</v>
      </c>
      <c r="M2548">
        <v>5</v>
      </c>
      <c r="N2548">
        <v>-4761100</v>
      </c>
      <c r="O2548">
        <v>-4761100</v>
      </c>
      <c r="P2548">
        <v>0</v>
      </c>
      <c r="Q2548">
        <v>-4761100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 t="s">
        <v>47</v>
      </c>
      <c r="AA2548" t="s">
        <v>501</v>
      </c>
      <c r="AB2548" t="s">
        <v>51</v>
      </c>
      <c r="AC2548" t="s">
        <v>51</v>
      </c>
      <c r="AD2548" t="s">
        <v>51</v>
      </c>
      <c r="AE2548" t="s">
        <v>51</v>
      </c>
      <c r="AF2548" t="s">
        <v>1932</v>
      </c>
    </row>
    <row r="2549" spans="1:32" ht="14.5" customHeight="1" x14ac:dyDescent="0.35">
      <c r="A2549" t="s">
        <v>774</v>
      </c>
      <c r="B2549" t="s">
        <v>1297</v>
      </c>
      <c r="C2549" t="s">
        <v>47</v>
      </c>
      <c r="D2549">
        <v>3100062</v>
      </c>
      <c r="E2549">
        <v>3100062</v>
      </c>
      <c r="F2549" t="s">
        <v>1925</v>
      </c>
      <c r="G2549" t="s">
        <v>1925</v>
      </c>
      <c r="H2549" t="s">
        <v>54</v>
      </c>
      <c r="I2549">
        <v>6959415</v>
      </c>
      <c r="J2549" s="12">
        <v>46127</v>
      </c>
      <c r="K2549" s="12">
        <v>46127</v>
      </c>
      <c r="L2549" s="12">
        <v>46127</v>
      </c>
      <c r="M2549">
        <v>5</v>
      </c>
      <c r="N2549">
        <v>-3618000</v>
      </c>
      <c r="O2549">
        <v>-3618000</v>
      </c>
      <c r="P2549">
        <v>0</v>
      </c>
      <c r="Q2549">
        <v>-3618000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 t="s">
        <v>47</v>
      </c>
      <c r="AA2549" t="s">
        <v>501</v>
      </c>
      <c r="AB2549" t="s">
        <v>51</v>
      </c>
      <c r="AC2549" t="s">
        <v>51</v>
      </c>
      <c r="AD2549" t="s">
        <v>51</v>
      </c>
      <c r="AE2549" t="s">
        <v>51</v>
      </c>
      <c r="AF2549" t="s">
        <v>1932</v>
      </c>
    </row>
    <row r="2550" spans="1:32" ht="14.5" customHeight="1" x14ac:dyDescent="0.35">
      <c r="A2550" t="s">
        <v>774</v>
      </c>
      <c r="B2550" t="s">
        <v>1297</v>
      </c>
      <c r="C2550" t="s">
        <v>47</v>
      </c>
      <c r="D2550">
        <v>3100062</v>
      </c>
      <c r="E2550">
        <v>3100062</v>
      </c>
      <c r="F2550" t="s">
        <v>1925</v>
      </c>
      <c r="G2550" t="s">
        <v>1925</v>
      </c>
      <c r="H2550" t="s">
        <v>54</v>
      </c>
      <c r="I2550">
        <v>6959416</v>
      </c>
      <c r="J2550" s="12">
        <v>46127</v>
      </c>
      <c r="K2550" s="12">
        <v>46127</v>
      </c>
      <c r="L2550" s="12">
        <v>46127</v>
      </c>
      <c r="M2550">
        <v>5</v>
      </c>
      <c r="N2550">
        <v>-4410600</v>
      </c>
      <c r="O2550">
        <v>-4410600</v>
      </c>
      <c r="P2550">
        <v>0</v>
      </c>
      <c r="Q2550">
        <v>-4410600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 t="s">
        <v>47</v>
      </c>
      <c r="AA2550" t="s">
        <v>501</v>
      </c>
      <c r="AB2550" t="s">
        <v>51</v>
      </c>
      <c r="AC2550" t="s">
        <v>51</v>
      </c>
      <c r="AD2550" t="s">
        <v>51</v>
      </c>
      <c r="AE2550" t="s">
        <v>51</v>
      </c>
      <c r="AF2550" t="s">
        <v>1932</v>
      </c>
    </row>
    <row r="2551" spans="1:32" ht="14.5" customHeight="1" x14ac:dyDescent="0.35">
      <c r="A2551" t="s">
        <v>774</v>
      </c>
      <c r="B2551" t="s">
        <v>1297</v>
      </c>
      <c r="C2551" t="s">
        <v>47</v>
      </c>
      <c r="D2551">
        <v>3100062</v>
      </c>
      <c r="E2551">
        <v>3100062</v>
      </c>
      <c r="F2551" t="s">
        <v>1925</v>
      </c>
      <c r="G2551" t="s">
        <v>1925</v>
      </c>
      <c r="H2551" t="s">
        <v>54</v>
      </c>
      <c r="I2551">
        <v>6959417</v>
      </c>
      <c r="J2551" s="12">
        <v>46127</v>
      </c>
      <c r="K2551" s="12">
        <v>46127</v>
      </c>
      <c r="L2551" s="12">
        <v>46127</v>
      </c>
      <c r="M2551">
        <v>5</v>
      </c>
      <c r="N2551">
        <v>-1620100</v>
      </c>
      <c r="O2551">
        <v>-1620100</v>
      </c>
      <c r="P2551">
        <v>0</v>
      </c>
      <c r="Q2551">
        <v>-1620100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 t="s">
        <v>47</v>
      </c>
      <c r="AA2551" t="s">
        <v>501</v>
      </c>
      <c r="AB2551" t="s">
        <v>51</v>
      </c>
      <c r="AC2551" t="s">
        <v>51</v>
      </c>
      <c r="AD2551" t="s">
        <v>51</v>
      </c>
      <c r="AE2551" t="s">
        <v>51</v>
      </c>
      <c r="AF2551" t="s">
        <v>1931</v>
      </c>
    </row>
    <row r="2552" spans="1:32" ht="14.5" customHeight="1" x14ac:dyDescent="0.35">
      <c r="A2552" t="s">
        <v>774</v>
      </c>
      <c r="B2552" t="s">
        <v>1297</v>
      </c>
      <c r="C2552" t="s">
        <v>47</v>
      </c>
      <c r="D2552">
        <v>3100062</v>
      </c>
      <c r="E2552">
        <v>3100062</v>
      </c>
      <c r="F2552" t="s">
        <v>1925</v>
      </c>
      <c r="G2552" t="s">
        <v>1925</v>
      </c>
      <c r="H2552" t="s">
        <v>54</v>
      </c>
      <c r="I2552">
        <v>6959424</v>
      </c>
      <c r="J2552" s="12">
        <v>46127</v>
      </c>
      <c r="K2552" s="12">
        <v>46127</v>
      </c>
      <c r="L2552" s="12">
        <v>46127</v>
      </c>
      <c r="M2552">
        <v>5</v>
      </c>
      <c r="N2552">
        <v>-1206000</v>
      </c>
      <c r="O2552">
        <v>-1206000</v>
      </c>
      <c r="P2552">
        <v>0</v>
      </c>
      <c r="Q2552">
        <v>-1206000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 t="s">
        <v>47</v>
      </c>
      <c r="AA2552" t="s">
        <v>501</v>
      </c>
      <c r="AB2552" t="s">
        <v>51</v>
      </c>
      <c r="AC2552" t="s">
        <v>51</v>
      </c>
      <c r="AD2552" t="s">
        <v>51</v>
      </c>
      <c r="AE2552" t="s">
        <v>51</v>
      </c>
      <c r="AF2552" t="s">
        <v>1932</v>
      </c>
    </row>
    <row r="2553" spans="1:32" ht="14.5" customHeight="1" x14ac:dyDescent="0.35">
      <c r="A2553" t="s">
        <v>774</v>
      </c>
      <c r="B2553" t="s">
        <v>1297</v>
      </c>
      <c r="C2553" t="s">
        <v>47</v>
      </c>
      <c r="D2553">
        <v>3100062</v>
      </c>
      <c r="E2553">
        <v>3100062</v>
      </c>
      <c r="F2553" t="s">
        <v>1925</v>
      </c>
      <c r="G2553" t="s">
        <v>1925</v>
      </c>
      <c r="H2553" t="s">
        <v>54</v>
      </c>
      <c r="I2553">
        <v>6959425</v>
      </c>
      <c r="J2553" s="12">
        <v>46127</v>
      </c>
      <c r="K2553" s="12">
        <v>46127</v>
      </c>
      <c r="L2553" s="12">
        <v>46127</v>
      </c>
      <c r="M2553">
        <v>5</v>
      </c>
      <c r="N2553">
        <v>-2402000</v>
      </c>
      <c r="O2553">
        <v>-2402000</v>
      </c>
      <c r="P2553">
        <v>0</v>
      </c>
      <c r="Q2553">
        <v>-2402000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 t="s">
        <v>47</v>
      </c>
      <c r="AA2553" t="s">
        <v>501</v>
      </c>
      <c r="AB2553" t="s">
        <v>51</v>
      </c>
      <c r="AC2553" t="s">
        <v>51</v>
      </c>
      <c r="AD2553" t="s">
        <v>51</v>
      </c>
      <c r="AE2553" t="s">
        <v>51</v>
      </c>
      <c r="AF2553" t="s">
        <v>1932</v>
      </c>
    </row>
    <row r="2554" spans="1:32" ht="14.5" customHeight="1" x14ac:dyDescent="0.35">
      <c r="A2554" t="s">
        <v>774</v>
      </c>
      <c r="B2554" t="s">
        <v>1297</v>
      </c>
      <c r="C2554" t="s">
        <v>47</v>
      </c>
      <c r="D2554">
        <v>3100062</v>
      </c>
      <c r="E2554">
        <v>3100062</v>
      </c>
      <c r="F2554" t="s">
        <v>1925</v>
      </c>
      <c r="G2554" t="s">
        <v>1925</v>
      </c>
      <c r="H2554" t="s">
        <v>54</v>
      </c>
      <c r="I2554">
        <v>6959426</v>
      </c>
      <c r="J2554" s="12">
        <v>46127</v>
      </c>
      <c r="K2554" s="12">
        <v>46127</v>
      </c>
      <c r="L2554" s="12">
        <v>46127</v>
      </c>
      <c r="M2554">
        <v>5</v>
      </c>
      <c r="N2554">
        <v>-3069000</v>
      </c>
      <c r="O2554">
        <v>-3069000</v>
      </c>
      <c r="P2554">
        <v>0</v>
      </c>
      <c r="Q2554">
        <v>-3069000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 t="s">
        <v>47</v>
      </c>
      <c r="AA2554" t="s">
        <v>501</v>
      </c>
      <c r="AB2554" t="s">
        <v>51</v>
      </c>
      <c r="AC2554" t="s">
        <v>51</v>
      </c>
      <c r="AD2554" t="s">
        <v>51</v>
      </c>
      <c r="AE2554" t="s">
        <v>51</v>
      </c>
      <c r="AF2554" t="s">
        <v>1932</v>
      </c>
    </row>
    <row r="2555" spans="1:32" ht="14.5" customHeight="1" x14ac:dyDescent="0.35">
      <c r="A2555" t="s">
        <v>774</v>
      </c>
      <c r="B2555" t="s">
        <v>1297</v>
      </c>
      <c r="C2555" t="s">
        <v>47</v>
      </c>
      <c r="D2555">
        <v>3100062</v>
      </c>
      <c r="E2555">
        <v>3100062</v>
      </c>
      <c r="F2555" t="s">
        <v>1925</v>
      </c>
      <c r="G2555" t="s">
        <v>1925</v>
      </c>
      <c r="H2555" t="s">
        <v>54</v>
      </c>
      <c r="I2555">
        <v>6959427</v>
      </c>
      <c r="J2555" s="12">
        <v>46127</v>
      </c>
      <c r="K2555" s="12">
        <v>46127</v>
      </c>
      <c r="L2555" s="12">
        <v>46127</v>
      </c>
      <c r="M2555">
        <v>5</v>
      </c>
      <c r="N2555">
        <v>-7256000</v>
      </c>
      <c r="O2555">
        <v>-7256000</v>
      </c>
      <c r="P2555">
        <v>0</v>
      </c>
      <c r="Q2555">
        <v>-7256000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 t="s">
        <v>47</v>
      </c>
      <c r="AA2555" t="s">
        <v>501</v>
      </c>
      <c r="AB2555" t="s">
        <v>51</v>
      </c>
      <c r="AC2555" t="s">
        <v>51</v>
      </c>
      <c r="AD2555" t="s">
        <v>51</v>
      </c>
      <c r="AE2555" t="s">
        <v>51</v>
      </c>
      <c r="AF2555" t="s">
        <v>1932</v>
      </c>
    </row>
    <row r="2556" spans="1:32" ht="14.5" customHeight="1" x14ac:dyDescent="0.35">
      <c r="A2556" t="s">
        <v>774</v>
      </c>
      <c r="B2556" t="s">
        <v>1297</v>
      </c>
      <c r="C2556" t="s">
        <v>47</v>
      </c>
      <c r="D2556">
        <v>3100062</v>
      </c>
      <c r="E2556">
        <v>3100062</v>
      </c>
      <c r="F2556" t="s">
        <v>1925</v>
      </c>
      <c r="G2556" t="s">
        <v>1925</v>
      </c>
      <c r="H2556" t="s">
        <v>54</v>
      </c>
      <c r="I2556">
        <v>6959428</v>
      </c>
      <c r="J2556" s="12">
        <v>46127</v>
      </c>
      <c r="K2556" s="12">
        <v>46127</v>
      </c>
      <c r="L2556" s="12">
        <v>46127</v>
      </c>
      <c r="M2556">
        <v>5</v>
      </c>
      <c r="N2556">
        <v>-1936600</v>
      </c>
      <c r="O2556">
        <v>-1936600</v>
      </c>
      <c r="P2556">
        <v>0</v>
      </c>
      <c r="Q2556">
        <v>-1936600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 t="s">
        <v>47</v>
      </c>
      <c r="AA2556" t="s">
        <v>501</v>
      </c>
      <c r="AB2556" t="s">
        <v>51</v>
      </c>
      <c r="AC2556" t="s">
        <v>51</v>
      </c>
      <c r="AD2556" t="s">
        <v>51</v>
      </c>
      <c r="AE2556" t="s">
        <v>51</v>
      </c>
      <c r="AF2556" t="s">
        <v>1932</v>
      </c>
    </row>
    <row r="2557" spans="1:32" ht="14.5" customHeight="1" x14ac:dyDescent="0.35">
      <c r="A2557" t="s">
        <v>774</v>
      </c>
      <c r="B2557" t="s">
        <v>1297</v>
      </c>
      <c r="C2557" t="s">
        <v>47</v>
      </c>
      <c r="D2557">
        <v>3100062</v>
      </c>
      <c r="E2557">
        <v>3100062</v>
      </c>
      <c r="F2557" t="s">
        <v>1925</v>
      </c>
      <c r="G2557" t="s">
        <v>1925</v>
      </c>
      <c r="H2557" t="s">
        <v>54</v>
      </c>
      <c r="I2557">
        <v>6959429</v>
      </c>
      <c r="J2557" s="12">
        <v>46127</v>
      </c>
      <c r="K2557" s="12">
        <v>46127</v>
      </c>
      <c r="L2557" s="12">
        <v>46127</v>
      </c>
      <c r="M2557">
        <v>5</v>
      </c>
      <c r="N2557">
        <v>-4432700</v>
      </c>
      <c r="O2557">
        <v>-4432700</v>
      </c>
      <c r="P2557">
        <v>0</v>
      </c>
      <c r="Q2557">
        <v>-4432700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 t="s">
        <v>47</v>
      </c>
      <c r="AA2557" t="s">
        <v>501</v>
      </c>
      <c r="AB2557" t="s">
        <v>51</v>
      </c>
      <c r="AC2557" t="s">
        <v>51</v>
      </c>
      <c r="AD2557" t="s">
        <v>51</v>
      </c>
      <c r="AE2557" t="s">
        <v>51</v>
      </c>
      <c r="AF2557" t="s">
        <v>1932</v>
      </c>
    </row>
    <row r="2558" spans="1:32" ht="14.5" customHeight="1" x14ac:dyDescent="0.35">
      <c r="A2558" t="s">
        <v>774</v>
      </c>
      <c r="B2558" t="s">
        <v>1297</v>
      </c>
      <c r="C2558" t="s">
        <v>47</v>
      </c>
      <c r="D2558">
        <v>3100062</v>
      </c>
      <c r="E2558">
        <v>3100062</v>
      </c>
      <c r="F2558" t="s">
        <v>1925</v>
      </c>
      <c r="G2558" t="s">
        <v>1925</v>
      </c>
      <c r="H2558" t="s">
        <v>54</v>
      </c>
      <c r="I2558">
        <v>6959430</v>
      </c>
      <c r="J2558" s="12">
        <v>46127</v>
      </c>
      <c r="K2558" s="12">
        <v>46127</v>
      </c>
      <c r="L2558" s="12">
        <v>46127</v>
      </c>
      <c r="M2558">
        <v>5</v>
      </c>
      <c r="N2558">
        <v>-4931900</v>
      </c>
      <c r="O2558">
        <v>-4931900</v>
      </c>
      <c r="P2558">
        <v>0</v>
      </c>
      <c r="Q2558">
        <v>-4931900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 t="s">
        <v>47</v>
      </c>
      <c r="AA2558" t="s">
        <v>501</v>
      </c>
      <c r="AB2558" t="s">
        <v>51</v>
      </c>
      <c r="AC2558" t="s">
        <v>51</v>
      </c>
      <c r="AD2558" t="s">
        <v>51</v>
      </c>
      <c r="AE2558" t="s">
        <v>51</v>
      </c>
      <c r="AF2558" t="s">
        <v>1932</v>
      </c>
    </row>
    <row r="2559" spans="1:32" ht="14.5" customHeight="1" x14ac:dyDescent="0.35">
      <c r="A2559" t="s">
        <v>774</v>
      </c>
      <c r="B2559" t="s">
        <v>1297</v>
      </c>
      <c r="C2559" t="s">
        <v>47</v>
      </c>
      <c r="D2559">
        <v>3100062</v>
      </c>
      <c r="E2559">
        <v>3100062</v>
      </c>
      <c r="F2559" t="s">
        <v>1925</v>
      </c>
      <c r="G2559" t="s">
        <v>1925</v>
      </c>
      <c r="H2559" t="s">
        <v>54</v>
      </c>
      <c r="I2559">
        <v>6959431</v>
      </c>
      <c r="J2559" s="12">
        <v>46127</v>
      </c>
      <c r="K2559" s="12">
        <v>46127</v>
      </c>
      <c r="L2559" s="12">
        <v>46127</v>
      </c>
      <c r="M2559">
        <v>5</v>
      </c>
      <c r="N2559">
        <v>-1375500</v>
      </c>
      <c r="O2559">
        <v>-1375500</v>
      </c>
      <c r="P2559">
        <v>0</v>
      </c>
      <c r="Q2559">
        <v>-1375500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 t="s">
        <v>47</v>
      </c>
      <c r="AA2559" t="s">
        <v>501</v>
      </c>
      <c r="AB2559" t="s">
        <v>51</v>
      </c>
      <c r="AC2559" t="s">
        <v>51</v>
      </c>
      <c r="AD2559" t="s">
        <v>51</v>
      </c>
      <c r="AE2559" t="s">
        <v>51</v>
      </c>
      <c r="AF2559" t="s">
        <v>1932</v>
      </c>
    </row>
    <row r="2560" spans="1:32" ht="14.5" customHeight="1" x14ac:dyDescent="0.35">
      <c r="A2560" t="s">
        <v>774</v>
      </c>
      <c r="B2560" t="s">
        <v>1297</v>
      </c>
      <c r="C2560" t="s">
        <v>47</v>
      </c>
      <c r="D2560">
        <v>3100062</v>
      </c>
      <c r="E2560">
        <v>3100062</v>
      </c>
      <c r="F2560" t="s">
        <v>1925</v>
      </c>
      <c r="G2560" t="s">
        <v>1925</v>
      </c>
      <c r="H2560" t="s">
        <v>54</v>
      </c>
      <c r="I2560">
        <v>6959432</v>
      </c>
      <c r="J2560" s="12">
        <v>46127</v>
      </c>
      <c r="K2560" s="12">
        <v>46127</v>
      </c>
      <c r="L2560" s="12">
        <v>46127</v>
      </c>
      <c r="M2560">
        <v>5</v>
      </c>
      <c r="N2560">
        <v>-666001</v>
      </c>
      <c r="O2560">
        <v>-666001</v>
      </c>
      <c r="P2560">
        <v>0</v>
      </c>
      <c r="Q2560">
        <v>-666001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 t="s">
        <v>47</v>
      </c>
      <c r="AA2560" t="s">
        <v>501</v>
      </c>
      <c r="AB2560" t="s">
        <v>51</v>
      </c>
      <c r="AC2560" t="s">
        <v>51</v>
      </c>
      <c r="AD2560" t="s">
        <v>51</v>
      </c>
      <c r="AE2560" t="s">
        <v>51</v>
      </c>
      <c r="AF2560" t="s">
        <v>1932</v>
      </c>
    </row>
    <row r="2561" spans="1:32" ht="14.5" customHeight="1" x14ac:dyDescent="0.35">
      <c r="A2561" t="s">
        <v>774</v>
      </c>
      <c r="B2561" t="s">
        <v>1297</v>
      </c>
      <c r="C2561" t="s">
        <v>47</v>
      </c>
      <c r="D2561">
        <v>3100062</v>
      </c>
      <c r="E2561">
        <v>3100062</v>
      </c>
      <c r="F2561" t="s">
        <v>1925</v>
      </c>
      <c r="G2561" t="s">
        <v>1925</v>
      </c>
      <c r="H2561" t="s">
        <v>54</v>
      </c>
      <c r="I2561">
        <v>6959433</v>
      </c>
      <c r="J2561" s="12">
        <v>46127</v>
      </c>
      <c r="K2561" s="12">
        <v>46127</v>
      </c>
      <c r="L2561" s="12">
        <v>46127</v>
      </c>
      <c r="M2561">
        <v>5</v>
      </c>
      <c r="N2561">
        <v>-227920</v>
      </c>
      <c r="O2561">
        <v>-227920</v>
      </c>
      <c r="P2561">
        <v>0</v>
      </c>
      <c r="Q2561">
        <v>-227920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 t="s">
        <v>47</v>
      </c>
      <c r="AA2561" t="s">
        <v>501</v>
      </c>
      <c r="AB2561" t="s">
        <v>51</v>
      </c>
      <c r="AC2561" t="s">
        <v>51</v>
      </c>
      <c r="AD2561" t="s">
        <v>51</v>
      </c>
      <c r="AE2561" t="s">
        <v>51</v>
      </c>
      <c r="AF2561" t="s">
        <v>1932</v>
      </c>
    </row>
    <row r="2562" spans="1:32" ht="14.5" customHeight="1" x14ac:dyDescent="0.35">
      <c r="A2562" t="s">
        <v>774</v>
      </c>
      <c r="B2562" t="s">
        <v>1297</v>
      </c>
      <c r="C2562" t="s">
        <v>47</v>
      </c>
      <c r="D2562">
        <v>3100062</v>
      </c>
      <c r="E2562">
        <v>3100062</v>
      </c>
      <c r="F2562" t="s">
        <v>1925</v>
      </c>
      <c r="G2562" t="s">
        <v>1925</v>
      </c>
      <c r="H2562" t="s">
        <v>54</v>
      </c>
      <c r="I2562">
        <v>6959434</v>
      </c>
      <c r="J2562" s="12">
        <v>46127</v>
      </c>
      <c r="K2562" s="12">
        <v>46127</v>
      </c>
      <c r="L2562" s="12">
        <v>46127</v>
      </c>
      <c r="M2562">
        <v>5</v>
      </c>
      <c r="N2562">
        <v>-7636800</v>
      </c>
      <c r="O2562">
        <v>-7636800</v>
      </c>
      <c r="P2562">
        <v>0</v>
      </c>
      <c r="Q2562">
        <v>-7636800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 t="s">
        <v>47</v>
      </c>
      <c r="AA2562" t="s">
        <v>501</v>
      </c>
      <c r="AB2562" t="s">
        <v>51</v>
      </c>
      <c r="AC2562" t="s">
        <v>51</v>
      </c>
      <c r="AD2562" t="s">
        <v>51</v>
      </c>
      <c r="AE2562" t="s">
        <v>51</v>
      </c>
      <c r="AF2562" t="s">
        <v>1932</v>
      </c>
    </row>
    <row r="2563" spans="1:32" ht="14.5" customHeight="1" x14ac:dyDescent="0.35">
      <c r="A2563" t="s">
        <v>774</v>
      </c>
      <c r="B2563" t="s">
        <v>1297</v>
      </c>
      <c r="C2563" t="s">
        <v>47</v>
      </c>
      <c r="D2563">
        <v>3100062</v>
      </c>
      <c r="E2563">
        <v>3100062</v>
      </c>
      <c r="F2563" t="s">
        <v>1925</v>
      </c>
      <c r="G2563" t="s">
        <v>1925</v>
      </c>
      <c r="H2563" t="s">
        <v>54</v>
      </c>
      <c r="I2563">
        <v>6959435</v>
      </c>
      <c r="J2563" s="12">
        <v>46127</v>
      </c>
      <c r="K2563" s="12">
        <v>46127</v>
      </c>
      <c r="L2563" s="12">
        <v>46127</v>
      </c>
      <c r="M2563">
        <v>5</v>
      </c>
      <c r="N2563">
        <v>-3630000</v>
      </c>
      <c r="O2563">
        <v>-3630000</v>
      </c>
      <c r="P2563">
        <v>0</v>
      </c>
      <c r="Q2563">
        <v>-3630000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 t="s">
        <v>47</v>
      </c>
      <c r="AA2563" t="s">
        <v>501</v>
      </c>
      <c r="AB2563" t="s">
        <v>51</v>
      </c>
      <c r="AC2563" t="s">
        <v>51</v>
      </c>
      <c r="AD2563" t="s">
        <v>51</v>
      </c>
      <c r="AE2563" t="s">
        <v>51</v>
      </c>
      <c r="AF2563" t="s">
        <v>1932</v>
      </c>
    </row>
    <row r="2564" spans="1:32" ht="14.5" customHeight="1" x14ac:dyDescent="0.35">
      <c r="A2564" t="s">
        <v>774</v>
      </c>
      <c r="B2564" t="s">
        <v>1297</v>
      </c>
      <c r="C2564" t="s">
        <v>47</v>
      </c>
      <c r="D2564">
        <v>3100062</v>
      </c>
      <c r="E2564">
        <v>3100062</v>
      </c>
      <c r="F2564" t="s">
        <v>1925</v>
      </c>
      <c r="G2564" t="s">
        <v>1925</v>
      </c>
      <c r="H2564" t="s">
        <v>54</v>
      </c>
      <c r="I2564">
        <v>6959671</v>
      </c>
      <c r="J2564" s="12">
        <v>46128</v>
      </c>
      <c r="K2564" s="12">
        <v>46128</v>
      </c>
      <c r="L2564" s="12">
        <v>46128</v>
      </c>
      <c r="M2564">
        <v>4</v>
      </c>
      <c r="N2564">
        <v>-86400</v>
      </c>
      <c r="O2564">
        <v>-86400</v>
      </c>
      <c r="P2564">
        <v>0</v>
      </c>
      <c r="Q2564">
        <v>-86400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 t="s">
        <v>47</v>
      </c>
      <c r="AA2564" t="s">
        <v>501</v>
      </c>
      <c r="AB2564" t="s">
        <v>51</v>
      </c>
      <c r="AC2564" t="s">
        <v>51</v>
      </c>
      <c r="AD2564" t="s">
        <v>51</v>
      </c>
      <c r="AE2564" t="s">
        <v>51</v>
      </c>
      <c r="AF2564" t="s">
        <v>1942</v>
      </c>
    </row>
    <row r="2565" spans="1:32" ht="14.5" customHeight="1" x14ac:dyDescent="0.35">
      <c r="A2565" t="s">
        <v>774</v>
      </c>
      <c r="B2565" t="s">
        <v>1297</v>
      </c>
      <c r="C2565" t="s">
        <v>47</v>
      </c>
      <c r="D2565">
        <v>3100062</v>
      </c>
      <c r="E2565">
        <v>3100062</v>
      </c>
      <c r="F2565" t="s">
        <v>1925</v>
      </c>
      <c r="G2565" t="s">
        <v>1925</v>
      </c>
      <c r="H2565" t="s">
        <v>54</v>
      </c>
      <c r="I2565">
        <v>6960079</v>
      </c>
      <c r="J2565" s="12">
        <v>46130</v>
      </c>
      <c r="K2565" s="12">
        <v>46130</v>
      </c>
      <c r="L2565" s="12">
        <v>46130</v>
      </c>
      <c r="M2565">
        <v>2</v>
      </c>
      <c r="N2565">
        <v>-1238000</v>
      </c>
      <c r="O2565">
        <v>-1238000</v>
      </c>
      <c r="P2565">
        <v>0</v>
      </c>
      <c r="Q2565">
        <v>-1238000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 t="s">
        <v>47</v>
      </c>
      <c r="AA2565" t="s">
        <v>501</v>
      </c>
      <c r="AB2565" t="s">
        <v>51</v>
      </c>
      <c r="AC2565" t="s">
        <v>51</v>
      </c>
      <c r="AD2565" t="s">
        <v>51</v>
      </c>
      <c r="AE2565" t="s">
        <v>51</v>
      </c>
      <c r="AF2565" t="s">
        <v>1930</v>
      </c>
    </row>
    <row r="2566" spans="1:32" ht="14.5" customHeight="1" x14ac:dyDescent="0.35">
      <c r="A2566" t="s">
        <v>774</v>
      </c>
      <c r="B2566" t="s">
        <v>1297</v>
      </c>
      <c r="C2566" t="s">
        <v>47</v>
      </c>
      <c r="D2566">
        <v>3100062</v>
      </c>
      <c r="E2566">
        <v>3100062</v>
      </c>
      <c r="F2566" t="s">
        <v>1925</v>
      </c>
      <c r="G2566" t="s">
        <v>1925</v>
      </c>
      <c r="H2566" t="s">
        <v>140</v>
      </c>
      <c r="I2566">
        <v>9917302</v>
      </c>
      <c r="J2566" s="12">
        <v>46105</v>
      </c>
      <c r="K2566" s="12">
        <v>46105</v>
      </c>
      <c r="L2566" s="12">
        <v>46135</v>
      </c>
      <c r="M2566">
        <v>-3</v>
      </c>
      <c r="N2566">
        <v>7362026</v>
      </c>
      <c r="O2566">
        <v>0</v>
      </c>
      <c r="P2566">
        <v>7362026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 t="s">
        <v>47</v>
      </c>
      <c r="AA2566" t="s">
        <v>501</v>
      </c>
      <c r="AB2566" t="s">
        <v>51</v>
      </c>
      <c r="AC2566" t="s">
        <v>1945</v>
      </c>
      <c r="AD2566" t="s">
        <v>51</v>
      </c>
      <c r="AE2566" t="s">
        <v>51</v>
      </c>
      <c r="AF2566" t="s">
        <v>296</v>
      </c>
    </row>
    <row r="2567" spans="1:32" ht="14.5" customHeight="1" x14ac:dyDescent="0.35">
      <c r="A2567" t="s">
        <v>774</v>
      </c>
      <c r="B2567" t="s">
        <v>1297</v>
      </c>
      <c r="C2567" t="s">
        <v>47</v>
      </c>
      <c r="D2567">
        <v>3100062</v>
      </c>
      <c r="E2567">
        <v>3100062</v>
      </c>
      <c r="F2567" t="s">
        <v>1925</v>
      </c>
      <c r="G2567" t="s">
        <v>1925</v>
      </c>
      <c r="H2567" t="s">
        <v>54</v>
      </c>
      <c r="I2567">
        <v>9917590</v>
      </c>
      <c r="J2567" s="12">
        <v>46107</v>
      </c>
      <c r="K2567" s="12">
        <v>46107</v>
      </c>
      <c r="L2567" s="12">
        <v>46138</v>
      </c>
      <c r="M2567">
        <v>-6</v>
      </c>
      <c r="N2567">
        <v>814284853</v>
      </c>
      <c r="O2567">
        <v>0</v>
      </c>
      <c r="P2567">
        <v>814284853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 t="s">
        <v>47</v>
      </c>
      <c r="AA2567" t="s">
        <v>501</v>
      </c>
      <c r="AB2567" t="s">
        <v>51</v>
      </c>
      <c r="AC2567" t="s">
        <v>1946</v>
      </c>
      <c r="AD2567" t="s">
        <v>51</v>
      </c>
      <c r="AE2567" t="s">
        <v>51</v>
      </c>
      <c r="AF2567" t="s">
        <v>195</v>
      </c>
    </row>
    <row r="2568" spans="1:32" ht="14.5" customHeight="1" x14ac:dyDescent="0.35">
      <c r="A2568" t="s">
        <v>774</v>
      </c>
      <c r="B2568" t="s">
        <v>1297</v>
      </c>
      <c r="C2568" t="s">
        <v>47</v>
      </c>
      <c r="D2568">
        <v>3100062</v>
      </c>
      <c r="E2568">
        <v>3100062</v>
      </c>
      <c r="F2568" t="s">
        <v>1925</v>
      </c>
      <c r="G2568" t="s">
        <v>1925</v>
      </c>
      <c r="H2568" t="s">
        <v>54</v>
      </c>
      <c r="I2568">
        <v>9918463</v>
      </c>
      <c r="J2568" s="12">
        <v>46107</v>
      </c>
      <c r="K2568" s="12">
        <v>46107</v>
      </c>
      <c r="L2568" s="12">
        <v>46138</v>
      </c>
      <c r="M2568">
        <v>-6</v>
      </c>
      <c r="N2568">
        <v>600736782</v>
      </c>
      <c r="O2568">
        <v>0</v>
      </c>
      <c r="P2568">
        <v>600736782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 t="s">
        <v>47</v>
      </c>
      <c r="AA2568" t="s">
        <v>501</v>
      </c>
      <c r="AB2568" t="s">
        <v>51</v>
      </c>
      <c r="AC2568" t="s">
        <v>1947</v>
      </c>
      <c r="AD2568" t="s">
        <v>51</v>
      </c>
      <c r="AE2568" t="s">
        <v>51</v>
      </c>
      <c r="AF2568" t="s">
        <v>62</v>
      </c>
    </row>
    <row r="2569" spans="1:32" ht="14.5" customHeight="1" x14ac:dyDescent="0.35">
      <c r="A2569" t="s">
        <v>774</v>
      </c>
      <c r="B2569" t="s">
        <v>1297</v>
      </c>
      <c r="C2569" t="s">
        <v>47</v>
      </c>
      <c r="D2569">
        <v>3100062</v>
      </c>
      <c r="E2569">
        <v>3100062</v>
      </c>
      <c r="F2569" t="s">
        <v>1925</v>
      </c>
      <c r="G2569" t="s">
        <v>1925</v>
      </c>
      <c r="H2569" t="s">
        <v>54</v>
      </c>
      <c r="I2569">
        <v>9919723</v>
      </c>
      <c r="J2569" s="12">
        <v>46109</v>
      </c>
      <c r="K2569" s="12">
        <v>46109</v>
      </c>
      <c r="L2569" s="12">
        <v>46140</v>
      </c>
      <c r="M2569">
        <v>-8</v>
      </c>
      <c r="N2569">
        <v>957160222</v>
      </c>
      <c r="O2569">
        <v>0</v>
      </c>
      <c r="P2569">
        <v>957160222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 t="s">
        <v>47</v>
      </c>
      <c r="AA2569" t="s">
        <v>501</v>
      </c>
      <c r="AB2569" t="s">
        <v>51</v>
      </c>
      <c r="AC2569" t="s">
        <v>51</v>
      </c>
      <c r="AD2569" t="s">
        <v>1948</v>
      </c>
      <c r="AE2569" t="s">
        <v>51</v>
      </c>
      <c r="AF2569" t="s">
        <v>62</v>
      </c>
    </row>
    <row r="2570" spans="1:32" ht="14.5" customHeight="1" x14ac:dyDescent="0.35">
      <c r="A2570" t="s">
        <v>774</v>
      </c>
      <c r="B2570" t="s">
        <v>1297</v>
      </c>
      <c r="C2570" t="s">
        <v>47</v>
      </c>
      <c r="D2570">
        <v>3100062</v>
      </c>
      <c r="E2570">
        <v>3100062</v>
      </c>
      <c r="F2570" t="s">
        <v>1925</v>
      </c>
      <c r="G2570" t="s">
        <v>1925</v>
      </c>
      <c r="H2570" t="s">
        <v>54</v>
      </c>
      <c r="I2570">
        <v>9921345</v>
      </c>
      <c r="J2570" s="12">
        <v>46112</v>
      </c>
      <c r="K2570" s="12">
        <v>46112</v>
      </c>
      <c r="L2570" s="12">
        <v>46143</v>
      </c>
      <c r="M2570">
        <v>-11</v>
      </c>
      <c r="N2570">
        <v>688700610</v>
      </c>
      <c r="O2570">
        <v>0</v>
      </c>
      <c r="P2570">
        <v>688700610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 t="s">
        <v>47</v>
      </c>
      <c r="AA2570" t="s">
        <v>501</v>
      </c>
      <c r="AB2570" t="s">
        <v>51</v>
      </c>
      <c r="AC2570" t="s">
        <v>51</v>
      </c>
      <c r="AD2570" t="s">
        <v>1949</v>
      </c>
      <c r="AE2570" t="s">
        <v>51</v>
      </c>
      <c r="AF2570" t="s">
        <v>62</v>
      </c>
    </row>
    <row r="2571" spans="1:32" ht="14.5" customHeight="1" x14ac:dyDescent="0.35">
      <c r="A2571" t="s">
        <v>774</v>
      </c>
      <c r="B2571" t="s">
        <v>1297</v>
      </c>
      <c r="C2571" t="s">
        <v>47</v>
      </c>
      <c r="D2571">
        <v>3100062</v>
      </c>
      <c r="E2571">
        <v>3100062</v>
      </c>
      <c r="F2571" t="s">
        <v>1925</v>
      </c>
      <c r="G2571" t="s">
        <v>1925</v>
      </c>
      <c r="H2571" t="s">
        <v>54</v>
      </c>
      <c r="I2571">
        <v>9922037</v>
      </c>
      <c r="J2571" s="12">
        <v>46116</v>
      </c>
      <c r="K2571" s="12">
        <v>46116</v>
      </c>
      <c r="L2571" s="12">
        <v>46147</v>
      </c>
      <c r="M2571">
        <v>-15</v>
      </c>
      <c r="N2571">
        <v>1496742</v>
      </c>
      <c r="O2571">
        <v>0</v>
      </c>
      <c r="P2571">
        <v>1496742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 t="s">
        <v>47</v>
      </c>
      <c r="AA2571" t="s">
        <v>501</v>
      </c>
      <c r="AB2571" t="s">
        <v>51</v>
      </c>
      <c r="AC2571" t="s">
        <v>51</v>
      </c>
      <c r="AD2571" t="s">
        <v>51</v>
      </c>
      <c r="AE2571" t="s">
        <v>1950</v>
      </c>
      <c r="AF2571" t="s">
        <v>742</v>
      </c>
    </row>
    <row r="2572" spans="1:32" ht="14.5" customHeight="1" x14ac:dyDescent="0.35">
      <c r="A2572" t="s">
        <v>774</v>
      </c>
      <c r="B2572" t="s">
        <v>1297</v>
      </c>
      <c r="C2572" t="s">
        <v>47</v>
      </c>
      <c r="D2572">
        <v>3100062</v>
      </c>
      <c r="E2572">
        <v>3100062</v>
      </c>
      <c r="F2572" t="s">
        <v>1925</v>
      </c>
      <c r="G2572" t="s">
        <v>1925</v>
      </c>
      <c r="H2572" t="s">
        <v>54</v>
      </c>
      <c r="I2572">
        <v>9922190</v>
      </c>
      <c r="J2572" s="12">
        <v>46116</v>
      </c>
      <c r="K2572" s="12">
        <v>46116</v>
      </c>
      <c r="L2572" s="12">
        <v>46147</v>
      </c>
      <c r="M2572">
        <v>-15</v>
      </c>
      <c r="N2572">
        <v>1077457364</v>
      </c>
      <c r="O2572">
        <v>0</v>
      </c>
      <c r="P2572">
        <v>1077457364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 t="s">
        <v>47</v>
      </c>
      <c r="AA2572" t="s">
        <v>501</v>
      </c>
      <c r="AB2572" t="s">
        <v>51</v>
      </c>
      <c r="AC2572" t="s">
        <v>51</v>
      </c>
      <c r="AD2572" t="s">
        <v>51</v>
      </c>
      <c r="AE2572" t="s">
        <v>1951</v>
      </c>
      <c r="AF2572" t="s">
        <v>62</v>
      </c>
    </row>
    <row r="2573" spans="1:32" ht="14.5" customHeight="1" x14ac:dyDescent="0.35">
      <c r="A2573" t="s">
        <v>774</v>
      </c>
      <c r="B2573" t="s">
        <v>1297</v>
      </c>
      <c r="C2573" t="s">
        <v>47</v>
      </c>
      <c r="D2573">
        <v>3100062</v>
      </c>
      <c r="E2573">
        <v>3100062</v>
      </c>
      <c r="F2573" t="s">
        <v>1925</v>
      </c>
      <c r="G2573" t="s">
        <v>1925</v>
      </c>
      <c r="H2573" t="s">
        <v>54</v>
      </c>
      <c r="I2573">
        <v>9922194</v>
      </c>
      <c r="J2573" s="12">
        <v>46116</v>
      </c>
      <c r="K2573" s="12">
        <v>46116</v>
      </c>
      <c r="L2573" s="12">
        <v>46147</v>
      </c>
      <c r="M2573">
        <v>-15</v>
      </c>
      <c r="N2573">
        <v>1111980</v>
      </c>
      <c r="O2573">
        <v>0</v>
      </c>
      <c r="P2573">
        <v>1111980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 t="s">
        <v>47</v>
      </c>
      <c r="AA2573" t="s">
        <v>501</v>
      </c>
      <c r="AB2573" t="s">
        <v>51</v>
      </c>
      <c r="AC2573" t="s">
        <v>51</v>
      </c>
      <c r="AD2573" t="s">
        <v>51</v>
      </c>
      <c r="AE2573" t="s">
        <v>795</v>
      </c>
      <c r="AF2573" t="s">
        <v>158</v>
      </c>
    </row>
    <row r="2574" spans="1:32" ht="14.5" customHeight="1" x14ac:dyDescent="0.35">
      <c r="A2574" t="s">
        <v>774</v>
      </c>
      <c r="B2574" t="s">
        <v>1297</v>
      </c>
      <c r="C2574" t="s">
        <v>47</v>
      </c>
      <c r="D2574">
        <v>3100062</v>
      </c>
      <c r="E2574">
        <v>3100062</v>
      </c>
      <c r="F2574" t="s">
        <v>1925</v>
      </c>
      <c r="G2574" t="s">
        <v>1925</v>
      </c>
      <c r="H2574" t="s">
        <v>54</v>
      </c>
      <c r="I2574">
        <v>9922749</v>
      </c>
      <c r="J2574" s="12">
        <v>46119</v>
      </c>
      <c r="K2574" s="12">
        <v>46119</v>
      </c>
      <c r="L2574" s="12">
        <v>46150</v>
      </c>
      <c r="M2574">
        <v>-18</v>
      </c>
      <c r="N2574">
        <v>1009328794</v>
      </c>
      <c r="O2574">
        <v>0</v>
      </c>
      <c r="P2574">
        <v>1009328794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 t="s">
        <v>47</v>
      </c>
      <c r="AA2574" t="s">
        <v>501</v>
      </c>
      <c r="AB2574" t="s">
        <v>51</v>
      </c>
      <c r="AC2574" t="s">
        <v>51</v>
      </c>
      <c r="AD2574" t="s">
        <v>51</v>
      </c>
      <c r="AE2574" t="s">
        <v>1952</v>
      </c>
      <c r="AF2574" t="s">
        <v>62</v>
      </c>
    </row>
    <row r="2575" spans="1:32" ht="14.5" customHeight="1" x14ac:dyDescent="0.35">
      <c r="A2575" t="s">
        <v>774</v>
      </c>
      <c r="B2575" t="s">
        <v>1297</v>
      </c>
      <c r="C2575" t="s">
        <v>47</v>
      </c>
      <c r="D2575">
        <v>3100062</v>
      </c>
      <c r="E2575">
        <v>3100062</v>
      </c>
      <c r="F2575" t="s">
        <v>1925</v>
      </c>
      <c r="G2575" t="s">
        <v>1925</v>
      </c>
      <c r="H2575" t="s">
        <v>54</v>
      </c>
      <c r="I2575">
        <v>9924991</v>
      </c>
      <c r="J2575" s="12">
        <v>46125</v>
      </c>
      <c r="K2575" s="12">
        <v>46125</v>
      </c>
      <c r="L2575" s="12">
        <v>46156</v>
      </c>
      <c r="M2575">
        <v>-24</v>
      </c>
      <c r="N2575">
        <v>739252934</v>
      </c>
      <c r="O2575">
        <v>0</v>
      </c>
      <c r="P2575">
        <v>739252934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 t="s">
        <v>47</v>
      </c>
      <c r="AA2575" t="s">
        <v>501</v>
      </c>
      <c r="AB2575" t="s">
        <v>51</v>
      </c>
      <c r="AC2575" t="s">
        <v>51</v>
      </c>
      <c r="AD2575" t="s">
        <v>51</v>
      </c>
      <c r="AE2575" t="s">
        <v>1953</v>
      </c>
      <c r="AF2575" t="s">
        <v>1571</v>
      </c>
    </row>
    <row r="2576" spans="1:32" ht="14.5" customHeight="1" x14ac:dyDescent="0.35">
      <c r="A2576" t="s">
        <v>774</v>
      </c>
      <c r="B2576" t="s">
        <v>1297</v>
      </c>
      <c r="C2576" t="s">
        <v>47</v>
      </c>
      <c r="D2576">
        <v>3100062</v>
      </c>
      <c r="E2576">
        <v>3100062</v>
      </c>
      <c r="F2576" t="s">
        <v>1925</v>
      </c>
      <c r="G2576" t="s">
        <v>1925</v>
      </c>
      <c r="H2576" t="s">
        <v>54</v>
      </c>
      <c r="I2576">
        <v>9926128</v>
      </c>
      <c r="J2576" s="12">
        <v>46127</v>
      </c>
      <c r="K2576" s="12">
        <v>46127</v>
      </c>
      <c r="L2576" s="12">
        <v>46158</v>
      </c>
      <c r="M2576">
        <v>-26</v>
      </c>
      <c r="N2576">
        <v>610497405</v>
      </c>
      <c r="O2576">
        <v>0</v>
      </c>
      <c r="P2576">
        <v>610497405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 t="s">
        <v>47</v>
      </c>
      <c r="AA2576" t="s">
        <v>501</v>
      </c>
      <c r="AB2576" t="s">
        <v>51</v>
      </c>
      <c r="AC2576" t="s">
        <v>51</v>
      </c>
      <c r="AD2576" t="s">
        <v>51</v>
      </c>
      <c r="AE2576" t="s">
        <v>1954</v>
      </c>
      <c r="AF2576" t="s">
        <v>62</v>
      </c>
    </row>
    <row r="2577" spans="1:32" ht="14.5" customHeight="1" x14ac:dyDescent="0.35">
      <c r="A2577" t="s">
        <v>774</v>
      </c>
      <c r="B2577" t="s">
        <v>1297</v>
      </c>
      <c r="C2577" t="s">
        <v>47</v>
      </c>
      <c r="D2577">
        <v>3100062</v>
      </c>
      <c r="E2577">
        <v>3100062</v>
      </c>
      <c r="F2577" t="s">
        <v>1925</v>
      </c>
      <c r="G2577" t="s">
        <v>1925</v>
      </c>
      <c r="H2577" t="s">
        <v>54</v>
      </c>
      <c r="I2577">
        <v>9926129</v>
      </c>
      <c r="J2577" s="12">
        <v>46127</v>
      </c>
      <c r="K2577" s="12">
        <v>46127</v>
      </c>
      <c r="L2577" s="12">
        <v>46158</v>
      </c>
      <c r="M2577">
        <v>-26</v>
      </c>
      <c r="N2577">
        <v>658239</v>
      </c>
      <c r="O2577">
        <v>0</v>
      </c>
      <c r="P2577">
        <v>658239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 t="s">
        <v>47</v>
      </c>
      <c r="AA2577" t="s">
        <v>501</v>
      </c>
      <c r="AB2577" t="s">
        <v>51</v>
      </c>
      <c r="AC2577" t="s">
        <v>51</v>
      </c>
      <c r="AD2577" t="s">
        <v>51</v>
      </c>
      <c r="AE2577" t="s">
        <v>1198</v>
      </c>
      <c r="AF2577" t="s">
        <v>163</v>
      </c>
    </row>
    <row r="2578" spans="1:32" ht="14.5" customHeight="1" x14ac:dyDescent="0.35">
      <c r="A2578" t="s">
        <v>774</v>
      </c>
      <c r="B2578" t="s">
        <v>1297</v>
      </c>
      <c r="C2578" t="s">
        <v>47</v>
      </c>
      <c r="D2578">
        <v>3100062</v>
      </c>
      <c r="E2578">
        <v>3100062</v>
      </c>
      <c r="F2578" t="s">
        <v>1925</v>
      </c>
      <c r="G2578" t="s">
        <v>1925</v>
      </c>
      <c r="H2578" t="s">
        <v>761</v>
      </c>
      <c r="I2578">
        <v>9103000923</v>
      </c>
      <c r="J2578" s="12">
        <v>46127</v>
      </c>
      <c r="K2578" s="12">
        <v>46127</v>
      </c>
      <c r="L2578" s="12">
        <v>46127</v>
      </c>
      <c r="M2578">
        <v>5</v>
      </c>
      <c r="N2578">
        <v>85388195</v>
      </c>
      <c r="O2578">
        <v>0</v>
      </c>
      <c r="P2578">
        <v>0</v>
      </c>
      <c r="Q2578">
        <v>85388195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 t="s">
        <v>47</v>
      </c>
      <c r="AA2578" t="s">
        <v>50</v>
      </c>
      <c r="AB2578" t="s">
        <v>51</v>
      </c>
      <c r="AC2578" t="s">
        <v>51</v>
      </c>
      <c r="AD2578" t="s">
        <v>51</v>
      </c>
      <c r="AE2578" t="s">
        <v>51</v>
      </c>
      <c r="AF2578" t="s">
        <v>1955</v>
      </c>
    </row>
    <row r="2579" spans="1:32" ht="14.5" customHeight="1" x14ac:dyDescent="0.35">
      <c r="A2579" t="s">
        <v>84</v>
      </c>
      <c r="B2579" t="s">
        <v>85</v>
      </c>
      <c r="C2579" t="s">
        <v>47</v>
      </c>
      <c r="D2579">
        <v>3100068</v>
      </c>
      <c r="E2579">
        <v>3100067</v>
      </c>
      <c r="F2579" t="s">
        <v>14</v>
      </c>
      <c r="G2579" t="s">
        <v>14</v>
      </c>
      <c r="H2579" t="s">
        <v>54</v>
      </c>
      <c r="I2579">
        <v>6957996</v>
      </c>
      <c r="J2579" s="12">
        <v>46118</v>
      </c>
      <c r="K2579" s="12">
        <v>46118</v>
      </c>
      <c r="L2579" s="12">
        <v>46118</v>
      </c>
      <c r="M2579">
        <v>14</v>
      </c>
      <c r="N2579">
        <v>-1239631</v>
      </c>
      <c r="O2579">
        <v>-1239631</v>
      </c>
      <c r="P2579">
        <v>0</v>
      </c>
      <c r="Q2579">
        <v>-1239631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 t="s">
        <v>47</v>
      </c>
      <c r="AA2579" t="s">
        <v>501</v>
      </c>
      <c r="AB2579" t="s">
        <v>51</v>
      </c>
      <c r="AC2579" t="s">
        <v>51</v>
      </c>
      <c r="AD2579" t="s">
        <v>51</v>
      </c>
      <c r="AE2579" t="s">
        <v>51</v>
      </c>
      <c r="AF2579" t="s">
        <v>64</v>
      </c>
    </row>
    <row r="2580" spans="1:32" ht="14.5" customHeight="1" x14ac:dyDescent="0.35">
      <c r="A2580" t="s">
        <v>84</v>
      </c>
      <c r="B2580" t="s">
        <v>85</v>
      </c>
      <c r="C2580" t="s">
        <v>47</v>
      </c>
      <c r="D2580">
        <v>3100068</v>
      </c>
      <c r="E2580">
        <v>3100746</v>
      </c>
      <c r="F2580" t="s">
        <v>14</v>
      </c>
      <c r="G2580" t="s">
        <v>1956</v>
      </c>
      <c r="H2580" t="s">
        <v>54</v>
      </c>
      <c r="I2580">
        <v>6958016</v>
      </c>
      <c r="J2580" s="12">
        <v>46118</v>
      </c>
      <c r="K2580" s="12">
        <v>46118</v>
      </c>
      <c r="L2580" s="12">
        <v>46118</v>
      </c>
      <c r="M2580">
        <v>14</v>
      </c>
      <c r="N2580">
        <v>-6165415</v>
      </c>
      <c r="O2580">
        <v>-6165415</v>
      </c>
      <c r="P2580">
        <v>0</v>
      </c>
      <c r="Q2580">
        <v>-6165415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 t="s">
        <v>47</v>
      </c>
      <c r="AA2580" t="s">
        <v>501</v>
      </c>
      <c r="AB2580" t="s">
        <v>51</v>
      </c>
      <c r="AC2580" t="s">
        <v>51</v>
      </c>
      <c r="AD2580" t="s">
        <v>51</v>
      </c>
      <c r="AE2580" t="s">
        <v>51</v>
      </c>
      <c r="AF2580" t="s">
        <v>1957</v>
      </c>
    </row>
    <row r="2581" spans="1:32" ht="14.5" customHeight="1" x14ac:dyDescent="0.35">
      <c r="A2581" t="s">
        <v>84</v>
      </c>
      <c r="B2581" t="s">
        <v>85</v>
      </c>
      <c r="C2581" t="s">
        <v>47</v>
      </c>
      <c r="D2581">
        <v>3100068</v>
      </c>
      <c r="E2581">
        <v>3100750</v>
      </c>
      <c r="F2581" t="s">
        <v>14</v>
      </c>
      <c r="G2581" t="s">
        <v>1958</v>
      </c>
      <c r="H2581" t="s">
        <v>54</v>
      </c>
      <c r="I2581">
        <v>6958017</v>
      </c>
      <c r="J2581" s="12">
        <v>46118</v>
      </c>
      <c r="K2581" s="12">
        <v>46118</v>
      </c>
      <c r="L2581" s="12">
        <v>46118</v>
      </c>
      <c r="M2581">
        <v>14</v>
      </c>
      <c r="N2581">
        <v>-13781791</v>
      </c>
      <c r="O2581">
        <v>-13781791</v>
      </c>
      <c r="P2581">
        <v>0</v>
      </c>
      <c r="Q2581">
        <v>-13781791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 t="s">
        <v>47</v>
      </c>
      <c r="AA2581" t="s">
        <v>501</v>
      </c>
      <c r="AB2581" t="s">
        <v>51</v>
      </c>
      <c r="AC2581" t="s">
        <v>51</v>
      </c>
      <c r="AD2581" t="s">
        <v>51</v>
      </c>
      <c r="AE2581" t="s">
        <v>51</v>
      </c>
      <c r="AF2581" t="s">
        <v>1959</v>
      </c>
    </row>
    <row r="2582" spans="1:32" ht="14.5" customHeight="1" x14ac:dyDescent="0.35">
      <c r="A2582" t="s">
        <v>84</v>
      </c>
      <c r="B2582" t="s">
        <v>85</v>
      </c>
      <c r="C2582" t="s">
        <v>47</v>
      </c>
      <c r="D2582">
        <v>3100068</v>
      </c>
      <c r="E2582">
        <v>3100858</v>
      </c>
      <c r="F2582" t="s">
        <v>14</v>
      </c>
      <c r="G2582" t="s">
        <v>1960</v>
      </c>
      <c r="H2582" t="s">
        <v>54</v>
      </c>
      <c r="I2582">
        <v>6958019</v>
      </c>
      <c r="J2582" s="12">
        <v>46118</v>
      </c>
      <c r="K2582" s="12">
        <v>46118</v>
      </c>
      <c r="L2582" s="12">
        <v>46118</v>
      </c>
      <c r="M2582">
        <v>14</v>
      </c>
      <c r="N2582">
        <v>-20525318</v>
      </c>
      <c r="O2582">
        <v>-20525318</v>
      </c>
      <c r="P2582">
        <v>0</v>
      </c>
      <c r="Q2582">
        <v>-20525318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 t="s">
        <v>47</v>
      </c>
      <c r="AA2582" t="s">
        <v>501</v>
      </c>
      <c r="AB2582" t="s">
        <v>51</v>
      </c>
      <c r="AC2582" t="s">
        <v>51</v>
      </c>
      <c r="AD2582" t="s">
        <v>51</v>
      </c>
      <c r="AE2582" t="s">
        <v>51</v>
      </c>
      <c r="AF2582" t="s">
        <v>1961</v>
      </c>
    </row>
    <row r="2583" spans="1:32" ht="14.5" customHeight="1" x14ac:dyDescent="0.35">
      <c r="A2583" t="s">
        <v>84</v>
      </c>
      <c r="B2583" t="s">
        <v>85</v>
      </c>
      <c r="C2583" t="s">
        <v>846</v>
      </c>
      <c r="D2583">
        <v>3100068</v>
      </c>
      <c r="E2583">
        <v>3100859</v>
      </c>
      <c r="F2583" t="s">
        <v>14</v>
      </c>
      <c r="G2583" t="s">
        <v>1960</v>
      </c>
      <c r="H2583" t="s">
        <v>111</v>
      </c>
      <c r="I2583">
        <v>6958081</v>
      </c>
      <c r="J2583" s="12">
        <v>46118</v>
      </c>
      <c r="K2583" s="12">
        <v>46118</v>
      </c>
      <c r="L2583" s="12">
        <v>46118</v>
      </c>
      <c r="M2583">
        <v>14</v>
      </c>
      <c r="N2583">
        <v>-107572</v>
      </c>
      <c r="O2583">
        <v>-107572</v>
      </c>
      <c r="P2583">
        <v>0</v>
      </c>
      <c r="Q2583">
        <v>-107572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 t="s">
        <v>846</v>
      </c>
      <c r="AA2583" t="s">
        <v>501</v>
      </c>
      <c r="AB2583" t="s">
        <v>51</v>
      </c>
      <c r="AC2583" t="s">
        <v>51</v>
      </c>
      <c r="AD2583" t="s">
        <v>51</v>
      </c>
      <c r="AE2583" t="s">
        <v>51</v>
      </c>
      <c r="AF2583" t="s">
        <v>107</v>
      </c>
    </row>
    <row r="2584" spans="1:32" ht="14.5" customHeight="1" x14ac:dyDescent="0.35">
      <c r="A2584" t="s">
        <v>84</v>
      </c>
      <c r="B2584" t="s">
        <v>85</v>
      </c>
      <c r="C2584" t="s">
        <v>47</v>
      </c>
      <c r="D2584">
        <v>3100068</v>
      </c>
      <c r="E2584">
        <v>3100067</v>
      </c>
      <c r="F2584" t="s">
        <v>14</v>
      </c>
      <c r="G2584" t="s">
        <v>14</v>
      </c>
      <c r="H2584" t="s">
        <v>54</v>
      </c>
      <c r="I2584">
        <v>6958224</v>
      </c>
      <c r="J2584" s="12">
        <v>46120</v>
      </c>
      <c r="K2584" s="12">
        <v>46120</v>
      </c>
      <c r="L2584" s="12">
        <v>46120</v>
      </c>
      <c r="M2584">
        <v>12</v>
      </c>
      <c r="N2584">
        <v>-43837939</v>
      </c>
      <c r="O2584">
        <v>-43837939</v>
      </c>
      <c r="P2584">
        <v>0</v>
      </c>
      <c r="Q2584">
        <v>-43837939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 t="s">
        <v>47</v>
      </c>
      <c r="AA2584" t="s">
        <v>501</v>
      </c>
      <c r="AB2584" t="s">
        <v>51</v>
      </c>
      <c r="AC2584" t="s">
        <v>51</v>
      </c>
      <c r="AD2584" t="s">
        <v>51</v>
      </c>
      <c r="AE2584" t="s">
        <v>51</v>
      </c>
      <c r="AF2584" t="s">
        <v>616</v>
      </c>
    </row>
    <row r="2585" spans="1:32" ht="14.5" customHeight="1" x14ac:dyDescent="0.35">
      <c r="A2585" t="s">
        <v>84</v>
      </c>
      <c r="B2585" t="s">
        <v>85</v>
      </c>
      <c r="C2585" t="s">
        <v>47</v>
      </c>
      <c r="D2585">
        <v>3100068</v>
      </c>
      <c r="E2585">
        <v>3100750</v>
      </c>
      <c r="F2585" t="s">
        <v>14</v>
      </c>
      <c r="G2585" t="s">
        <v>1958</v>
      </c>
      <c r="H2585" t="s">
        <v>54</v>
      </c>
      <c r="I2585">
        <v>6958229</v>
      </c>
      <c r="J2585" s="12">
        <v>46120</v>
      </c>
      <c r="K2585" s="12">
        <v>46120</v>
      </c>
      <c r="L2585" s="12">
        <v>46120</v>
      </c>
      <c r="M2585">
        <v>12</v>
      </c>
      <c r="N2585">
        <v>-187795941</v>
      </c>
      <c r="O2585">
        <v>-187795941</v>
      </c>
      <c r="P2585">
        <v>0</v>
      </c>
      <c r="Q2585">
        <v>-187795941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 t="s">
        <v>47</v>
      </c>
      <c r="AA2585" t="s">
        <v>501</v>
      </c>
      <c r="AB2585" t="s">
        <v>51</v>
      </c>
      <c r="AC2585" t="s">
        <v>51</v>
      </c>
      <c r="AD2585" t="s">
        <v>51</v>
      </c>
      <c r="AE2585" t="s">
        <v>51</v>
      </c>
      <c r="AF2585" t="s">
        <v>325</v>
      </c>
    </row>
    <row r="2586" spans="1:32" ht="14.5" customHeight="1" x14ac:dyDescent="0.35">
      <c r="A2586" t="s">
        <v>84</v>
      </c>
      <c r="B2586" t="s">
        <v>85</v>
      </c>
      <c r="C2586" t="s">
        <v>47</v>
      </c>
      <c r="D2586">
        <v>3100068</v>
      </c>
      <c r="E2586">
        <v>3100682</v>
      </c>
      <c r="F2586" t="s">
        <v>14</v>
      </c>
      <c r="G2586" t="s">
        <v>1962</v>
      </c>
      <c r="H2586" t="s">
        <v>54</v>
      </c>
      <c r="I2586">
        <v>6958230</v>
      </c>
      <c r="J2586" s="12">
        <v>46120</v>
      </c>
      <c r="K2586" s="12">
        <v>46120</v>
      </c>
      <c r="L2586" s="12">
        <v>46120</v>
      </c>
      <c r="M2586">
        <v>12</v>
      </c>
      <c r="N2586">
        <v>-27516724</v>
      </c>
      <c r="O2586">
        <v>-27516724</v>
      </c>
      <c r="P2586">
        <v>0</v>
      </c>
      <c r="Q2586">
        <v>-27516724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 t="s">
        <v>47</v>
      </c>
      <c r="AA2586" t="s">
        <v>501</v>
      </c>
      <c r="AB2586" t="s">
        <v>51</v>
      </c>
      <c r="AC2586" t="s">
        <v>51</v>
      </c>
      <c r="AD2586" t="s">
        <v>51</v>
      </c>
      <c r="AE2586" t="s">
        <v>51</v>
      </c>
      <c r="AF2586" t="s">
        <v>144</v>
      </c>
    </row>
    <row r="2587" spans="1:32" ht="14.5" customHeight="1" x14ac:dyDescent="0.35">
      <c r="A2587" t="s">
        <v>84</v>
      </c>
      <c r="B2587" t="s">
        <v>85</v>
      </c>
      <c r="C2587" t="s">
        <v>47</v>
      </c>
      <c r="D2587">
        <v>3100068</v>
      </c>
      <c r="E2587">
        <v>3100609</v>
      </c>
      <c r="F2587" t="s">
        <v>14</v>
      </c>
      <c r="G2587" t="s">
        <v>14</v>
      </c>
      <c r="H2587" t="s">
        <v>54</v>
      </c>
      <c r="I2587">
        <v>6958233</v>
      </c>
      <c r="J2587" s="12">
        <v>46120</v>
      </c>
      <c r="K2587" s="12">
        <v>46120</v>
      </c>
      <c r="L2587" s="12">
        <v>46120</v>
      </c>
      <c r="M2587">
        <v>12</v>
      </c>
      <c r="N2587">
        <v>-16196408</v>
      </c>
      <c r="O2587">
        <v>-16196408</v>
      </c>
      <c r="P2587">
        <v>0</v>
      </c>
      <c r="Q2587">
        <v>-16196408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 t="s">
        <v>47</v>
      </c>
      <c r="AA2587" t="s">
        <v>501</v>
      </c>
      <c r="AB2587" t="s">
        <v>51</v>
      </c>
      <c r="AC2587" t="s">
        <v>51</v>
      </c>
      <c r="AD2587" t="s">
        <v>51</v>
      </c>
      <c r="AE2587" t="s">
        <v>51</v>
      </c>
      <c r="AF2587" t="s">
        <v>56</v>
      </c>
    </row>
    <row r="2588" spans="1:32" ht="14.5" customHeight="1" x14ac:dyDescent="0.35">
      <c r="A2588" t="s">
        <v>84</v>
      </c>
      <c r="B2588" t="s">
        <v>85</v>
      </c>
      <c r="C2588" t="s">
        <v>47</v>
      </c>
      <c r="D2588">
        <v>3100068</v>
      </c>
      <c r="E2588">
        <v>3100746</v>
      </c>
      <c r="F2588" t="s">
        <v>14</v>
      </c>
      <c r="G2588" t="s">
        <v>1956</v>
      </c>
      <c r="H2588" t="s">
        <v>54</v>
      </c>
      <c r="I2588">
        <v>6958234</v>
      </c>
      <c r="J2588" s="12">
        <v>46120</v>
      </c>
      <c r="K2588" s="12">
        <v>46120</v>
      </c>
      <c r="L2588" s="12">
        <v>46120</v>
      </c>
      <c r="M2588">
        <v>12</v>
      </c>
      <c r="N2588">
        <v>-79183425</v>
      </c>
      <c r="O2588">
        <v>-79183425</v>
      </c>
      <c r="P2588">
        <v>0</v>
      </c>
      <c r="Q2588">
        <v>-79183425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 t="s">
        <v>47</v>
      </c>
      <c r="AA2588" t="s">
        <v>501</v>
      </c>
      <c r="AB2588" t="s">
        <v>51</v>
      </c>
      <c r="AC2588" t="s">
        <v>51</v>
      </c>
      <c r="AD2588" t="s">
        <v>51</v>
      </c>
      <c r="AE2588" t="s">
        <v>51</v>
      </c>
      <c r="AF2588" t="s">
        <v>660</v>
      </c>
    </row>
    <row r="2589" spans="1:32" ht="14.5" customHeight="1" x14ac:dyDescent="0.35">
      <c r="A2589" t="s">
        <v>84</v>
      </c>
      <c r="B2589" t="s">
        <v>85</v>
      </c>
      <c r="C2589" t="s">
        <v>47</v>
      </c>
      <c r="D2589">
        <v>3100068</v>
      </c>
      <c r="E2589">
        <v>3100858</v>
      </c>
      <c r="F2589" t="s">
        <v>14</v>
      </c>
      <c r="G2589" t="s">
        <v>1960</v>
      </c>
      <c r="H2589" t="s">
        <v>54</v>
      </c>
      <c r="I2589">
        <v>6958235</v>
      </c>
      <c r="J2589" s="12">
        <v>46120</v>
      </c>
      <c r="K2589" s="12">
        <v>46120</v>
      </c>
      <c r="L2589" s="12">
        <v>46120</v>
      </c>
      <c r="M2589">
        <v>12</v>
      </c>
      <c r="N2589">
        <v>-231872549</v>
      </c>
      <c r="O2589">
        <v>-231872549</v>
      </c>
      <c r="P2589">
        <v>0</v>
      </c>
      <c r="Q2589">
        <v>-231872549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 t="s">
        <v>47</v>
      </c>
      <c r="AA2589" t="s">
        <v>501</v>
      </c>
      <c r="AB2589" t="s">
        <v>51</v>
      </c>
      <c r="AC2589" t="s">
        <v>51</v>
      </c>
      <c r="AD2589" t="s">
        <v>51</v>
      </c>
      <c r="AE2589" t="s">
        <v>51</v>
      </c>
      <c r="AF2589" t="s">
        <v>787</v>
      </c>
    </row>
    <row r="2590" spans="1:32" ht="14.5" customHeight="1" x14ac:dyDescent="0.35">
      <c r="A2590" t="s">
        <v>84</v>
      </c>
      <c r="B2590" t="s">
        <v>85</v>
      </c>
      <c r="C2590" t="s">
        <v>47</v>
      </c>
      <c r="D2590">
        <v>3100068</v>
      </c>
      <c r="E2590">
        <v>3100858</v>
      </c>
      <c r="F2590" t="s">
        <v>14</v>
      </c>
      <c r="G2590" t="s">
        <v>1960</v>
      </c>
      <c r="H2590" t="s">
        <v>54</v>
      </c>
      <c r="I2590">
        <v>6958236</v>
      </c>
      <c r="J2590" s="12">
        <v>46120</v>
      </c>
      <c r="K2590" s="12">
        <v>46120</v>
      </c>
      <c r="L2590" s="12">
        <v>46120</v>
      </c>
      <c r="M2590">
        <v>12</v>
      </c>
      <c r="N2590">
        <v>-2998379</v>
      </c>
      <c r="O2590">
        <v>-2998379</v>
      </c>
      <c r="P2590">
        <v>0</v>
      </c>
      <c r="Q2590">
        <v>-2998379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 t="s">
        <v>47</v>
      </c>
      <c r="AA2590" t="s">
        <v>501</v>
      </c>
      <c r="AB2590" t="s">
        <v>51</v>
      </c>
      <c r="AC2590" t="s">
        <v>51</v>
      </c>
      <c r="AD2590" t="s">
        <v>51</v>
      </c>
      <c r="AE2590" t="s">
        <v>51</v>
      </c>
      <c r="AF2590" t="s">
        <v>250</v>
      </c>
    </row>
    <row r="2591" spans="1:32" ht="14.5" customHeight="1" x14ac:dyDescent="0.35">
      <c r="A2591" t="s">
        <v>84</v>
      </c>
      <c r="B2591" t="s">
        <v>85</v>
      </c>
      <c r="C2591" t="s">
        <v>47</v>
      </c>
      <c r="D2591">
        <v>3100068</v>
      </c>
      <c r="E2591">
        <v>3100858</v>
      </c>
      <c r="F2591" t="s">
        <v>14</v>
      </c>
      <c r="G2591" t="s">
        <v>1960</v>
      </c>
      <c r="H2591" t="s">
        <v>54</v>
      </c>
      <c r="I2591">
        <v>6958237</v>
      </c>
      <c r="J2591" s="12">
        <v>46120</v>
      </c>
      <c r="K2591" s="12">
        <v>46120</v>
      </c>
      <c r="L2591" s="12">
        <v>46120</v>
      </c>
      <c r="M2591">
        <v>12</v>
      </c>
      <c r="N2591">
        <v>-268959319</v>
      </c>
      <c r="O2591">
        <v>-268959319</v>
      </c>
      <c r="P2591">
        <v>0</v>
      </c>
      <c r="Q2591">
        <v>-268959319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 t="s">
        <v>47</v>
      </c>
      <c r="AA2591" t="s">
        <v>501</v>
      </c>
      <c r="AB2591" t="s">
        <v>51</v>
      </c>
      <c r="AC2591" t="s">
        <v>51</v>
      </c>
      <c r="AD2591" t="s">
        <v>51</v>
      </c>
      <c r="AE2591" t="s">
        <v>51</v>
      </c>
      <c r="AF2591" t="s">
        <v>1067</v>
      </c>
    </row>
    <row r="2592" spans="1:32" ht="14.5" customHeight="1" x14ac:dyDescent="0.35">
      <c r="A2592" t="s">
        <v>84</v>
      </c>
      <c r="B2592" t="s">
        <v>85</v>
      </c>
      <c r="C2592" t="s">
        <v>47</v>
      </c>
      <c r="D2592">
        <v>3100068</v>
      </c>
      <c r="E2592">
        <v>3100064</v>
      </c>
      <c r="F2592" t="s">
        <v>14</v>
      </c>
      <c r="G2592" t="s">
        <v>14</v>
      </c>
      <c r="H2592" t="s">
        <v>54</v>
      </c>
      <c r="I2592">
        <v>6958243</v>
      </c>
      <c r="J2592" s="12">
        <v>46120</v>
      </c>
      <c r="K2592" s="12">
        <v>46120</v>
      </c>
      <c r="L2592" s="12">
        <v>46120</v>
      </c>
      <c r="M2592">
        <v>12</v>
      </c>
      <c r="N2592">
        <v>-1902794</v>
      </c>
      <c r="O2592">
        <v>-1902794</v>
      </c>
      <c r="P2592">
        <v>0</v>
      </c>
      <c r="Q2592">
        <v>-1902794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 t="s">
        <v>47</v>
      </c>
      <c r="AA2592" t="s">
        <v>501</v>
      </c>
      <c r="AB2592" t="s">
        <v>51</v>
      </c>
      <c r="AC2592" t="s">
        <v>51</v>
      </c>
      <c r="AD2592" t="s">
        <v>51</v>
      </c>
      <c r="AE2592" t="s">
        <v>51</v>
      </c>
      <c r="AF2592" t="s">
        <v>352</v>
      </c>
    </row>
    <row r="2593" spans="1:32" ht="14.5" customHeight="1" x14ac:dyDescent="0.35">
      <c r="A2593" t="s">
        <v>84</v>
      </c>
      <c r="B2593" t="s">
        <v>85</v>
      </c>
      <c r="C2593" t="s">
        <v>47</v>
      </c>
      <c r="D2593">
        <v>3100068</v>
      </c>
      <c r="E2593">
        <v>3100064</v>
      </c>
      <c r="F2593" t="s">
        <v>14</v>
      </c>
      <c r="G2593" t="s">
        <v>14</v>
      </c>
      <c r="H2593" t="s">
        <v>54</v>
      </c>
      <c r="I2593">
        <v>6958255</v>
      </c>
      <c r="J2593" s="12">
        <v>46120</v>
      </c>
      <c r="K2593" s="12">
        <v>46120</v>
      </c>
      <c r="L2593" s="12">
        <v>46120</v>
      </c>
      <c r="M2593">
        <v>12</v>
      </c>
      <c r="N2593">
        <v>-954014</v>
      </c>
      <c r="O2593">
        <v>-954014</v>
      </c>
      <c r="P2593">
        <v>0</v>
      </c>
      <c r="Q2593">
        <v>-954014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 t="s">
        <v>47</v>
      </c>
      <c r="AA2593" t="s">
        <v>501</v>
      </c>
      <c r="AB2593" t="s">
        <v>51</v>
      </c>
      <c r="AC2593" t="s">
        <v>51</v>
      </c>
      <c r="AD2593" t="s">
        <v>51</v>
      </c>
      <c r="AE2593" t="s">
        <v>51</v>
      </c>
      <c r="AF2593" t="s">
        <v>809</v>
      </c>
    </row>
    <row r="2594" spans="1:32" ht="14.5" customHeight="1" x14ac:dyDescent="0.35">
      <c r="A2594" t="s">
        <v>84</v>
      </c>
      <c r="B2594" t="s">
        <v>85</v>
      </c>
      <c r="C2594" t="s">
        <v>846</v>
      </c>
      <c r="D2594">
        <v>3100068</v>
      </c>
      <c r="E2594">
        <v>3100859</v>
      </c>
      <c r="F2594" t="s">
        <v>14</v>
      </c>
      <c r="G2594" t="s">
        <v>1960</v>
      </c>
      <c r="H2594" t="s">
        <v>111</v>
      </c>
      <c r="I2594">
        <v>6958348</v>
      </c>
      <c r="J2594" s="12">
        <v>46120</v>
      </c>
      <c r="K2594" s="12">
        <v>46120</v>
      </c>
      <c r="L2594" s="12">
        <v>46120</v>
      </c>
      <c r="M2594">
        <v>12</v>
      </c>
      <c r="N2594">
        <v>-211162</v>
      </c>
      <c r="O2594">
        <v>-211162</v>
      </c>
      <c r="P2594">
        <v>0</v>
      </c>
      <c r="Q2594">
        <v>-211162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 t="s">
        <v>846</v>
      </c>
      <c r="AA2594" t="s">
        <v>501</v>
      </c>
      <c r="AB2594" t="s">
        <v>51</v>
      </c>
      <c r="AC2594" t="s">
        <v>51</v>
      </c>
      <c r="AD2594" t="s">
        <v>51</v>
      </c>
      <c r="AE2594" t="s">
        <v>51</v>
      </c>
      <c r="AF2594" t="s">
        <v>393</v>
      </c>
    </row>
    <row r="2595" spans="1:32" ht="14.5" customHeight="1" x14ac:dyDescent="0.35">
      <c r="A2595" t="s">
        <v>84</v>
      </c>
      <c r="B2595" t="s">
        <v>85</v>
      </c>
      <c r="C2595" t="s">
        <v>47</v>
      </c>
      <c r="D2595">
        <v>3100068</v>
      </c>
      <c r="E2595">
        <v>3100064</v>
      </c>
      <c r="F2595" t="s">
        <v>14</v>
      </c>
      <c r="G2595" t="s">
        <v>14</v>
      </c>
      <c r="H2595" t="s">
        <v>54</v>
      </c>
      <c r="I2595">
        <v>6958364</v>
      </c>
      <c r="J2595" s="12">
        <v>46121</v>
      </c>
      <c r="K2595" s="12">
        <v>46121</v>
      </c>
      <c r="L2595" s="12">
        <v>46121</v>
      </c>
      <c r="M2595">
        <v>11</v>
      </c>
      <c r="N2595">
        <v>-23399768</v>
      </c>
      <c r="O2595">
        <v>-23399768</v>
      </c>
      <c r="P2595">
        <v>0</v>
      </c>
      <c r="Q2595">
        <v>-23399768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 t="s">
        <v>47</v>
      </c>
      <c r="AA2595" t="s">
        <v>501</v>
      </c>
      <c r="AB2595" t="s">
        <v>51</v>
      </c>
      <c r="AC2595" t="s">
        <v>51</v>
      </c>
      <c r="AD2595" t="s">
        <v>51</v>
      </c>
      <c r="AE2595" t="s">
        <v>51</v>
      </c>
      <c r="AF2595" t="s">
        <v>144</v>
      </c>
    </row>
    <row r="2596" spans="1:32" ht="14.5" customHeight="1" x14ac:dyDescent="0.35">
      <c r="A2596" t="s">
        <v>84</v>
      </c>
      <c r="B2596" t="s">
        <v>85</v>
      </c>
      <c r="C2596" t="s">
        <v>47</v>
      </c>
      <c r="D2596">
        <v>3100068</v>
      </c>
      <c r="E2596">
        <v>3100067</v>
      </c>
      <c r="F2596" t="s">
        <v>14</v>
      </c>
      <c r="G2596" t="s">
        <v>14</v>
      </c>
      <c r="H2596" t="s">
        <v>54</v>
      </c>
      <c r="I2596">
        <v>6958365</v>
      </c>
      <c r="J2596" s="12">
        <v>46121</v>
      </c>
      <c r="K2596" s="12">
        <v>46121</v>
      </c>
      <c r="L2596" s="12">
        <v>46121</v>
      </c>
      <c r="M2596">
        <v>11</v>
      </c>
      <c r="N2596">
        <v>-180177076</v>
      </c>
      <c r="O2596">
        <v>-180177076</v>
      </c>
      <c r="P2596">
        <v>0</v>
      </c>
      <c r="Q2596">
        <v>-180177076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 t="s">
        <v>47</v>
      </c>
      <c r="AA2596" t="s">
        <v>501</v>
      </c>
      <c r="AB2596" t="s">
        <v>51</v>
      </c>
      <c r="AC2596" t="s">
        <v>51</v>
      </c>
      <c r="AD2596" t="s">
        <v>51</v>
      </c>
      <c r="AE2596" t="s">
        <v>51</v>
      </c>
      <c r="AF2596" t="s">
        <v>334</v>
      </c>
    </row>
    <row r="2597" spans="1:32" ht="14.5" customHeight="1" x14ac:dyDescent="0.35">
      <c r="A2597" t="s">
        <v>84</v>
      </c>
      <c r="B2597" t="s">
        <v>85</v>
      </c>
      <c r="C2597" t="s">
        <v>846</v>
      </c>
      <c r="D2597">
        <v>3100068</v>
      </c>
      <c r="E2597">
        <v>3100859</v>
      </c>
      <c r="F2597" t="s">
        <v>14</v>
      </c>
      <c r="G2597" t="s">
        <v>1960</v>
      </c>
      <c r="H2597" t="s">
        <v>111</v>
      </c>
      <c r="I2597">
        <v>6958492</v>
      </c>
      <c r="J2597" s="12">
        <v>46121</v>
      </c>
      <c r="K2597" s="12">
        <v>46121</v>
      </c>
      <c r="L2597" s="12">
        <v>46121</v>
      </c>
      <c r="M2597">
        <v>11</v>
      </c>
      <c r="N2597">
        <v>-401658</v>
      </c>
      <c r="O2597">
        <v>-401658</v>
      </c>
      <c r="P2597">
        <v>0</v>
      </c>
      <c r="Q2597">
        <v>-401658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 t="s">
        <v>846</v>
      </c>
      <c r="AA2597" t="s">
        <v>501</v>
      </c>
      <c r="AB2597" t="s">
        <v>51</v>
      </c>
      <c r="AC2597" t="s">
        <v>51</v>
      </c>
      <c r="AD2597" t="s">
        <v>51</v>
      </c>
      <c r="AE2597" t="s">
        <v>51</v>
      </c>
      <c r="AF2597" t="s">
        <v>366</v>
      </c>
    </row>
    <row r="2598" spans="1:32" ht="14.5" customHeight="1" x14ac:dyDescent="0.35">
      <c r="A2598" t="s">
        <v>84</v>
      </c>
      <c r="B2598" t="s">
        <v>85</v>
      </c>
      <c r="C2598" t="s">
        <v>846</v>
      </c>
      <c r="D2598">
        <v>3100068</v>
      </c>
      <c r="E2598">
        <v>3100610</v>
      </c>
      <c r="F2598" t="s">
        <v>14</v>
      </c>
      <c r="G2598" t="s">
        <v>14</v>
      </c>
      <c r="H2598" t="s">
        <v>111</v>
      </c>
      <c r="I2598">
        <v>6958493</v>
      </c>
      <c r="J2598" s="12">
        <v>46121</v>
      </c>
      <c r="K2598" s="12">
        <v>46121</v>
      </c>
      <c r="L2598" s="12">
        <v>46121</v>
      </c>
      <c r="M2598">
        <v>11</v>
      </c>
      <c r="N2598">
        <v>-1629009</v>
      </c>
      <c r="O2598">
        <v>-1629009</v>
      </c>
      <c r="P2598">
        <v>0</v>
      </c>
      <c r="Q2598">
        <v>-1629009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 t="s">
        <v>846</v>
      </c>
      <c r="AA2598" t="s">
        <v>501</v>
      </c>
      <c r="AB2598" t="s">
        <v>51</v>
      </c>
      <c r="AC2598" t="s">
        <v>51</v>
      </c>
      <c r="AD2598" t="s">
        <v>51</v>
      </c>
      <c r="AE2598" t="s">
        <v>51</v>
      </c>
      <c r="AF2598" t="s">
        <v>534</v>
      </c>
    </row>
    <row r="2599" spans="1:32" ht="14.5" customHeight="1" x14ac:dyDescent="0.35">
      <c r="A2599" t="s">
        <v>84</v>
      </c>
      <c r="B2599" t="s">
        <v>85</v>
      </c>
      <c r="C2599" t="s">
        <v>47</v>
      </c>
      <c r="D2599">
        <v>3100068</v>
      </c>
      <c r="E2599">
        <v>3100064</v>
      </c>
      <c r="F2599" t="s">
        <v>14</v>
      </c>
      <c r="G2599" t="s">
        <v>14</v>
      </c>
      <c r="H2599" t="s">
        <v>111</v>
      </c>
      <c r="I2599">
        <v>6958502</v>
      </c>
      <c r="J2599" s="12">
        <v>46121</v>
      </c>
      <c r="K2599" s="12">
        <v>46121</v>
      </c>
      <c r="L2599" s="12">
        <v>46121</v>
      </c>
      <c r="M2599">
        <v>11</v>
      </c>
      <c r="N2599">
        <v>-263283</v>
      </c>
      <c r="O2599">
        <v>-263283</v>
      </c>
      <c r="P2599">
        <v>0</v>
      </c>
      <c r="Q2599">
        <v>-263283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 t="s">
        <v>47</v>
      </c>
      <c r="AA2599" t="s">
        <v>501</v>
      </c>
      <c r="AB2599" t="s">
        <v>51</v>
      </c>
      <c r="AC2599" t="s">
        <v>51</v>
      </c>
      <c r="AD2599" t="s">
        <v>51</v>
      </c>
      <c r="AE2599" t="s">
        <v>51</v>
      </c>
      <c r="AF2599" t="s">
        <v>423</v>
      </c>
    </row>
    <row r="2600" spans="1:32" ht="14.5" customHeight="1" x14ac:dyDescent="0.35">
      <c r="A2600" t="s">
        <v>84</v>
      </c>
      <c r="B2600" t="s">
        <v>85</v>
      </c>
      <c r="C2600" t="s">
        <v>47</v>
      </c>
      <c r="D2600">
        <v>3100068</v>
      </c>
      <c r="E2600">
        <v>3100609</v>
      </c>
      <c r="F2600" t="s">
        <v>14</v>
      </c>
      <c r="G2600" t="s">
        <v>14</v>
      </c>
      <c r="H2600" t="s">
        <v>54</v>
      </c>
      <c r="I2600">
        <v>6958519</v>
      </c>
      <c r="J2600" s="12">
        <v>46121</v>
      </c>
      <c r="K2600" s="12">
        <v>46121</v>
      </c>
      <c r="L2600" s="12">
        <v>46121</v>
      </c>
      <c r="M2600">
        <v>11</v>
      </c>
      <c r="N2600">
        <v>-2244000</v>
      </c>
      <c r="O2600">
        <v>-2244000</v>
      </c>
      <c r="P2600">
        <v>0</v>
      </c>
      <c r="Q2600">
        <v>-2244000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 t="s">
        <v>47</v>
      </c>
      <c r="AA2600" t="s">
        <v>501</v>
      </c>
      <c r="AB2600" t="s">
        <v>51</v>
      </c>
      <c r="AC2600" t="s">
        <v>51</v>
      </c>
      <c r="AD2600" t="s">
        <v>51</v>
      </c>
      <c r="AE2600" t="s">
        <v>51</v>
      </c>
      <c r="AF2600" t="s">
        <v>1963</v>
      </c>
    </row>
    <row r="2601" spans="1:32" ht="14.5" customHeight="1" x14ac:dyDescent="0.35">
      <c r="A2601" t="s">
        <v>84</v>
      </c>
      <c r="B2601" t="s">
        <v>85</v>
      </c>
      <c r="C2601" t="s">
        <v>47</v>
      </c>
      <c r="D2601">
        <v>3100068</v>
      </c>
      <c r="E2601">
        <v>3100067</v>
      </c>
      <c r="F2601" t="s">
        <v>14</v>
      </c>
      <c r="G2601" t="s">
        <v>14</v>
      </c>
      <c r="H2601" t="s">
        <v>54</v>
      </c>
      <c r="I2601">
        <v>6958655</v>
      </c>
      <c r="J2601" s="12">
        <v>46122</v>
      </c>
      <c r="K2601" s="12">
        <v>46122</v>
      </c>
      <c r="L2601" s="12">
        <v>46122</v>
      </c>
      <c r="M2601">
        <v>10</v>
      </c>
      <c r="N2601">
        <v>-181988396</v>
      </c>
      <c r="O2601">
        <v>-181988396</v>
      </c>
      <c r="P2601">
        <v>0</v>
      </c>
      <c r="Q2601">
        <v>-181988396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 t="s">
        <v>47</v>
      </c>
      <c r="AA2601" t="s">
        <v>501</v>
      </c>
      <c r="AB2601" t="s">
        <v>51</v>
      </c>
      <c r="AC2601" t="s">
        <v>51</v>
      </c>
      <c r="AD2601" t="s">
        <v>51</v>
      </c>
      <c r="AE2601" t="s">
        <v>51</v>
      </c>
      <c r="AF2601" t="s">
        <v>325</v>
      </c>
    </row>
    <row r="2602" spans="1:32" ht="14.5" customHeight="1" x14ac:dyDescent="0.35">
      <c r="A2602" t="s">
        <v>84</v>
      </c>
      <c r="B2602" t="s">
        <v>85</v>
      </c>
      <c r="C2602" t="s">
        <v>846</v>
      </c>
      <c r="D2602">
        <v>3100068</v>
      </c>
      <c r="E2602">
        <v>3100747</v>
      </c>
      <c r="F2602" t="s">
        <v>14</v>
      </c>
      <c r="G2602" t="s">
        <v>1956</v>
      </c>
      <c r="H2602" t="s">
        <v>111</v>
      </c>
      <c r="I2602">
        <v>6958974</v>
      </c>
      <c r="J2602" s="12">
        <v>46125</v>
      </c>
      <c r="K2602" s="12">
        <v>46125</v>
      </c>
      <c r="L2602" s="12">
        <v>46125</v>
      </c>
      <c r="M2602">
        <v>7</v>
      </c>
      <c r="N2602">
        <v>-350609</v>
      </c>
      <c r="O2602">
        <v>-350609</v>
      </c>
      <c r="P2602">
        <v>0</v>
      </c>
      <c r="Q2602">
        <v>-350609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 t="s">
        <v>846</v>
      </c>
      <c r="AA2602" t="s">
        <v>501</v>
      </c>
      <c r="AB2602" t="s">
        <v>51</v>
      </c>
      <c r="AC2602" t="s">
        <v>51</v>
      </c>
      <c r="AD2602" t="s">
        <v>51</v>
      </c>
      <c r="AE2602" t="s">
        <v>51</v>
      </c>
      <c r="AF2602" t="s">
        <v>106</v>
      </c>
    </row>
    <row r="2603" spans="1:32" ht="14.5" customHeight="1" x14ac:dyDescent="0.35">
      <c r="A2603" t="s">
        <v>84</v>
      </c>
      <c r="B2603" t="s">
        <v>85</v>
      </c>
      <c r="C2603" t="s">
        <v>846</v>
      </c>
      <c r="D2603">
        <v>3100068</v>
      </c>
      <c r="E2603">
        <v>3100610</v>
      </c>
      <c r="F2603" t="s">
        <v>14</v>
      </c>
      <c r="G2603" t="s">
        <v>14</v>
      </c>
      <c r="H2603" t="s">
        <v>111</v>
      </c>
      <c r="I2603">
        <v>6958982</v>
      </c>
      <c r="J2603" s="12">
        <v>46125</v>
      </c>
      <c r="K2603" s="12">
        <v>46125</v>
      </c>
      <c r="L2603" s="12">
        <v>46125</v>
      </c>
      <c r="M2603">
        <v>7</v>
      </c>
      <c r="N2603">
        <v>-292481</v>
      </c>
      <c r="O2603">
        <v>-292481</v>
      </c>
      <c r="P2603">
        <v>0</v>
      </c>
      <c r="Q2603">
        <v>-292481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 t="s">
        <v>846</v>
      </c>
      <c r="AA2603" t="s">
        <v>501</v>
      </c>
      <c r="AB2603" t="s">
        <v>51</v>
      </c>
      <c r="AC2603" t="s">
        <v>51</v>
      </c>
      <c r="AD2603" t="s">
        <v>51</v>
      </c>
      <c r="AE2603" t="s">
        <v>51</v>
      </c>
      <c r="AF2603" t="s">
        <v>1964</v>
      </c>
    </row>
    <row r="2604" spans="1:32" ht="14.5" customHeight="1" x14ac:dyDescent="0.35">
      <c r="A2604" t="s">
        <v>84</v>
      </c>
      <c r="B2604" t="s">
        <v>85</v>
      </c>
      <c r="C2604" t="s">
        <v>47</v>
      </c>
      <c r="D2604">
        <v>3100068</v>
      </c>
      <c r="E2604">
        <v>3100064</v>
      </c>
      <c r="F2604" t="s">
        <v>14</v>
      </c>
      <c r="G2604" t="s">
        <v>14</v>
      </c>
      <c r="H2604" t="s">
        <v>54</v>
      </c>
      <c r="I2604">
        <v>6959097</v>
      </c>
      <c r="J2604" s="12">
        <v>46125</v>
      </c>
      <c r="K2604" s="12">
        <v>46125</v>
      </c>
      <c r="L2604" s="12">
        <v>46125</v>
      </c>
      <c r="M2604">
        <v>7</v>
      </c>
      <c r="N2604">
        <v>-139425</v>
      </c>
      <c r="O2604">
        <v>-139425</v>
      </c>
      <c r="P2604">
        <v>0</v>
      </c>
      <c r="Q2604">
        <v>-139425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 t="s">
        <v>47</v>
      </c>
      <c r="AA2604" t="s">
        <v>501</v>
      </c>
      <c r="AB2604" t="s">
        <v>51</v>
      </c>
      <c r="AC2604" t="s">
        <v>51</v>
      </c>
      <c r="AD2604" t="s">
        <v>51</v>
      </c>
      <c r="AE2604" t="s">
        <v>51</v>
      </c>
      <c r="AF2604" t="s">
        <v>1965</v>
      </c>
    </row>
    <row r="2605" spans="1:32" ht="14.5" customHeight="1" x14ac:dyDescent="0.35">
      <c r="A2605" t="s">
        <v>84</v>
      </c>
      <c r="B2605" t="s">
        <v>85</v>
      </c>
      <c r="C2605" t="s">
        <v>47</v>
      </c>
      <c r="D2605">
        <v>3100068</v>
      </c>
      <c r="E2605">
        <v>3100064</v>
      </c>
      <c r="F2605" t="s">
        <v>14</v>
      </c>
      <c r="G2605" t="s">
        <v>14</v>
      </c>
      <c r="H2605" t="s">
        <v>54</v>
      </c>
      <c r="I2605">
        <v>6959098</v>
      </c>
      <c r="J2605" s="12">
        <v>46125</v>
      </c>
      <c r="K2605" s="12">
        <v>46125</v>
      </c>
      <c r="L2605" s="12">
        <v>46125</v>
      </c>
      <c r="M2605">
        <v>7</v>
      </c>
      <c r="N2605">
        <v>-745003</v>
      </c>
      <c r="O2605">
        <v>-745003</v>
      </c>
      <c r="P2605">
        <v>0</v>
      </c>
      <c r="Q2605">
        <v>-745003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 t="s">
        <v>47</v>
      </c>
      <c r="AA2605" t="s">
        <v>501</v>
      </c>
      <c r="AB2605" t="s">
        <v>51</v>
      </c>
      <c r="AC2605" t="s">
        <v>51</v>
      </c>
      <c r="AD2605" t="s">
        <v>51</v>
      </c>
      <c r="AE2605" t="s">
        <v>51</v>
      </c>
      <c r="AF2605" t="s">
        <v>1965</v>
      </c>
    </row>
    <row r="2606" spans="1:32" ht="14.5" customHeight="1" x14ac:dyDescent="0.35">
      <c r="A2606" t="s">
        <v>84</v>
      </c>
      <c r="B2606" t="s">
        <v>85</v>
      </c>
      <c r="C2606" t="s">
        <v>47</v>
      </c>
      <c r="D2606">
        <v>3100068</v>
      </c>
      <c r="E2606">
        <v>3100609</v>
      </c>
      <c r="F2606" t="s">
        <v>14</v>
      </c>
      <c r="G2606" t="s">
        <v>14</v>
      </c>
      <c r="H2606" t="s">
        <v>54</v>
      </c>
      <c r="I2606">
        <v>6959100</v>
      </c>
      <c r="J2606" s="12">
        <v>46125</v>
      </c>
      <c r="K2606" s="12">
        <v>46125</v>
      </c>
      <c r="L2606" s="12">
        <v>46125</v>
      </c>
      <c r="M2606">
        <v>7</v>
      </c>
      <c r="N2606">
        <v>-2244000</v>
      </c>
      <c r="O2606">
        <v>-2244000</v>
      </c>
      <c r="P2606">
        <v>0</v>
      </c>
      <c r="Q2606">
        <v>-2244000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 t="s">
        <v>47</v>
      </c>
      <c r="AA2606" t="s">
        <v>501</v>
      </c>
      <c r="AB2606" t="s">
        <v>51</v>
      </c>
      <c r="AC2606" t="s">
        <v>51</v>
      </c>
      <c r="AD2606" t="s">
        <v>51</v>
      </c>
      <c r="AE2606" t="s">
        <v>51</v>
      </c>
      <c r="AF2606" t="s">
        <v>1963</v>
      </c>
    </row>
    <row r="2607" spans="1:32" ht="14.5" customHeight="1" x14ac:dyDescent="0.35">
      <c r="A2607" t="s">
        <v>84</v>
      </c>
      <c r="B2607" t="s">
        <v>85</v>
      </c>
      <c r="C2607" t="s">
        <v>47</v>
      </c>
      <c r="D2607">
        <v>3100068</v>
      </c>
      <c r="E2607">
        <v>3100609</v>
      </c>
      <c r="F2607" t="s">
        <v>14</v>
      </c>
      <c r="G2607" t="s">
        <v>14</v>
      </c>
      <c r="H2607" t="s">
        <v>54</v>
      </c>
      <c r="I2607">
        <v>6959101</v>
      </c>
      <c r="J2607" s="12">
        <v>46125</v>
      </c>
      <c r="K2607" s="12">
        <v>46125</v>
      </c>
      <c r="L2607" s="12">
        <v>46125</v>
      </c>
      <c r="M2607">
        <v>7</v>
      </c>
      <c r="N2607">
        <v>-289042</v>
      </c>
      <c r="O2607">
        <v>-289042</v>
      </c>
      <c r="P2607">
        <v>0</v>
      </c>
      <c r="Q2607">
        <v>-289042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 t="s">
        <v>47</v>
      </c>
      <c r="AA2607" t="s">
        <v>501</v>
      </c>
      <c r="AB2607" t="s">
        <v>51</v>
      </c>
      <c r="AC2607" t="s">
        <v>51</v>
      </c>
      <c r="AD2607" t="s">
        <v>51</v>
      </c>
      <c r="AE2607" t="s">
        <v>51</v>
      </c>
      <c r="AF2607" t="s">
        <v>1963</v>
      </c>
    </row>
    <row r="2608" spans="1:32" ht="14.5" customHeight="1" x14ac:dyDescent="0.35">
      <c r="A2608" t="s">
        <v>84</v>
      </c>
      <c r="B2608" t="s">
        <v>85</v>
      </c>
      <c r="C2608" t="s">
        <v>47</v>
      </c>
      <c r="D2608">
        <v>3100068</v>
      </c>
      <c r="E2608">
        <v>3100609</v>
      </c>
      <c r="F2608" t="s">
        <v>14</v>
      </c>
      <c r="G2608" t="s">
        <v>14</v>
      </c>
      <c r="H2608" t="s">
        <v>54</v>
      </c>
      <c r="I2608">
        <v>6959102</v>
      </c>
      <c r="J2608" s="12">
        <v>46125</v>
      </c>
      <c r="K2608" s="12">
        <v>46125</v>
      </c>
      <c r="L2608" s="12">
        <v>46125</v>
      </c>
      <c r="M2608">
        <v>7</v>
      </c>
      <c r="N2608">
        <v>-1325890</v>
      </c>
      <c r="O2608">
        <v>-1325890</v>
      </c>
      <c r="P2608">
        <v>0</v>
      </c>
      <c r="Q2608">
        <v>-1325890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 t="s">
        <v>47</v>
      </c>
      <c r="AA2608" t="s">
        <v>501</v>
      </c>
      <c r="AB2608" t="s">
        <v>51</v>
      </c>
      <c r="AC2608" t="s">
        <v>51</v>
      </c>
      <c r="AD2608" t="s">
        <v>51</v>
      </c>
      <c r="AE2608" t="s">
        <v>51</v>
      </c>
      <c r="AF2608" t="s">
        <v>1963</v>
      </c>
    </row>
    <row r="2609" spans="1:32" ht="14.5" customHeight="1" x14ac:dyDescent="0.35">
      <c r="A2609" t="s">
        <v>84</v>
      </c>
      <c r="B2609" t="s">
        <v>85</v>
      </c>
      <c r="C2609" t="s">
        <v>47</v>
      </c>
      <c r="D2609">
        <v>3100068</v>
      </c>
      <c r="E2609">
        <v>3100609</v>
      </c>
      <c r="F2609" t="s">
        <v>14</v>
      </c>
      <c r="G2609" t="s">
        <v>14</v>
      </c>
      <c r="H2609" t="s">
        <v>54</v>
      </c>
      <c r="I2609">
        <v>6959103</v>
      </c>
      <c r="J2609" s="12">
        <v>46125</v>
      </c>
      <c r="K2609" s="12">
        <v>46125</v>
      </c>
      <c r="L2609" s="12">
        <v>46125</v>
      </c>
      <c r="M2609">
        <v>7</v>
      </c>
      <c r="N2609">
        <v>-1047516</v>
      </c>
      <c r="O2609">
        <v>-1047516</v>
      </c>
      <c r="P2609">
        <v>0</v>
      </c>
      <c r="Q2609">
        <v>-1047516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 t="s">
        <v>47</v>
      </c>
      <c r="AA2609" t="s">
        <v>501</v>
      </c>
      <c r="AB2609" t="s">
        <v>51</v>
      </c>
      <c r="AC2609" t="s">
        <v>51</v>
      </c>
      <c r="AD2609" t="s">
        <v>51</v>
      </c>
      <c r="AE2609" t="s">
        <v>51</v>
      </c>
      <c r="AF2609" t="s">
        <v>1963</v>
      </c>
    </row>
    <row r="2610" spans="1:32" ht="14.5" customHeight="1" x14ac:dyDescent="0.35">
      <c r="A2610" t="s">
        <v>84</v>
      </c>
      <c r="B2610" t="s">
        <v>85</v>
      </c>
      <c r="C2610" t="s">
        <v>47</v>
      </c>
      <c r="D2610">
        <v>3100068</v>
      </c>
      <c r="E2610">
        <v>3100682</v>
      </c>
      <c r="F2610" t="s">
        <v>14</v>
      </c>
      <c r="G2610" t="s">
        <v>1962</v>
      </c>
      <c r="H2610" t="s">
        <v>54</v>
      </c>
      <c r="I2610">
        <v>6959104</v>
      </c>
      <c r="J2610" s="12">
        <v>46125</v>
      </c>
      <c r="K2610" s="12">
        <v>46125</v>
      </c>
      <c r="L2610" s="12">
        <v>46125</v>
      </c>
      <c r="M2610">
        <v>7</v>
      </c>
      <c r="N2610">
        <v>-2614132</v>
      </c>
      <c r="O2610">
        <v>-2614132</v>
      </c>
      <c r="P2610">
        <v>0</v>
      </c>
      <c r="Q2610">
        <v>-2614132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 t="s">
        <v>47</v>
      </c>
      <c r="AA2610" t="s">
        <v>501</v>
      </c>
      <c r="AB2610" t="s">
        <v>51</v>
      </c>
      <c r="AC2610" t="s">
        <v>51</v>
      </c>
      <c r="AD2610" t="s">
        <v>51</v>
      </c>
      <c r="AE2610" t="s">
        <v>51</v>
      </c>
      <c r="AF2610" t="s">
        <v>1966</v>
      </c>
    </row>
    <row r="2611" spans="1:32" ht="14.5" customHeight="1" x14ac:dyDescent="0.35">
      <c r="A2611" t="s">
        <v>84</v>
      </c>
      <c r="B2611" t="s">
        <v>85</v>
      </c>
      <c r="C2611" t="s">
        <v>47</v>
      </c>
      <c r="D2611">
        <v>3100068</v>
      </c>
      <c r="E2611">
        <v>3100682</v>
      </c>
      <c r="F2611" t="s">
        <v>14</v>
      </c>
      <c r="G2611" t="s">
        <v>1962</v>
      </c>
      <c r="H2611" t="s">
        <v>54</v>
      </c>
      <c r="I2611">
        <v>6959105</v>
      </c>
      <c r="J2611" s="12">
        <v>46125</v>
      </c>
      <c r="K2611" s="12">
        <v>46125</v>
      </c>
      <c r="L2611" s="12">
        <v>46125</v>
      </c>
      <c r="M2611">
        <v>7</v>
      </c>
      <c r="N2611">
        <v>-164761</v>
      </c>
      <c r="O2611">
        <v>-164761</v>
      </c>
      <c r="P2611">
        <v>0</v>
      </c>
      <c r="Q2611">
        <v>-164761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 t="s">
        <v>47</v>
      </c>
      <c r="AA2611" t="s">
        <v>501</v>
      </c>
      <c r="AB2611" t="s">
        <v>51</v>
      </c>
      <c r="AC2611" t="s">
        <v>51</v>
      </c>
      <c r="AD2611" t="s">
        <v>51</v>
      </c>
      <c r="AE2611" t="s">
        <v>51</v>
      </c>
      <c r="AF2611" t="s">
        <v>1967</v>
      </c>
    </row>
    <row r="2612" spans="1:32" ht="14.5" customHeight="1" x14ac:dyDescent="0.35">
      <c r="A2612" t="s">
        <v>84</v>
      </c>
      <c r="B2612" t="s">
        <v>85</v>
      </c>
      <c r="C2612" t="s">
        <v>47</v>
      </c>
      <c r="D2612">
        <v>3100068</v>
      </c>
      <c r="E2612">
        <v>3100682</v>
      </c>
      <c r="F2612" t="s">
        <v>14</v>
      </c>
      <c r="G2612" t="s">
        <v>1962</v>
      </c>
      <c r="H2612" t="s">
        <v>54</v>
      </c>
      <c r="I2612">
        <v>6959106</v>
      </c>
      <c r="J2612" s="12">
        <v>46125</v>
      </c>
      <c r="K2612" s="12">
        <v>46125</v>
      </c>
      <c r="L2612" s="12">
        <v>46125</v>
      </c>
      <c r="M2612">
        <v>7</v>
      </c>
      <c r="N2612">
        <v>-1448033</v>
      </c>
      <c r="O2612">
        <v>-1448033</v>
      </c>
      <c r="P2612">
        <v>0</v>
      </c>
      <c r="Q2612">
        <v>-1448033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 t="s">
        <v>47</v>
      </c>
      <c r="AA2612" t="s">
        <v>501</v>
      </c>
      <c r="AB2612" t="s">
        <v>51</v>
      </c>
      <c r="AC2612" t="s">
        <v>51</v>
      </c>
      <c r="AD2612" t="s">
        <v>51</v>
      </c>
      <c r="AE2612" t="s">
        <v>51</v>
      </c>
      <c r="AF2612" t="s">
        <v>1967</v>
      </c>
    </row>
    <row r="2613" spans="1:32" ht="14.5" customHeight="1" x14ac:dyDescent="0.35">
      <c r="A2613" t="s">
        <v>84</v>
      </c>
      <c r="B2613" t="s">
        <v>85</v>
      </c>
      <c r="C2613" t="s">
        <v>47</v>
      </c>
      <c r="D2613">
        <v>3100068</v>
      </c>
      <c r="E2613">
        <v>3100746</v>
      </c>
      <c r="F2613" t="s">
        <v>14</v>
      </c>
      <c r="G2613" t="s">
        <v>1956</v>
      </c>
      <c r="H2613" t="s">
        <v>54</v>
      </c>
      <c r="I2613">
        <v>6959107</v>
      </c>
      <c r="J2613" s="12">
        <v>46125</v>
      </c>
      <c r="K2613" s="12">
        <v>46125</v>
      </c>
      <c r="L2613" s="12">
        <v>46125</v>
      </c>
      <c r="M2613">
        <v>7</v>
      </c>
      <c r="N2613">
        <v>-4608214</v>
      </c>
      <c r="O2613">
        <v>-4608214</v>
      </c>
      <c r="P2613">
        <v>0</v>
      </c>
      <c r="Q2613">
        <v>-4608214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 t="s">
        <v>47</v>
      </c>
      <c r="AA2613" t="s">
        <v>501</v>
      </c>
      <c r="AB2613" t="s">
        <v>51</v>
      </c>
      <c r="AC2613" t="s">
        <v>51</v>
      </c>
      <c r="AD2613" t="s">
        <v>51</v>
      </c>
      <c r="AE2613" t="s">
        <v>51</v>
      </c>
      <c r="AF2613" t="s">
        <v>1968</v>
      </c>
    </row>
    <row r="2614" spans="1:32" ht="14.5" customHeight="1" x14ac:dyDescent="0.35">
      <c r="A2614" t="s">
        <v>84</v>
      </c>
      <c r="B2614" t="s">
        <v>85</v>
      </c>
      <c r="C2614" t="s">
        <v>47</v>
      </c>
      <c r="D2614">
        <v>3100068</v>
      </c>
      <c r="E2614">
        <v>3100750</v>
      </c>
      <c r="F2614" t="s">
        <v>14</v>
      </c>
      <c r="G2614" t="s">
        <v>1958</v>
      </c>
      <c r="H2614" t="s">
        <v>54</v>
      </c>
      <c r="I2614">
        <v>6959108</v>
      </c>
      <c r="J2614" s="12">
        <v>46125</v>
      </c>
      <c r="K2614" s="12">
        <v>46125</v>
      </c>
      <c r="L2614" s="12">
        <v>46125</v>
      </c>
      <c r="M2614">
        <v>7</v>
      </c>
      <c r="N2614">
        <v>-1197188</v>
      </c>
      <c r="O2614">
        <v>-1197188</v>
      </c>
      <c r="P2614">
        <v>0</v>
      </c>
      <c r="Q2614">
        <v>-1197188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 t="s">
        <v>47</v>
      </c>
      <c r="AA2614" t="s">
        <v>501</v>
      </c>
      <c r="AB2614" t="s">
        <v>51</v>
      </c>
      <c r="AC2614" t="s">
        <v>51</v>
      </c>
      <c r="AD2614" t="s">
        <v>51</v>
      </c>
      <c r="AE2614" t="s">
        <v>51</v>
      </c>
      <c r="AF2614" t="s">
        <v>1969</v>
      </c>
    </row>
    <row r="2615" spans="1:32" ht="14.5" customHeight="1" x14ac:dyDescent="0.35">
      <c r="A2615" t="s">
        <v>84</v>
      </c>
      <c r="B2615" t="s">
        <v>85</v>
      </c>
      <c r="C2615" t="s">
        <v>47</v>
      </c>
      <c r="D2615">
        <v>3100068</v>
      </c>
      <c r="E2615">
        <v>3100750</v>
      </c>
      <c r="F2615" t="s">
        <v>14</v>
      </c>
      <c r="G2615" t="s">
        <v>1958</v>
      </c>
      <c r="H2615" t="s">
        <v>54</v>
      </c>
      <c r="I2615">
        <v>6959109</v>
      </c>
      <c r="J2615" s="12">
        <v>46125</v>
      </c>
      <c r="K2615" s="12">
        <v>46125</v>
      </c>
      <c r="L2615" s="12">
        <v>46125</v>
      </c>
      <c r="M2615">
        <v>7</v>
      </c>
      <c r="N2615">
        <v>-12589500</v>
      </c>
      <c r="O2615">
        <v>-12589500</v>
      </c>
      <c r="P2615">
        <v>0</v>
      </c>
      <c r="Q2615">
        <v>-12589500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 t="s">
        <v>47</v>
      </c>
      <c r="AA2615" t="s">
        <v>501</v>
      </c>
      <c r="AB2615" t="s">
        <v>51</v>
      </c>
      <c r="AC2615" t="s">
        <v>51</v>
      </c>
      <c r="AD2615" t="s">
        <v>51</v>
      </c>
      <c r="AE2615" t="s">
        <v>51</v>
      </c>
      <c r="AF2615" t="s">
        <v>1970</v>
      </c>
    </row>
    <row r="2616" spans="1:32" ht="14.5" customHeight="1" x14ac:dyDescent="0.35">
      <c r="A2616" t="s">
        <v>84</v>
      </c>
      <c r="B2616" t="s">
        <v>85</v>
      </c>
      <c r="C2616" t="s">
        <v>47</v>
      </c>
      <c r="D2616">
        <v>3100068</v>
      </c>
      <c r="E2616">
        <v>3100750</v>
      </c>
      <c r="F2616" t="s">
        <v>14</v>
      </c>
      <c r="G2616" t="s">
        <v>1958</v>
      </c>
      <c r="H2616" t="s">
        <v>54</v>
      </c>
      <c r="I2616">
        <v>6959110</v>
      </c>
      <c r="J2616" s="12">
        <v>46125</v>
      </c>
      <c r="K2616" s="12">
        <v>46125</v>
      </c>
      <c r="L2616" s="12">
        <v>46125</v>
      </c>
      <c r="M2616">
        <v>7</v>
      </c>
      <c r="N2616">
        <v>-9608034</v>
      </c>
      <c r="O2616">
        <v>-9608034</v>
      </c>
      <c r="P2616">
        <v>0</v>
      </c>
      <c r="Q2616">
        <v>-9608034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 t="s">
        <v>47</v>
      </c>
      <c r="AA2616" t="s">
        <v>501</v>
      </c>
      <c r="AB2616" t="s">
        <v>51</v>
      </c>
      <c r="AC2616" t="s">
        <v>51</v>
      </c>
      <c r="AD2616" t="s">
        <v>51</v>
      </c>
      <c r="AE2616" t="s">
        <v>51</v>
      </c>
      <c r="AF2616" t="s">
        <v>1971</v>
      </c>
    </row>
    <row r="2617" spans="1:32" ht="14.5" customHeight="1" x14ac:dyDescent="0.35">
      <c r="A2617" t="s">
        <v>84</v>
      </c>
      <c r="B2617" t="s">
        <v>85</v>
      </c>
      <c r="C2617" t="s">
        <v>47</v>
      </c>
      <c r="D2617">
        <v>3100068</v>
      </c>
      <c r="E2617">
        <v>3100858</v>
      </c>
      <c r="F2617" t="s">
        <v>14</v>
      </c>
      <c r="G2617" t="s">
        <v>1960</v>
      </c>
      <c r="H2617" t="s">
        <v>54</v>
      </c>
      <c r="I2617">
        <v>6959111</v>
      </c>
      <c r="J2617" s="12">
        <v>46125</v>
      </c>
      <c r="K2617" s="12">
        <v>46125</v>
      </c>
      <c r="L2617" s="12">
        <v>46125</v>
      </c>
      <c r="M2617">
        <v>7</v>
      </c>
      <c r="N2617">
        <v>-13243500</v>
      </c>
      <c r="O2617">
        <v>-13243500</v>
      </c>
      <c r="P2617">
        <v>0</v>
      </c>
      <c r="Q2617">
        <v>-13243500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 t="s">
        <v>47</v>
      </c>
      <c r="AA2617" t="s">
        <v>501</v>
      </c>
      <c r="AB2617" t="s">
        <v>51</v>
      </c>
      <c r="AC2617" t="s">
        <v>51</v>
      </c>
      <c r="AD2617" t="s">
        <v>51</v>
      </c>
      <c r="AE2617" t="s">
        <v>51</v>
      </c>
      <c r="AF2617" t="s">
        <v>1972</v>
      </c>
    </row>
    <row r="2618" spans="1:32" ht="14.5" customHeight="1" x14ac:dyDescent="0.35">
      <c r="A2618" t="s">
        <v>84</v>
      </c>
      <c r="B2618" t="s">
        <v>85</v>
      </c>
      <c r="C2618" t="s">
        <v>47</v>
      </c>
      <c r="D2618">
        <v>3100068</v>
      </c>
      <c r="E2618">
        <v>3100858</v>
      </c>
      <c r="F2618" t="s">
        <v>14</v>
      </c>
      <c r="G2618" t="s">
        <v>1960</v>
      </c>
      <c r="H2618" t="s">
        <v>54</v>
      </c>
      <c r="I2618">
        <v>6959112</v>
      </c>
      <c r="J2618" s="12">
        <v>46125</v>
      </c>
      <c r="K2618" s="12">
        <v>46125</v>
      </c>
      <c r="L2618" s="12">
        <v>46125</v>
      </c>
      <c r="M2618">
        <v>7</v>
      </c>
      <c r="N2618">
        <v>-13243500</v>
      </c>
      <c r="O2618">
        <v>-13243500</v>
      </c>
      <c r="P2618">
        <v>0</v>
      </c>
      <c r="Q2618">
        <v>-13243500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 t="s">
        <v>47</v>
      </c>
      <c r="AA2618" t="s">
        <v>501</v>
      </c>
      <c r="AB2618" t="s">
        <v>51</v>
      </c>
      <c r="AC2618" t="s">
        <v>51</v>
      </c>
      <c r="AD2618" t="s">
        <v>51</v>
      </c>
      <c r="AE2618" t="s">
        <v>51</v>
      </c>
      <c r="AF2618" t="s">
        <v>1972</v>
      </c>
    </row>
    <row r="2619" spans="1:32" ht="14.5" customHeight="1" x14ac:dyDescent="0.35">
      <c r="A2619" t="s">
        <v>84</v>
      </c>
      <c r="B2619" t="s">
        <v>85</v>
      </c>
      <c r="C2619" t="s">
        <v>47</v>
      </c>
      <c r="D2619">
        <v>3100068</v>
      </c>
      <c r="E2619">
        <v>3100858</v>
      </c>
      <c r="F2619" t="s">
        <v>14</v>
      </c>
      <c r="G2619" t="s">
        <v>1960</v>
      </c>
      <c r="H2619" t="s">
        <v>54</v>
      </c>
      <c r="I2619">
        <v>6959113</v>
      </c>
      <c r="J2619" s="12">
        <v>46125</v>
      </c>
      <c r="K2619" s="12">
        <v>46125</v>
      </c>
      <c r="L2619" s="12">
        <v>46125</v>
      </c>
      <c r="M2619">
        <v>7</v>
      </c>
      <c r="N2619">
        <v>-13243500</v>
      </c>
      <c r="O2619">
        <v>-13243500</v>
      </c>
      <c r="P2619">
        <v>0</v>
      </c>
      <c r="Q2619">
        <v>-13243500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 t="s">
        <v>47</v>
      </c>
      <c r="AA2619" t="s">
        <v>501</v>
      </c>
      <c r="AB2619" t="s">
        <v>51</v>
      </c>
      <c r="AC2619" t="s">
        <v>51</v>
      </c>
      <c r="AD2619" t="s">
        <v>51</v>
      </c>
      <c r="AE2619" t="s">
        <v>51</v>
      </c>
      <c r="AF2619" t="s">
        <v>1972</v>
      </c>
    </row>
    <row r="2620" spans="1:32" ht="14.5" customHeight="1" x14ac:dyDescent="0.35">
      <c r="A2620" t="s">
        <v>84</v>
      </c>
      <c r="B2620" t="s">
        <v>85</v>
      </c>
      <c r="C2620" t="s">
        <v>47</v>
      </c>
      <c r="D2620">
        <v>3100068</v>
      </c>
      <c r="E2620">
        <v>3100858</v>
      </c>
      <c r="F2620" t="s">
        <v>14</v>
      </c>
      <c r="G2620" t="s">
        <v>1960</v>
      </c>
      <c r="H2620" t="s">
        <v>54</v>
      </c>
      <c r="I2620">
        <v>6959114</v>
      </c>
      <c r="J2620" s="12">
        <v>46125</v>
      </c>
      <c r="K2620" s="12">
        <v>46125</v>
      </c>
      <c r="L2620" s="12">
        <v>46125</v>
      </c>
      <c r="M2620">
        <v>7</v>
      </c>
      <c r="N2620">
        <v>-22673146</v>
      </c>
      <c r="O2620">
        <v>-22673146</v>
      </c>
      <c r="P2620">
        <v>0</v>
      </c>
      <c r="Q2620">
        <v>-22673146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 t="s">
        <v>47</v>
      </c>
      <c r="AA2620" t="s">
        <v>501</v>
      </c>
      <c r="AB2620" t="s">
        <v>51</v>
      </c>
      <c r="AC2620" t="s">
        <v>51</v>
      </c>
      <c r="AD2620" t="s">
        <v>51</v>
      </c>
      <c r="AE2620" t="s">
        <v>51</v>
      </c>
      <c r="AF2620" t="s">
        <v>1973</v>
      </c>
    </row>
    <row r="2621" spans="1:32" ht="14.5" customHeight="1" x14ac:dyDescent="0.35">
      <c r="A2621" t="s">
        <v>84</v>
      </c>
      <c r="B2621" t="s">
        <v>85</v>
      </c>
      <c r="C2621" t="s">
        <v>47</v>
      </c>
      <c r="D2621">
        <v>3100068</v>
      </c>
      <c r="E2621">
        <v>3100858</v>
      </c>
      <c r="F2621" t="s">
        <v>14</v>
      </c>
      <c r="G2621" t="s">
        <v>1960</v>
      </c>
      <c r="H2621" t="s">
        <v>54</v>
      </c>
      <c r="I2621">
        <v>6959177</v>
      </c>
      <c r="J2621" s="12">
        <v>46126</v>
      </c>
      <c r="K2621" s="12">
        <v>46126</v>
      </c>
      <c r="L2621" s="12">
        <v>46126</v>
      </c>
      <c r="M2621">
        <v>6</v>
      </c>
      <c r="N2621">
        <v>-18321900</v>
      </c>
      <c r="O2621">
        <v>-18321900</v>
      </c>
      <c r="P2621">
        <v>0</v>
      </c>
      <c r="Q2621">
        <v>-18321900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 t="s">
        <v>47</v>
      </c>
      <c r="AA2621" t="s">
        <v>501</v>
      </c>
      <c r="AB2621" t="s">
        <v>51</v>
      </c>
      <c r="AC2621" t="s">
        <v>51</v>
      </c>
      <c r="AD2621" t="s">
        <v>51</v>
      </c>
      <c r="AE2621" t="s">
        <v>51</v>
      </c>
      <c r="AF2621" t="s">
        <v>461</v>
      </c>
    </row>
    <row r="2622" spans="1:32" ht="14.5" customHeight="1" x14ac:dyDescent="0.35">
      <c r="A2622" t="s">
        <v>84</v>
      </c>
      <c r="B2622" t="s">
        <v>85</v>
      </c>
      <c r="C2622" t="s">
        <v>47</v>
      </c>
      <c r="D2622">
        <v>3100068</v>
      </c>
      <c r="E2622">
        <v>3100064</v>
      </c>
      <c r="F2622" t="s">
        <v>14</v>
      </c>
      <c r="G2622" t="s">
        <v>14</v>
      </c>
      <c r="H2622" t="s">
        <v>54</v>
      </c>
      <c r="I2622">
        <v>6959180</v>
      </c>
      <c r="J2622" s="12">
        <v>46126</v>
      </c>
      <c r="K2622" s="12">
        <v>46126</v>
      </c>
      <c r="L2622" s="12">
        <v>46126</v>
      </c>
      <c r="M2622">
        <v>6</v>
      </c>
      <c r="N2622">
        <v>-899250</v>
      </c>
      <c r="O2622">
        <v>-899250</v>
      </c>
      <c r="P2622">
        <v>0</v>
      </c>
      <c r="Q2622">
        <v>-899250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 t="s">
        <v>47</v>
      </c>
      <c r="AA2622" t="s">
        <v>501</v>
      </c>
      <c r="AB2622" t="s">
        <v>51</v>
      </c>
      <c r="AC2622" t="s">
        <v>51</v>
      </c>
      <c r="AD2622" t="s">
        <v>51</v>
      </c>
      <c r="AE2622" t="s">
        <v>51</v>
      </c>
      <c r="AF2622" t="s">
        <v>1974</v>
      </c>
    </row>
    <row r="2623" spans="1:32" ht="14.5" customHeight="1" x14ac:dyDescent="0.35">
      <c r="A2623" t="s">
        <v>84</v>
      </c>
      <c r="B2623" t="s">
        <v>85</v>
      </c>
      <c r="C2623" t="s">
        <v>47</v>
      </c>
      <c r="D2623">
        <v>3100068</v>
      </c>
      <c r="E2623">
        <v>3100064</v>
      </c>
      <c r="F2623" t="s">
        <v>14</v>
      </c>
      <c r="G2623" t="s">
        <v>14</v>
      </c>
      <c r="H2623" t="s">
        <v>54</v>
      </c>
      <c r="I2623">
        <v>6959181</v>
      </c>
      <c r="J2623" s="12">
        <v>46126</v>
      </c>
      <c r="K2623" s="12">
        <v>46126</v>
      </c>
      <c r="L2623" s="12">
        <v>46126</v>
      </c>
      <c r="M2623">
        <v>6</v>
      </c>
      <c r="N2623">
        <v>-899250</v>
      </c>
      <c r="O2623">
        <v>-899250</v>
      </c>
      <c r="P2623">
        <v>0</v>
      </c>
      <c r="Q2623">
        <v>-899250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 t="s">
        <v>47</v>
      </c>
      <c r="AA2623" t="s">
        <v>501</v>
      </c>
      <c r="AB2623" t="s">
        <v>51</v>
      </c>
      <c r="AC2623" t="s">
        <v>51</v>
      </c>
      <c r="AD2623" t="s">
        <v>51</v>
      </c>
      <c r="AE2623" t="s">
        <v>51</v>
      </c>
      <c r="AF2623" t="s">
        <v>1974</v>
      </c>
    </row>
    <row r="2624" spans="1:32" ht="14.5" customHeight="1" x14ac:dyDescent="0.35">
      <c r="A2624" t="s">
        <v>84</v>
      </c>
      <c r="B2624" t="s">
        <v>85</v>
      </c>
      <c r="C2624" t="s">
        <v>47</v>
      </c>
      <c r="D2624">
        <v>3100068</v>
      </c>
      <c r="E2624">
        <v>3100064</v>
      </c>
      <c r="F2624" t="s">
        <v>14</v>
      </c>
      <c r="G2624" t="s">
        <v>14</v>
      </c>
      <c r="H2624" t="s">
        <v>54</v>
      </c>
      <c r="I2624">
        <v>6959186</v>
      </c>
      <c r="J2624" s="12">
        <v>46126</v>
      </c>
      <c r="K2624" s="12">
        <v>46126</v>
      </c>
      <c r="L2624" s="12">
        <v>46126</v>
      </c>
      <c r="M2624">
        <v>6</v>
      </c>
      <c r="N2624">
        <v>-299750</v>
      </c>
      <c r="O2624">
        <v>-299750</v>
      </c>
      <c r="P2624">
        <v>0</v>
      </c>
      <c r="Q2624">
        <v>-299750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 t="s">
        <v>47</v>
      </c>
      <c r="AA2624" t="s">
        <v>501</v>
      </c>
      <c r="AB2624" t="s">
        <v>51</v>
      </c>
      <c r="AC2624" t="s">
        <v>51</v>
      </c>
      <c r="AD2624" t="s">
        <v>51</v>
      </c>
      <c r="AE2624" t="s">
        <v>51</v>
      </c>
      <c r="AF2624" t="s">
        <v>1974</v>
      </c>
    </row>
    <row r="2625" spans="1:32" ht="14.5" customHeight="1" x14ac:dyDescent="0.35">
      <c r="A2625" t="s">
        <v>84</v>
      </c>
      <c r="B2625" t="s">
        <v>85</v>
      </c>
      <c r="C2625" t="s">
        <v>47</v>
      </c>
      <c r="D2625">
        <v>3100068</v>
      </c>
      <c r="E2625">
        <v>3100064</v>
      </c>
      <c r="F2625" t="s">
        <v>14</v>
      </c>
      <c r="G2625" t="s">
        <v>14</v>
      </c>
      <c r="H2625" t="s">
        <v>54</v>
      </c>
      <c r="I2625">
        <v>6959200</v>
      </c>
      <c r="J2625" s="12">
        <v>46126</v>
      </c>
      <c r="K2625" s="12">
        <v>46126</v>
      </c>
      <c r="L2625" s="12">
        <v>46126</v>
      </c>
      <c r="M2625">
        <v>6</v>
      </c>
      <c r="N2625">
        <v>-4796000</v>
      </c>
      <c r="O2625">
        <v>-4796000</v>
      </c>
      <c r="P2625">
        <v>0</v>
      </c>
      <c r="Q2625">
        <v>-4796000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 t="s">
        <v>47</v>
      </c>
      <c r="AA2625" t="s">
        <v>501</v>
      </c>
      <c r="AB2625" t="s">
        <v>51</v>
      </c>
      <c r="AC2625" t="s">
        <v>51</v>
      </c>
      <c r="AD2625" t="s">
        <v>51</v>
      </c>
      <c r="AE2625" t="s">
        <v>51</v>
      </c>
      <c r="AF2625" t="s">
        <v>1975</v>
      </c>
    </row>
    <row r="2626" spans="1:32" ht="14.5" customHeight="1" x14ac:dyDescent="0.35">
      <c r="A2626" t="s">
        <v>84</v>
      </c>
      <c r="B2626" t="s">
        <v>85</v>
      </c>
      <c r="C2626" t="s">
        <v>47</v>
      </c>
      <c r="D2626">
        <v>3100068</v>
      </c>
      <c r="E2626">
        <v>3100064</v>
      </c>
      <c r="F2626" t="s">
        <v>14</v>
      </c>
      <c r="G2626" t="s">
        <v>14</v>
      </c>
      <c r="H2626" t="s">
        <v>54</v>
      </c>
      <c r="I2626">
        <v>6959201</v>
      </c>
      <c r="J2626" s="12">
        <v>46126</v>
      </c>
      <c r="K2626" s="12">
        <v>46126</v>
      </c>
      <c r="L2626" s="12">
        <v>46126</v>
      </c>
      <c r="M2626">
        <v>6</v>
      </c>
      <c r="N2626">
        <v>-4605250</v>
      </c>
      <c r="O2626">
        <v>-4605250</v>
      </c>
      <c r="P2626">
        <v>0</v>
      </c>
      <c r="Q2626">
        <v>-4605250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 t="s">
        <v>47</v>
      </c>
      <c r="AA2626" t="s">
        <v>501</v>
      </c>
      <c r="AB2626" t="s">
        <v>51</v>
      </c>
      <c r="AC2626" t="s">
        <v>51</v>
      </c>
      <c r="AD2626" t="s">
        <v>51</v>
      </c>
      <c r="AE2626" t="s">
        <v>51</v>
      </c>
      <c r="AF2626" t="s">
        <v>1976</v>
      </c>
    </row>
    <row r="2627" spans="1:32" ht="14.5" customHeight="1" x14ac:dyDescent="0.35">
      <c r="A2627" t="s">
        <v>84</v>
      </c>
      <c r="B2627" t="s">
        <v>85</v>
      </c>
      <c r="C2627" t="s">
        <v>47</v>
      </c>
      <c r="D2627">
        <v>3100068</v>
      </c>
      <c r="E2627">
        <v>3100064</v>
      </c>
      <c r="F2627" t="s">
        <v>14</v>
      </c>
      <c r="G2627" t="s">
        <v>14</v>
      </c>
      <c r="H2627" t="s">
        <v>54</v>
      </c>
      <c r="I2627">
        <v>6959202</v>
      </c>
      <c r="J2627" s="12">
        <v>46126</v>
      </c>
      <c r="K2627" s="12">
        <v>46126</v>
      </c>
      <c r="L2627" s="12">
        <v>46126</v>
      </c>
      <c r="M2627">
        <v>6</v>
      </c>
      <c r="N2627">
        <v>-218000</v>
      </c>
      <c r="O2627">
        <v>-218000</v>
      </c>
      <c r="P2627">
        <v>0</v>
      </c>
      <c r="Q2627">
        <v>-218000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 t="s">
        <v>47</v>
      </c>
      <c r="AA2627" t="s">
        <v>501</v>
      </c>
      <c r="AB2627" t="s">
        <v>51</v>
      </c>
      <c r="AC2627" t="s">
        <v>51</v>
      </c>
      <c r="AD2627" t="s">
        <v>51</v>
      </c>
      <c r="AE2627" t="s">
        <v>51</v>
      </c>
      <c r="AF2627" t="s">
        <v>1975</v>
      </c>
    </row>
    <row r="2628" spans="1:32" ht="14.5" customHeight="1" x14ac:dyDescent="0.35">
      <c r="A2628" t="s">
        <v>84</v>
      </c>
      <c r="B2628" t="s">
        <v>85</v>
      </c>
      <c r="C2628" t="s">
        <v>47</v>
      </c>
      <c r="D2628">
        <v>3100068</v>
      </c>
      <c r="E2628">
        <v>3100064</v>
      </c>
      <c r="F2628" t="s">
        <v>14</v>
      </c>
      <c r="G2628" t="s">
        <v>14</v>
      </c>
      <c r="H2628" t="s">
        <v>54</v>
      </c>
      <c r="I2628">
        <v>6959203</v>
      </c>
      <c r="J2628" s="12">
        <v>46126</v>
      </c>
      <c r="K2628" s="12">
        <v>46126</v>
      </c>
      <c r="L2628" s="12">
        <v>46126</v>
      </c>
      <c r="M2628">
        <v>6</v>
      </c>
      <c r="N2628">
        <v>-408750</v>
      </c>
      <c r="O2628">
        <v>-408750</v>
      </c>
      <c r="P2628">
        <v>0</v>
      </c>
      <c r="Q2628">
        <v>-408750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 t="s">
        <v>47</v>
      </c>
      <c r="AA2628" t="s">
        <v>501</v>
      </c>
      <c r="AB2628" t="s">
        <v>51</v>
      </c>
      <c r="AC2628" t="s">
        <v>51</v>
      </c>
      <c r="AD2628" t="s">
        <v>51</v>
      </c>
      <c r="AE2628" t="s">
        <v>51</v>
      </c>
      <c r="AF2628" t="s">
        <v>1976</v>
      </c>
    </row>
    <row r="2629" spans="1:32" ht="14.5" customHeight="1" x14ac:dyDescent="0.35">
      <c r="A2629" t="s">
        <v>84</v>
      </c>
      <c r="B2629" t="s">
        <v>85</v>
      </c>
      <c r="C2629" t="s">
        <v>47</v>
      </c>
      <c r="D2629">
        <v>3100068</v>
      </c>
      <c r="E2629">
        <v>3100609</v>
      </c>
      <c r="F2629" t="s">
        <v>14</v>
      </c>
      <c r="G2629" t="s">
        <v>14</v>
      </c>
      <c r="H2629" t="s">
        <v>54</v>
      </c>
      <c r="I2629">
        <v>6959249</v>
      </c>
      <c r="J2629" s="12">
        <v>46126</v>
      </c>
      <c r="K2629" s="12">
        <v>46126</v>
      </c>
      <c r="L2629" s="12">
        <v>46126</v>
      </c>
      <c r="M2629">
        <v>6</v>
      </c>
      <c r="N2629">
        <v>-436000</v>
      </c>
      <c r="O2629">
        <v>-436000</v>
      </c>
      <c r="P2629">
        <v>0</v>
      </c>
      <c r="Q2629">
        <v>-436000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 t="s">
        <v>47</v>
      </c>
      <c r="AA2629" t="s">
        <v>501</v>
      </c>
      <c r="AB2629" t="s">
        <v>51</v>
      </c>
      <c r="AC2629" t="s">
        <v>51</v>
      </c>
      <c r="AD2629" t="s">
        <v>51</v>
      </c>
      <c r="AE2629" t="s">
        <v>51</v>
      </c>
      <c r="AF2629" t="s">
        <v>1977</v>
      </c>
    </row>
    <row r="2630" spans="1:32" ht="14.5" customHeight="1" x14ac:dyDescent="0.35">
      <c r="A2630" t="s">
        <v>84</v>
      </c>
      <c r="B2630" t="s">
        <v>85</v>
      </c>
      <c r="C2630" t="s">
        <v>47</v>
      </c>
      <c r="D2630">
        <v>3100068</v>
      </c>
      <c r="E2630">
        <v>3100064</v>
      </c>
      <c r="F2630" t="s">
        <v>14</v>
      </c>
      <c r="G2630" t="s">
        <v>14</v>
      </c>
      <c r="H2630" t="s">
        <v>54</v>
      </c>
      <c r="I2630">
        <v>6959418</v>
      </c>
      <c r="J2630" s="12">
        <v>46127</v>
      </c>
      <c r="K2630" s="12">
        <v>46127</v>
      </c>
      <c r="L2630" s="12">
        <v>46127</v>
      </c>
      <c r="M2630">
        <v>5</v>
      </c>
      <c r="N2630">
        <v>-3566758</v>
      </c>
      <c r="O2630">
        <v>-3566758</v>
      </c>
      <c r="P2630">
        <v>0</v>
      </c>
      <c r="Q2630">
        <v>-3566758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 t="s">
        <v>47</v>
      </c>
      <c r="AA2630" t="s">
        <v>501</v>
      </c>
      <c r="AB2630" t="s">
        <v>51</v>
      </c>
      <c r="AC2630" t="s">
        <v>51</v>
      </c>
      <c r="AD2630" t="s">
        <v>51</v>
      </c>
      <c r="AE2630" t="s">
        <v>51</v>
      </c>
      <c r="AF2630" t="s">
        <v>1978</v>
      </c>
    </row>
    <row r="2631" spans="1:32" ht="14.5" customHeight="1" x14ac:dyDescent="0.35">
      <c r="A2631" t="s">
        <v>84</v>
      </c>
      <c r="B2631" t="s">
        <v>85</v>
      </c>
      <c r="C2631" t="s">
        <v>47</v>
      </c>
      <c r="D2631">
        <v>3100068</v>
      </c>
      <c r="E2631">
        <v>3100064</v>
      </c>
      <c r="F2631" t="s">
        <v>14</v>
      </c>
      <c r="G2631" t="s">
        <v>14</v>
      </c>
      <c r="H2631" t="s">
        <v>54</v>
      </c>
      <c r="I2631">
        <v>6959419</v>
      </c>
      <c r="J2631" s="12">
        <v>46127</v>
      </c>
      <c r="K2631" s="12">
        <v>46127</v>
      </c>
      <c r="L2631" s="12">
        <v>46127</v>
      </c>
      <c r="M2631">
        <v>5</v>
      </c>
      <c r="N2631">
        <v>-12099000</v>
      </c>
      <c r="O2631">
        <v>-12099000</v>
      </c>
      <c r="P2631">
        <v>0</v>
      </c>
      <c r="Q2631">
        <v>-12099000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 t="s">
        <v>47</v>
      </c>
      <c r="AA2631" t="s">
        <v>501</v>
      </c>
      <c r="AB2631" t="s">
        <v>51</v>
      </c>
      <c r="AC2631" t="s">
        <v>51</v>
      </c>
      <c r="AD2631" t="s">
        <v>51</v>
      </c>
      <c r="AE2631" t="s">
        <v>51</v>
      </c>
      <c r="AF2631" t="s">
        <v>1979</v>
      </c>
    </row>
    <row r="2632" spans="1:32" ht="14.5" customHeight="1" x14ac:dyDescent="0.35">
      <c r="A2632" t="s">
        <v>84</v>
      </c>
      <c r="B2632" t="s">
        <v>85</v>
      </c>
      <c r="C2632" t="s">
        <v>47</v>
      </c>
      <c r="D2632">
        <v>3100068</v>
      </c>
      <c r="E2632">
        <v>3100064</v>
      </c>
      <c r="F2632" t="s">
        <v>14</v>
      </c>
      <c r="G2632" t="s">
        <v>14</v>
      </c>
      <c r="H2632" t="s">
        <v>54</v>
      </c>
      <c r="I2632">
        <v>6959420</v>
      </c>
      <c r="J2632" s="12">
        <v>46127</v>
      </c>
      <c r="K2632" s="12">
        <v>46127</v>
      </c>
      <c r="L2632" s="12">
        <v>46127</v>
      </c>
      <c r="M2632">
        <v>5</v>
      </c>
      <c r="N2632">
        <v>-4142000</v>
      </c>
      <c r="O2632">
        <v>-4142000</v>
      </c>
      <c r="P2632">
        <v>0</v>
      </c>
      <c r="Q2632">
        <v>-4142000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 t="s">
        <v>47</v>
      </c>
      <c r="AA2632" t="s">
        <v>501</v>
      </c>
      <c r="AB2632" t="s">
        <v>51</v>
      </c>
      <c r="AC2632" t="s">
        <v>51</v>
      </c>
      <c r="AD2632" t="s">
        <v>51</v>
      </c>
      <c r="AE2632" t="s">
        <v>51</v>
      </c>
      <c r="AF2632" t="s">
        <v>1979</v>
      </c>
    </row>
    <row r="2633" spans="1:32" ht="14.5" customHeight="1" x14ac:dyDescent="0.35">
      <c r="A2633" t="s">
        <v>84</v>
      </c>
      <c r="B2633" t="s">
        <v>85</v>
      </c>
      <c r="C2633" t="s">
        <v>47</v>
      </c>
      <c r="D2633">
        <v>3100068</v>
      </c>
      <c r="E2633">
        <v>3100064</v>
      </c>
      <c r="F2633" t="s">
        <v>14</v>
      </c>
      <c r="G2633" t="s">
        <v>14</v>
      </c>
      <c r="H2633" t="s">
        <v>54</v>
      </c>
      <c r="I2633">
        <v>6959421</v>
      </c>
      <c r="J2633" s="12">
        <v>46127</v>
      </c>
      <c r="K2633" s="12">
        <v>46127</v>
      </c>
      <c r="L2633" s="12">
        <v>46127</v>
      </c>
      <c r="M2633">
        <v>5</v>
      </c>
      <c r="N2633">
        <v>-4360000</v>
      </c>
      <c r="O2633">
        <v>-4360000</v>
      </c>
      <c r="P2633">
        <v>0</v>
      </c>
      <c r="Q2633">
        <v>-4360000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 t="s">
        <v>47</v>
      </c>
      <c r="AA2633" t="s">
        <v>501</v>
      </c>
      <c r="AB2633" t="s">
        <v>51</v>
      </c>
      <c r="AC2633" t="s">
        <v>51</v>
      </c>
      <c r="AD2633" t="s">
        <v>51</v>
      </c>
      <c r="AE2633" t="s">
        <v>51</v>
      </c>
      <c r="AF2633" t="s">
        <v>1979</v>
      </c>
    </row>
    <row r="2634" spans="1:32" ht="14.5" customHeight="1" x14ac:dyDescent="0.35">
      <c r="A2634" t="s">
        <v>84</v>
      </c>
      <c r="B2634" t="s">
        <v>85</v>
      </c>
      <c r="C2634" t="s">
        <v>47</v>
      </c>
      <c r="D2634">
        <v>3100068</v>
      </c>
      <c r="E2634">
        <v>3100067</v>
      </c>
      <c r="F2634" t="s">
        <v>14</v>
      </c>
      <c r="G2634" t="s">
        <v>14</v>
      </c>
      <c r="H2634" t="s">
        <v>54</v>
      </c>
      <c r="I2634">
        <v>6959534</v>
      </c>
      <c r="J2634" s="12">
        <v>46127</v>
      </c>
      <c r="K2634" s="12">
        <v>46127</v>
      </c>
      <c r="L2634" s="12">
        <v>46127</v>
      </c>
      <c r="M2634">
        <v>5</v>
      </c>
      <c r="N2634">
        <v>-24525000</v>
      </c>
      <c r="O2634">
        <v>-24525000</v>
      </c>
      <c r="P2634">
        <v>0</v>
      </c>
      <c r="Q2634">
        <v>-24525000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 t="s">
        <v>47</v>
      </c>
      <c r="AA2634" t="s">
        <v>501</v>
      </c>
      <c r="AB2634" t="s">
        <v>51</v>
      </c>
      <c r="AC2634" t="s">
        <v>51</v>
      </c>
      <c r="AD2634" t="s">
        <v>51</v>
      </c>
      <c r="AE2634" t="s">
        <v>51</v>
      </c>
      <c r="AF2634" t="s">
        <v>1980</v>
      </c>
    </row>
    <row r="2635" spans="1:32" ht="14.5" customHeight="1" x14ac:dyDescent="0.35">
      <c r="A2635" t="s">
        <v>84</v>
      </c>
      <c r="B2635" t="s">
        <v>85</v>
      </c>
      <c r="C2635" t="s">
        <v>47</v>
      </c>
      <c r="D2635">
        <v>3100068</v>
      </c>
      <c r="E2635">
        <v>3100067</v>
      </c>
      <c r="F2635" t="s">
        <v>14</v>
      </c>
      <c r="G2635" t="s">
        <v>14</v>
      </c>
      <c r="H2635" t="s">
        <v>54</v>
      </c>
      <c r="I2635">
        <v>6959647</v>
      </c>
      <c r="J2635" s="12">
        <v>46127</v>
      </c>
      <c r="K2635" s="12">
        <v>46127</v>
      </c>
      <c r="L2635" s="12">
        <v>46127</v>
      </c>
      <c r="M2635">
        <v>5</v>
      </c>
      <c r="N2635">
        <v>-272500</v>
      </c>
      <c r="O2635">
        <v>-272500</v>
      </c>
      <c r="P2635">
        <v>0</v>
      </c>
      <c r="Q2635">
        <v>-272500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 t="s">
        <v>47</v>
      </c>
      <c r="AA2635" t="s">
        <v>501</v>
      </c>
      <c r="AB2635" t="s">
        <v>51</v>
      </c>
      <c r="AC2635" t="s">
        <v>51</v>
      </c>
      <c r="AD2635" t="s">
        <v>51</v>
      </c>
      <c r="AE2635" t="s">
        <v>51</v>
      </c>
      <c r="AF2635" t="s">
        <v>1981</v>
      </c>
    </row>
    <row r="2636" spans="1:32" ht="14.5" customHeight="1" x14ac:dyDescent="0.35">
      <c r="A2636" t="s">
        <v>84</v>
      </c>
      <c r="B2636" t="s">
        <v>85</v>
      </c>
      <c r="C2636" t="s">
        <v>47</v>
      </c>
      <c r="D2636">
        <v>3100068</v>
      </c>
      <c r="E2636">
        <v>3100067</v>
      </c>
      <c r="F2636" t="s">
        <v>14</v>
      </c>
      <c r="G2636" t="s">
        <v>14</v>
      </c>
      <c r="H2636" t="s">
        <v>54</v>
      </c>
      <c r="I2636">
        <v>6959648</v>
      </c>
      <c r="J2636" s="12">
        <v>46127</v>
      </c>
      <c r="K2636" s="12">
        <v>46127</v>
      </c>
      <c r="L2636" s="12">
        <v>46127</v>
      </c>
      <c r="M2636">
        <v>5</v>
      </c>
      <c r="N2636">
        <v>-218000</v>
      </c>
      <c r="O2636">
        <v>-218000</v>
      </c>
      <c r="P2636">
        <v>0</v>
      </c>
      <c r="Q2636">
        <v>-218000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 t="s">
        <v>47</v>
      </c>
      <c r="AA2636" t="s">
        <v>501</v>
      </c>
      <c r="AB2636" t="s">
        <v>51</v>
      </c>
      <c r="AC2636" t="s">
        <v>51</v>
      </c>
      <c r="AD2636" t="s">
        <v>51</v>
      </c>
      <c r="AE2636" t="s">
        <v>51</v>
      </c>
      <c r="AF2636" t="s">
        <v>1981</v>
      </c>
    </row>
    <row r="2637" spans="1:32" ht="14.5" customHeight="1" x14ac:dyDescent="0.35">
      <c r="A2637" t="s">
        <v>84</v>
      </c>
      <c r="B2637" t="s">
        <v>85</v>
      </c>
      <c r="C2637" t="s">
        <v>47</v>
      </c>
      <c r="D2637">
        <v>3100068</v>
      </c>
      <c r="E2637">
        <v>3100067</v>
      </c>
      <c r="F2637" t="s">
        <v>14</v>
      </c>
      <c r="G2637" t="s">
        <v>14</v>
      </c>
      <c r="H2637" t="s">
        <v>54</v>
      </c>
      <c r="I2637">
        <v>6959649</v>
      </c>
      <c r="J2637" s="12">
        <v>46127</v>
      </c>
      <c r="K2637" s="12">
        <v>46127</v>
      </c>
      <c r="L2637" s="12">
        <v>46127</v>
      </c>
      <c r="M2637">
        <v>5</v>
      </c>
      <c r="N2637">
        <v>-654000</v>
      </c>
      <c r="O2637">
        <v>-654000</v>
      </c>
      <c r="P2637">
        <v>0</v>
      </c>
      <c r="Q2637">
        <v>-654000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 t="s">
        <v>47</v>
      </c>
      <c r="AA2637" t="s">
        <v>501</v>
      </c>
      <c r="AB2637" t="s">
        <v>51</v>
      </c>
      <c r="AC2637" t="s">
        <v>51</v>
      </c>
      <c r="AD2637" t="s">
        <v>51</v>
      </c>
      <c r="AE2637" t="s">
        <v>51</v>
      </c>
      <c r="AF2637" t="s">
        <v>1981</v>
      </c>
    </row>
    <row r="2638" spans="1:32" ht="14.5" customHeight="1" x14ac:dyDescent="0.35">
      <c r="A2638" t="s">
        <v>84</v>
      </c>
      <c r="B2638" t="s">
        <v>85</v>
      </c>
      <c r="C2638" t="s">
        <v>47</v>
      </c>
      <c r="D2638">
        <v>3100068</v>
      </c>
      <c r="E2638">
        <v>3100067</v>
      </c>
      <c r="F2638" t="s">
        <v>14</v>
      </c>
      <c r="G2638" t="s">
        <v>14</v>
      </c>
      <c r="H2638" t="s">
        <v>54</v>
      </c>
      <c r="I2638">
        <v>6959650</v>
      </c>
      <c r="J2638" s="12">
        <v>46127</v>
      </c>
      <c r="K2638" s="12">
        <v>46127</v>
      </c>
      <c r="L2638" s="12">
        <v>46127</v>
      </c>
      <c r="M2638">
        <v>5</v>
      </c>
      <c r="N2638">
        <v>-872000</v>
      </c>
      <c r="O2638">
        <v>-872000</v>
      </c>
      <c r="P2638">
        <v>0</v>
      </c>
      <c r="Q2638">
        <v>-872000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 t="s">
        <v>47</v>
      </c>
      <c r="AA2638" t="s">
        <v>501</v>
      </c>
      <c r="AB2638" t="s">
        <v>51</v>
      </c>
      <c r="AC2638" t="s">
        <v>51</v>
      </c>
      <c r="AD2638" t="s">
        <v>51</v>
      </c>
      <c r="AE2638" t="s">
        <v>51</v>
      </c>
      <c r="AF2638" t="s">
        <v>1981</v>
      </c>
    </row>
    <row r="2639" spans="1:32" ht="14.5" customHeight="1" x14ac:dyDescent="0.35">
      <c r="A2639" t="s">
        <v>84</v>
      </c>
      <c r="B2639" t="s">
        <v>85</v>
      </c>
      <c r="C2639" t="s">
        <v>47</v>
      </c>
      <c r="D2639">
        <v>3100068</v>
      </c>
      <c r="E2639">
        <v>3100067</v>
      </c>
      <c r="F2639" t="s">
        <v>14</v>
      </c>
      <c r="G2639" t="s">
        <v>14</v>
      </c>
      <c r="H2639" t="s">
        <v>54</v>
      </c>
      <c r="I2639">
        <v>6959651</v>
      </c>
      <c r="J2639" s="12">
        <v>46127</v>
      </c>
      <c r="K2639" s="12">
        <v>46127</v>
      </c>
      <c r="L2639" s="12">
        <v>46127</v>
      </c>
      <c r="M2639">
        <v>5</v>
      </c>
      <c r="N2639">
        <v>-327000</v>
      </c>
      <c r="O2639">
        <v>-327000</v>
      </c>
      <c r="P2639">
        <v>0</v>
      </c>
      <c r="Q2639">
        <v>-327000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 t="s">
        <v>47</v>
      </c>
      <c r="AA2639" t="s">
        <v>501</v>
      </c>
      <c r="AB2639" t="s">
        <v>51</v>
      </c>
      <c r="AC2639" t="s">
        <v>51</v>
      </c>
      <c r="AD2639" t="s">
        <v>51</v>
      </c>
      <c r="AE2639" t="s">
        <v>51</v>
      </c>
      <c r="AF2639" t="s">
        <v>1981</v>
      </c>
    </row>
    <row r="2640" spans="1:32" ht="14.5" customHeight="1" x14ac:dyDescent="0.35">
      <c r="A2640" t="s">
        <v>84</v>
      </c>
      <c r="B2640" t="s">
        <v>85</v>
      </c>
      <c r="C2640" t="s">
        <v>47</v>
      </c>
      <c r="D2640">
        <v>3100068</v>
      </c>
      <c r="E2640">
        <v>3100067</v>
      </c>
      <c r="F2640" t="s">
        <v>14</v>
      </c>
      <c r="G2640" t="s">
        <v>14</v>
      </c>
      <c r="H2640" t="s">
        <v>54</v>
      </c>
      <c r="I2640">
        <v>6959652</v>
      </c>
      <c r="J2640" s="12">
        <v>46127</v>
      </c>
      <c r="K2640" s="12">
        <v>46127</v>
      </c>
      <c r="L2640" s="12">
        <v>46127</v>
      </c>
      <c r="M2640">
        <v>5</v>
      </c>
      <c r="N2640">
        <v>-136250</v>
      </c>
      <c r="O2640">
        <v>-136250</v>
      </c>
      <c r="P2640">
        <v>0</v>
      </c>
      <c r="Q2640">
        <v>-136250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 t="s">
        <v>47</v>
      </c>
      <c r="AA2640" t="s">
        <v>501</v>
      </c>
      <c r="AB2640" t="s">
        <v>51</v>
      </c>
      <c r="AC2640" t="s">
        <v>51</v>
      </c>
      <c r="AD2640" t="s">
        <v>51</v>
      </c>
      <c r="AE2640" t="s">
        <v>51</v>
      </c>
      <c r="AF2640" t="s">
        <v>1981</v>
      </c>
    </row>
    <row r="2641" spans="1:32" ht="14.5" customHeight="1" x14ac:dyDescent="0.35">
      <c r="A2641" t="s">
        <v>84</v>
      </c>
      <c r="B2641" t="s">
        <v>85</v>
      </c>
      <c r="C2641" t="s">
        <v>47</v>
      </c>
      <c r="D2641">
        <v>3100068</v>
      </c>
      <c r="E2641">
        <v>3100067</v>
      </c>
      <c r="F2641" t="s">
        <v>14</v>
      </c>
      <c r="G2641" t="s">
        <v>14</v>
      </c>
      <c r="H2641" t="s">
        <v>54</v>
      </c>
      <c r="I2641">
        <v>6959653</v>
      </c>
      <c r="J2641" s="12">
        <v>46127</v>
      </c>
      <c r="K2641" s="12">
        <v>46127</v>
      </c>
      <c r="L2641" s="12">
        <v>46127</v>
      </c>
      <c r="M2641">
        <v>5</v>
      </c>
      <c r="N2641">
        <v>-10900000</v>
      </c>
      <c r="O2641">
        <v>-10900000</v>
      </c>
      <c r="P2641">
        <v>0</v>
      </c>
      <c r="Q2641">
        <v>-10900000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 t="s">
        <v>47</v>
      </c>
      <c r="AA2641" t="s">
        <v>501</v>
      </c>
      <c r="AB2641" t="s">
        <v>51</v>
      </c>
      <c r="AC2641" t="s">
        <v>51</v>
      </c>
      <c r="AD2641" t="s">
        <v>51</v>
      </c>
      <c r="AE2641" t="s">
        <v>51</v>
      </c>
      <c r="AF2641" t="s">
        <v>1981</v>
      </c>
    </row>
    <row r="2642" spans="1:32" ht="14.5" customHeight="1" x14ac:dyDescent="0.35">
      <c r="A2642" t="s">
        <v>84</v>
      </c>
      <c r="B2642" t="s">
        <v>85</v>
      </c>
      <c r="C2642" t="s">
        <v>47</v>
      </c>
      <c r="D2642">
        <v>3100068</v>
      </c>
      <c r="E2642">
        <v>3100067</v>
      </c>
      <c r="F2642" t="s">
        <v>14</v>
      </c>
      <c r="G2642" t="s">
        <v>14</v>
      </c>
      <c r="H2642" t="s">
        <v>54</v>
      </c>
      <c r="I2642">
        <v>6959654</v>
      </c>
      <c r="J2642" s="12">
        <v>46127</v>
      </c>
      <c r="K2642" s="12">
        <v>46127</v>
      </c>
      <c r="L2642" s="12">
        <v>46127</v>
      </c>
      <c r="M2642">
        <v>5</v>
      </c>
      <c r="N2642">
        <v>-1199000</v>
      </c>
      <c r="O2642">
        <v>-1199000</v>
      </c>
      <c r="P2642">
        <v>0</v>
      </c>
      <c r="Q2642">
        <v>-1199000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 t="s">
        <v>47</v>
      </c>
      <c r="AA2642" t="s">
        <v>501</v>
      </c>
      <c r="AB2642" t="s">
        <v>51</v>
      </c>
      <c r="AC2642" t="s">
        <v>51</v>
      </c>
      <c r="AD2642" t="s">
        <v>51</v>
      </c>
      <c r="AE2642" t="s">
        <v>51</v>
      </c>
      <c r="AF2642" t="s">
        <v>1981</v>
      </c>
    </row>
    <row r="2643" spans="1:32" ht="14.5" customHeight="1" x14ac:dyDescent="0.35">
      <c r="A2643" t="s">
        <v>84</v>
      </c>
      <c r="B2643" t="s">
        <v>85</v>
      </c>
      <c r="C2643" t="s">
        <v>47</v>
      </c>
      <c r="D2643">
        <v>3100068</v>
      </c>
      <c r="E2643">
        <v>3100682</v>
      </c>
      <c r="F2643" t="s">
        <v>14</v>
      </c>
      <c r="G2643" t="s">
        <v>1962</v>
      </c>
      <c r="H2643" t="s">
        <v>54</v>
      </c>
      <c r="I2643">
        <v>6959667</v>
      </c>
      <c r="J2643" s="12">
        <v>46127</v>
      </c>
      <c r="K2643" s="12">
        <v>46127</v>
      </c>
      <c r="L2643" s="12">
        <v>46127</v>
      </c>
      <c r="M2643">
        <v>5</v>
      </c>
      <c r="N2643">
        <v>-2355341</v>
      </c>
      <c r="O2643">
        <v>-2355341</v>
      </c>
      <c r="P2643">
        <v>0</v>
      </c>
      <c r="Q2643">
        <v>-2355341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 t="s">
        <v>47</v>
      </c>
      <c r="AA2643" t="s">
        <v>501</v>
      </c>
      <c r="AB2643" t="s">
        <v>51</v>
      </c>
      <c r="AC2643" t="s">
        <v>51</v>
      </c>
      <c r="AD2643" t="s">
        <v>51</v>
      </c>
      <c r="AE2643" t="s">
        <v>51</v>
      </c>
      <c r="AF2643" t="s">
        <v>1966</v>
      </c>
    </row>
    <row r="2644" spans="1:32" ht="14.5" customHeight="1" x14ac:dyDescent="0.35">
      <c r="A2644" t="s">
        <v>84</v>
      </c>
      <c r="B2644" t="s">
        <v>85</v>
      </c>
      <c r="C2644" t="s">
        <v>47</v>
      </c>
      <c r="D2644">
        <v>3100068</v>
      </c>
      <c r="E2644">
        <v>3100682</v>
      </c>
      <c r="F2644" t="s">
        <v>14</v>
      </c>
      <c r="G2644" t="s">
        <v>1962</v>
      </c>
      <c r="H2644" t="s">
        <v>54</v>
      </c>
      <c r="I2644">
        <v>6959668</v>
      </c>
      <c r="J2644" s="12">
        <v>46127</v>
      </c>
      <c r="K2644" s="12">
        <v>46127</v>
      </c>
      <c r="L2644" s="12">
        <v>46127</v>
      </c>
      <c r="M2644">
        <v>5</v>
      </c>
      <c r="N2644">
        <v>-10802588</v>
      </c>
      <c r="O2644">
        <v>-10802588</v>
      </c>
      <c r="P2644">
        <v>0</v>
      </c>
      <c r="Q2644">
        <v>-10802588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 t="s">
        <v>47</v>
      </c>
      <c r="AA2644" t="s">
        <v>501</v>
      </c>
      <c r="AB2644" t="s">
        <v>51</v>
      </c>
      <c r="AC2644" t="s">
        <v>51</v>
      </c>
      <c r="AD2644" t="s">
        <v>51</v>
      </c>
      <c r="AE2644" t="s">
        <v>51</v>
      </c>
      <c r="AF2644" t="s">
        <v>1966</v>
      </c>
    </row>
    <row r="2645" spans="1:32" ht="14.5" customHeight="1" x14ac:dyDescent="0.35">
      <c r="A2645" t="s">
        <v>84</v>
      </c>
      <c r="B2645" t="s">
        <v>85</v>
      </c>
      <c r="C2645" t="s">
        <v>47</v>
      </c>
      <c r="D2645">
        <v>3100068</v>
      </c>
      <c r="E2645">
        <v>3100682</v>
      </c>
      <c r="F2645" t="s">
        <v>14</v>
      </c>
      <c r="G2645" t="s">
        <v>1962</v>
      </c>
      <c r="H2645" t="s">
        <v>54</v>
      </c>
      <c r="I2645">
        <v>6959669</v>
      </c>
      <c r="J2645" s="12">
        <v>46127</v>
      </c>
      <c r="K2645" s="12">
        <v>46127</v>
      </c>
      <c r="L2645" s="12">
        <v>46127</v>
      </c>
      <c r="M2645">
        <v>5</v>
      </c>
      <c r="N2645">
        <v>-2102839</v>
      </c>
      <c r="O2645">
        <v>-2102839</v>
      </c>
      <c r="P2645">
        <v>0</v>
      </c>
      <c r="Q2645">
        <v>-2102839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 t="s">
        <v>47</v>
      </c>
      <c r="AA2645" t="s">
        <v>501</v>
      </c>
      <c r="AB2645" t="s">
        <v>51</v>
      </c>
      <c r="AC2645" t="s">
        <v>51</v>
      </c>
      <c r="AD2645" t="s">
        <v>51</v>
      </c>
      <c r="AE2645" t="s">
        <v>51</v>
      </c>
      <c r="AF2645" t="s">
        <v>1966</v>
      </c>
    </row>
    <row r="2646" spans="1:32" ht="14.5" customHeight="1" x14ac:dyDescent="0.35">
      <c r="A2646" t="s">
        <v>84</v>
      </c>
      <c r="B2646" t="s">
        <v>85</v>
      </c>
      <c r="C2646" t="s">
        <v>47</v>
      </c>
      <c r="D2646">
        <v>3100068</v>
      </c>
      <c r="E2646">
        <v>3100858</v>
      </c>
      <c r="F2646" t="s">
        <v>14</v>
      </c>
      <c r="G2646" t="s">
        <v>1960</v>
      </c>
      <c r="H2646" t="s">
        <v>54</v>
      </c>
      <c r="I2646">
        <v>6959670</v>
      </c>
      <c r="J2646" s="12">
        <v>46127</v>
      </c>
      <c r="K2646" s="12">
        <v>46127</v>
      </c>
      <c r="L2646" s="12">
        <v>46127</v>
      </c>
      <c r="M2646">
        <v>5</v>
      </c>
      <c r="N2646">
        <v>-200001</v>
      </c>
      <c r="O2646">
        <v>-200001</v>
      </c>
      <c r="P2646">
        <v>0</v>
      </c>
      <c r="Q2646">
        <v>-200001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 t="s">
        <v>47</v>
      </c>
      <c r="AA2646" t="s">
        <v>501</v>
      </c>
      <c r="AB2646" t="s">
        <v>51</v>
      </c>
      <c r="AC2646" t="s">
        <v>51</v>
      </c>
      <c r="AD2646" t="s">
        <v>51</v>
      </c>
      <c r="AE2646" t="s">
        <v>51</v>
      </c>
      <c r="AF2646" t="s">
        <v>1982</v>
      </c>
    </row>
    <row r="2647" spans="1:32" ht="14.5" customHeight="1" x14ac:dyDescent="0.35">
      <c r="A2647" t="s">
        <v>84</v>
      </c>
      <c r="B2647" t="s">
        <v>85</v>
      </c>
      <c r="C2647" t="s">
        <v>47</v>
      </c>
      <c r="D2647">
        <v>3100068</v>
      </c>
      <c r="E2647">
        <v>3100609</v>
      </c>
      <c r="F2647" t="s">
        <v>14</v>
      </c>
      <c r="G2647" t="s">
        <v>14</v>
      </c>
      <c r="H2647" t="s">
        <v>54</v>
      </c>
      <c r="I2647">
        <v>6959674</v>
      </c>
      <c r="J2647" s="12">
        <v>46128</v>
      </c>
      <c r="K2647" s="12">
        <v>46128</v>
      </c>
      <c r="L2647" s="12">
        <v>46128</v>
      </c>
      <c r="M2647">
        <v>4</v>
      </c>
      <c r="N2647">
        <v>-3114811</v>
      </c>
      <c r="O2647">
        <v>-3114811</v>
      </c>
      <c r="P2647">
        <v>0</v>
      </c>
      <c r="Q2647">
        <v>-3114811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 t="s">
        <v>47</v>
      </c>
      <c r="AA2647" t="s">
        <v>501</v>
      </c>
      <c r="AB2647" t="s">
        <v>51</v>
      </c>
      <c r="AC2647" t="s">
        <v>51</v>
      </c>
      <c r="AD2647" t="s">
        <v>51</v>
      </c>
      <c r="AE2647" t="s">
        <v>51</v>
      </c>
      <c r="AF2647" t="s">
        <v>1963</v>
      </c>
    </row>
    <row r="2648" spans="1:32" ht="14.5" customHeight="1" x14ac:dyDescent="0.35">
      <c r="A2648" t="s">
        <v>84</v>
      </c>
      <c r="B2648" t="s">
        <v>85</v>
      </c>
      <c r="C2648" t="s">
        <v>47</v>
      </c>
      <c r="D2648">
        <v>3100068</v>
      </c>
      <c r="E2648">
        <v>3100609</v>
      </c>
      <c r="F2648" t="s">
        <v>14</v>
      </c>
      <c r="G2648" t="s">
        <v>14</v>
      </c>
      <c r="H2648" t="s">
        <v>54</v>
      </c>
      <c r="I2648">
        <v>6959675</v>
      </c>
      <c r="J2648" s="12">
        <v>46128</v>
      </c>
      <c r="K2648" s="12">
        <v>46128</v>
      </c>
      <c r="L2648" s="12">
        <v>46128</v>
      </c>
      <c r="M2648">
        <v>4</v>
      </c>
      <c r="N2648">
        <v>-872000</v>
      </c>
      <c r="O2648">
        <v>-872000</v>
      </c>
      <c r="P2648">
        <v>0</v>
      </c>
      <c r="Q2648">
        <v>-872000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 t="s">
        <v>47</v>
      </c>
      <c r="AA2648" t="s">
        <v>501</v>
      </c>
      <c r="AB2648" t="s">
        <v>51</v>
      </c>
      <c r="AC2648" t="s">
        <v>51</v>
      </c>
      <c r="AD2648" t="s">
        <v>51</v>
      </c>
      <c r="AE2648" t="s">
        <v>51</v>
      </c>
      <c r="AF2648" t="s">
        <v>1977</v>
      </c>
    </row>
    <row r="2649" spans="1:32" ht="14.5" customHeight="1" x14ac:dyDescent="0.35">
      <c r="A2649" t="s">
        <v>84</v>
      </c>
      <c r="B2649" t="s">
        <v>85</v>
      </c>
      <c r="C2649" t="s">
        <v>47</v>
      </c>
      <c r="D2649">
        <v>3100068</v>
      </c>
      <c r="E2649">
        <v>3100682</v>
      </c>
      <c r="F2649" t="s">
        <v>14</v>
      </c>
      <c r="G2649" t="s">
        <v>1962</v>
      </c>
      <c r="H2649" t="s">
        <v>54</v>
      </c>
      <c r="I2649">
        <v>6959676</v>
      </c>
      <c r="J2649" s="12">
        <v>46128</v>
      </c>
      <c r="K2649" s="12">
        <v>46128</v>
      </c>
      <c r="L2649" s="12">
        <v>46128</v>
      </c>
      <c r="M2649">
        <v>4</v>
      </c>
      <c r="N2649">
        <v>-10355000</v>
      </c>
      <c r="O2649">
        <v>-10355000</v>
      </c>
      <c r="P2649">
        <v>0</v>
      </c>
      <c r="Q2649">
        <v>-10355000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 t="s">
        <v>47</v>
      </c>
      <c r="AA2649" t="s">
        <v>501</v>
      </c>
      <c r="AB2649" t="s">
        <v>51</v>
      </c>
      <c r="AC2649" t="s">
        <v>51</v>
      </c>
      <c r="AD2649" t="s">
        <v>51</v>
      </c>
      <c r="AE2649" t="s">
        <v>51</v>
      </c>
      <c r="AF2649" t="s">
        <v>1983</v>
      </c>
    </row>
    <row r="2650" spans="1:32" ht="14.5" customHeight="1" x14ac:dyDescent="0.35">
      <c r="A2650" t="s">
        <v>84</v>
      </c>
      <c r="B2650" t="s">
        <v>85</v>
      </c>
      <c r="C2650" t="s">
        <v>47</v>
      </c>
      <c r="D2650">
        <v>3100068</v>
      </c>
      <c r="E2650">
        <v>3100682</v>
      </c>
      <c r="F2650" t="s">
        <v>14</v>
      </c>
      <c r="G2650" t="s">
        <v>1962</v>
      </c>
      <c r="H2650" t="s">
        <v>54</v>
      </c>
      <c r="I2650">
        <v>6959677</v>
      </c>
      <c r="J2650" s="12">
        <v>46128</v>
      </c>
      <c r="K2650" s="12">
        <v>46128</v>
      </c>
      <c r="L2650" s="12">
        <v>46128</v>
      </c>
      <c r="M2650">
        <v>4</v>
      </c>
      <c r="N2650">
        <v>-2725000</v>
      </c>
      <c r="O2650">
        <v>-2725000</v>
      </c>
      <c r="P2650">
        <v>0</v>
      </c>
      <c r="Q2650">
        <v>-2725000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 t="s">
        <v>47</v>
      </c>
      <c r="AA2650" t="s">
        <v>501</v>
      </c>
      <c r="AB2650" t="s">
        <v>51</v>
      </c>
      <c r="AC2650" t="s">
        <v>51</v>
      </c>
      <c r="AD2650" t="s">
        <v>51</v>
      </c>
      <c r="AE2650" t="s">
        <v>51</v>
      </c>
      <c r="AF2650" t="s">
        <v>1983</v>
      </c>
    </row>
    <row r="2651" spans="1:32" ht="14.5" customHeight="1" x14ac:dyDescent="0.35">
      <c r="A2651" t="s">
        <v>84</v>
      </c>
      <c r="B2651" t="s">
        <v>85</v>
      </c>
      <c r="C2651" t="s">
        <v>47</v>
      </c>
      <c r="D2651">
        <v>3100068</v>
      </c>
      <c r="E2651">
        <v>3100609</v>
      </c>
      <c r="F2651" t="s">
        <v>14</v>
      </c>
      <c r="G2651" t="s">
        <v>14</v>
      </c>
      <c r="H2651" t="s">
        <v>54</v>
      </c>
      <c r="I2651">
        <v>6959850</v>
      </c>
      <c r="J2651" s="12">
        <v>46129</v>
      </c>
      <c r="K2651" s="12">
        <v>46129</v>
      </c>
      <c r="L2651" s="12">
        <v>46129</v>
      </c>
      <c r="M2651">
        <v>3</v>
      </c>
      <c r="N2651">
        <v>-19156880</v>
      </c>
      <c r="O2651">
        <v>-19156880</v>
      </c>
      <c r="P2651">
        <v>0</v>
      </c>
      <c r="Q2651">
        <v>-19156880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 t="s">
        <v>47</v>
      </c>
      <c r="AA2651" t="s">
        <v>501</v>
      </c>
      <c r="AB2651" t="s">
        <v>51</v>
      </c>
      <c r="AC2651" t="s">
        <v>51</v>
      </c>
      <c r="AD2651" t="s">
        <v>51</v>
      </c>
      <c r="AE2651" t="s">
        <v>51</v>
      </c>
      <c r="AF2651" t="s">
        <v>1984</v>
      </c>
    </row>
    <row r="2652" spans="1:32" ht="14.5" customHeight="1" x14ac:dyDescent="0.35">
      <c r="A2652" t="s">
        <v>84</v>
      </c>
      <c r="B2652" t="s">
        <v>85</v>
      </c>
      <c r="C2652" t="s">
        <v>47</v>
      </c>
      <c r="D2652">
        <v>3100068</v>
      </c>
      <c r="E2652">
        <v>3100746</v>
      </c>
      <c r="F2652" t="s">
        <v>14</v>
      </c>
      <c r="G2652" t="s">
        <v>1956</v>
      </c>
      <c r="H2652" t="s">
        <v>54</v>
      </c>
      <c r="I2652">
        <v>6959851</v>
      </c>
      <c r="J2652" s="12">
        <v>46129</v>
      </c>
      <c r="K2652" s="12">
        <v>46129</v>
      </c>
      <c r="L2652" s="12">
        <v>46129</v>
      </c>
      <c r="M2652">
        <v>3</v>
      </c>
      <c r="N2652">
        <v>-6787958</v>
      </c>
      <c r="O2652">
        <v>-6787958</v>
      </c>
      <c r="P2652">
        <v>0</v>
      </c>
      <c r="Q2652">
        <v>-6787958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 t="s">
        <v>47</v>
      </c>
      <c r="AA2652" t="s">
        <v>501</v>
      </c>
      <c r="AB2652" t="s">
        <v>51</v>
      </c>
      <c r="AC2652" t="s">
        <v>51</v>
      </c>
      <c r="AD2652" t="s">
        <v>51</v>
      </c>
      <c r="AE2652" t="s">
        <v>51</v>
      </c>
      <c r="AF2652" t="s">
        <v>1985</v>
      </c>
    </row>
    <row r="2653" spans="1:32" ht="14.5" customHeight="1" x14ac:dyDescent="0.35">
      <c r="A2653" t="s">
        <v>84</v>
      </c>
      <c r="B2653" t="s">
        <v>85</v>
      </c>
      <c r="C2653" t="s">
        <v>47</v>
      </c>
      <c r="D2653">
        <v>3100068</v>
      </c>
      <c r="E2653">
        <v>3100750</v>
      </c>
      <c r="F2653" t="s">
        <v>14</v>
      </c>
      <c r="G2653" t="s">
        <v>1958</v>
      </c>
      <c r="H2653" t="s">
        <v>54</v>
      </c>
      <c r="I2653">
        <v>6959852</v>
      </c>
      <c r="J2653" s="12">
        <v>46129</v>
      </c>
      <c r="K2653" s="12">
        <v>46129</v>
      </c>
      <c r="L2653" s="12">
        <v>46129</v>
      </c>
      <c r="M2653">
        <v>3</v>
      </c>
      <c r="N2653">
        <v>-7341166</v>
      </c>
      <c r="O2653">
        <v>-7341166</v>
      </c>
      <c r="P2653">
        <v>0</v>
      </c>
      <c r="Q2653">
        <v>-7341166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 t="s">
        <v>47</v>
      </c>
      <c r="AA2653" t="s">
        <v>501</v>
      </c>
      <c r="AB2653" t="s">
        <v>51</v>
      </c>
      <c r="AC2653" t="s">
        <v>51</v>
      </c>
      <c r="AD2653" t="s">
        <v>51</v>
      </c>
      <c r="AE2653" t="s">
        <v>51</v>
      </c>
      <c r="AF2653" t="s">
        <v>1986</v>
      </c>
    </row>
    <row r="2654" spans="1:32" ht="14.5" customHeight="1" x14ac:dyDescent="0.35">
      <c r="A2654" t="s">
        <v>84</v>
      </c>
      <c r="B2654" t="s">
        <v>85</v>
      </c>
      <c r="C2654" t="s">
        <v>47</v>
      </c>
      <c r="D2654">
        <v>3100068</v>
      </c>
      <c r="E2654">
        <v>3100858</v>
      </c>
      <c r="F2654" t="s">
        <v>14</v>
      </c>
      <c r="G2654" t="s">
        <v>1960</v>
      </c>
      <c r="H2654" t="s">
        <v>54</v>
      </c>
      <c r="I2654">
        <v>6959853</v>
      </c>
      <c r="J2654" s="12">
        <v>46129</v>
      </c>
      <c r="K2654" s="12">
        <v>46129</v>
      </c>
      <c r="L2654" s="12">
        <v>46129</v>
      </c>
      <c r="M2654">
        <v>3</v>
      </c>
      <c r="N2654">
        <v>-24140007</v>
      </c>
      <c r="O2654">
        <v>-24140007</v>
      </c>
      <c r="P2654">
        <v>0</v>
      </c>
      <c r="Q2654">
        <v>-24140007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 t="s">
        <v>47</v>
      </c>
      <c r="AA2654" t="s">
        <v>501</v>
      </c>
      <c r="AB2654" t="s">
        <v>51</v>
      </c>
      <c r="AC2654" t="s">
        <v>51</v>
      </c>
      <c r="AD2654" t="s">
        <v>51</v>
      </c>
      <c r="AE2654" t="s">
        <v>51</v>
      </c>
      <c r="AF2654" t="s">
        <v>1987</v>
      </c>
    </row>
    <row r="2655" spans="1:32" ht="14.5" customHeight="1" x14ac:dyDescent="0.35">
      <c r="A2655" t="s">
        <v>84</v>
      </c>
      <c r="B2655" t="s">
        <v>85</v>
      </c>
      <c r="C2655" t="s">
        <v>47</v>
      </c>
      <c r="D2655">
        <v>3100068</v>
      </c>
      <c r="E2655">
        <v>3100750</v>
      </c>
      <c r="F2655" t="s">
        <v>14</v>
      </c>
      <c r="G2655" t="s">
        <v>1958</v>
      </c>
      <c r="H2655" t="s">
        <v>54</v>
      </c>
      <c r="I2655">
        <v>6959871</v>
      </c>
      <c r="J2655" s="12">
        <v>46129</v>
      </c>
      <c r="K2655" s="12">
        <v>46129</v>
      </c>
      <c r="L2655" s="12">
        <v>46129</v>
      </c>
      <c r="M2655">
        <v>3</v>
      </c>
      <c r="N2655">
        <v>-9608142</v>
      </c>
      <c r="O2655">
        <v>-9608142</v>
      </c>
      <c r="P2655">
        <v>0</v>
      </c>
      <c r="Q2655">
        <v>-9608142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 t="s">
        <v>47</v>
      </c>
      <c r="AA2655" t="s">
        <v>501</v>
      </c>
      <c r="AB2655" t="s">
        <v>51</v>
      </c>
      <c r="AC2655" t="s">
        <v>51</v>
      </c>
      <c r="AD2655" t="s">
        <v>51</v>
      </c>
      <c r="AE2655" t="s">
        <v>51</v>
      </c>
      <c r="AF2655" t="s">
        <v>1969</v>
      </c>
    </row>
    <row r="2656" spans="1:32" ht="14.5" customHeight="1" x14ac:dyDescent="0.35">
      <c r="A2656" t="s">
        <v>84</v>
      </c>
      <c r="B2656" t="s">
        <v>85</v>
      </c>
      <c r="C2656" t="s">
        <v>47</v>
      </c>
      <c r="D2656">
        <v>3100068</v>
      </c>
      <c r="E2656">
        <v>3100750</v>
      </c>
      <c r="F2656" t="s">
        <v>14</v>
      </c>
      <c r="G2656" t="s">
        <v>1958</v>
      </c>
      <c r="H2656" t="s">
        <v>54</v>
      </c>
      <c r="I2656">
        <v>6959903</v>
      </c>
      <c r="J2656" s="12">
        <v>46129</v>
      </c>
      <c r="K2656" s="12">
        <v>46129</v>
      </c>
      <c r="L2656" s="12">
        <v>46129</v>
      </c>
      <c r="M2656">
        <v>3</v>
      </c>
      <c r="N2656">
        <v>-52272</v>
      </c>
      <c r="O2656">
        <v>-52272</v>
      </c>
      <c r="P2656">
        <v>0</v>
      </c>
      <c r="Q2656">
        <v>-52272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 t="s">
        <v>47</v>
      </c>
      <c r="AA2656" t="s">
        <v>501</v>
      </c>
      <c r="AB2656" t="s">
        <v>51</v>
      </c>
      <c r="AC2656" t="s">
        <v>51</v>
      </c>
      <c r="AD2656" t="s">
        <v>51</v>
      </c>
      <c r="AE2656" t="s">
        <v>51</v>
      </c>
      <c r="AF2656" t="s">
        <v>1969</v>
      </c>
    </row>
    <row r="2657" spans="1:32" ht="14.5" customHeight="1" x14ac:dyDescent="0.35">
      <c r="A2657" t="s">
        <v>84</v>
      </c>
      <c r="B2657" t="s">
        <v>85</v>
      </c>
      <c r="C2657" t="s">
        <v>47</v>
      </c>
      <c r="D2657">
        <v>3100068</v>
      </c>
      <c r="E2657">
        <v>3100746</v>
      </c>
      <c r="F2657" t="s">
        <v>14</v>
      </c>
      <c r="G2657" t="s">
        <v>1956</v>
      </c>
      <c r="H2657" t="s">
        <v>54</v>
      </c>
      <c r="I2657">
        <v>6959913</v>
      </c>
      <c r="J2657" s="12">
        <v>46129</v>
      </c>
      <c r="K2657" s="12">
        <v>46129</v>
      </c>
      <c r="L2657" s="12">
        <v>46129</v>
      </c>
      <c r="M2657">
        <v>3</v>
      </c>
      <c r="N2657">
        <v>-3289265</v>
      </c>
      <c r="O2657">
        <v>-3289265</v>
      </c>
      <c r="P2657">
        <v>0</v>
      </c>
      <c r="Q2657">
        <v>-3289265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 t="s">
        <v>47</v>
      </c>
      <c r="AA2657" t="s">
        <v>501</v>
      </c>
      <c r="AB2657" t="s">
        <v>51</v>
      </c>
      <c r="AC2657" t="s">
        <v>51</v>
      </c>
      <c r="AD2657" t="s">
        <v>51</v>
      </c>
      <c r="AE2657" t="s">
        <v>51</v>
      </c>
      <c r="AF2657" t="s">
        <v>1988</v>
      </c>
    </row>
    <row r="2658" spans="1:32" ht="14.5" customHeight="1" x14ac:dyDescent="0.35">
      <c r="A2658" t="s">
        <v>84</v>
      </c>
      <c r="B2658" t="s">
        <v>85</v>
      </c>
      <c r="C2658" t="s">
        <v>47</v>
      </c>
      <c r="D2658">
        <v>3100068</v>
      </c>
      <c r="E2658">
        <v>3100064</v>
      </c>
      <c r="F2658" t="s">
        <v>14</v>
      </c>
      <c r="G2658" t="s">
        <v>14</v>
      </c>
      <c r="H2658" t="s">
        <v>54</v>
      </c>
      <c r="I2658">
        <v>6959976</v>
      </c>
      <c r="J2658" s="12">
        <v>46130</v>
      </c>
      <c r="K2658" s="12">
        <v>46130</v>
      </c>
      <c r="L2658" s="12">
        <v>46130</v>
      </c>
      <c r="M2658">
        <v>2</v>
      </c>
      <c r="N2658">
        <v>-77192</v>
      </c>
      <c r="O2658">
        <v>-77192</v>
      </c>
      <c r="P2658">
        <v>0</v>
      </c>
      <c r="Q2658">
        <v>-77192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 t="s">
        <v>47</v>
      </c>
      <c r="AA2658" t="s">
        <v>501</v>
      </c>
      <c r="AB2658" t="s">
        <v>51</v>
      </c>
      <c r="AC2658" t="s">
        <v>51</v>
      </c>
      <c r="AD2658" t="s">
        <v>51</v>
      </c>
      <c r="AE2658" t="s">
        <v>51</v>
      </c>
      <c r="AF2658" t="s">
        <v>866</v>
      </c>
    </row>
    <row r="2659" spans="1:32" ht="14.5" customHeight="1" x14ac:dyDescent="0.35">
      <c r="A2659" t="s">
        <v>84</v>
      </c>
      <c r="B2659" t="s">
        <v>85</v>
      </c>
      <c r="C2659" t="s">
        <v>47</v>
      </c>
      <c r="D2659">
        <v>3100068</v>
      </c>
      <c r="E2659">
        <v>3100067</v>
      </c>
      <c r="F2659" t="s">
        <v>14</v>
      </c>
      <c r="G2659" t="s">
        <v>14</v>
      </c>
      <c r="H2659" t="s">
        <v>140</v>
      </c>
      <c r="I2659">
        <v>9915831</v>
      </c>
      <c r="J2659" s="12">
        <v>46096</v>
      </c>
      <c r="K2659" s="12">
        <v>46096</v>
      </c>
      <c r="L2659" s="12">
        <v>46156</v>
      </c>
      <c r="M2659">
        <v>-24</v>
      </c>
      <c r="N2659">
        <v>21964275</v>
      </c>
      <c r="O2659">
        <v>0</v>
      </c>
      <c r="P2659">
        <v>21964275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 t="s">
        <v>47</v>
      </c>
      <c r="AA2659" t="s">
        <v>738</v>
      </c>
      <c r="AB2659" t="s">
        <v>51</v>
      </c>
      <c r="AC2659" t="s">
        <v>51</v>
      </c>
      <c r="AD2659" t="s">
        <v>51</v>
      </c>
      <c r="AE2659" t="s">
        <v>1989</v>
      </c>
      <c r="AF2659" t="s">
        <v>1666</v>
      </c>
    </row>
    <row r="2660" spans="1:32" ht="14.5" customHeight="1" x14ac:dyDescent="0.35">
      <c r="A2660" t="s">
        <v>84</v>
      </c>
      <c r="B2660" t="s">
        <v>85</v>
      </c>
      <c r="C2660" t="s">
        <v>47</v>
      </c>
      <c r="D2660">
        <v>3100068</v>
      </c>
      <c r="E2660">
        <v>3100067</v>
      </c>
      <c r="F2660" t="s">
        <v>14</v>
      </c>
      <c r="G2660" t="s">
        <v>14</v>
      </c>
      <c r="H2660" t="s">
        <v>140</v>
      </c>
      <c r="I2660">
        <v>9915832</v>
      </c>
      <c r="J2660" s="12">
        <v>46096</v>
      </c>
      <c r="K2660" s="12">
        <v>46096</v>
      </c>
      <c r="L2660" s="12">
        <v>46186</v>
      </c>
      <c r="M2660">
        <v>-54</v>
      </c>
      <c r="N2660">
        <v>21964275</v>
      </c>
      <c r="O2660">
        <v>0</v>
      </c>
      <c r="P2660">
        <v>21964275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 t="s">
        <v>47</v>
      </c>
      <c r="AA2660" t="s">
        <v>1239</v>
      </c>
      <c r="AB2660" t="s">
        <v>51</v>
      </c>
      <c r="AC2660" t="s">
        <v>51</v>
      </c>
      <c r="AD2660" t="s">
        <v>51</v>
      </c>
      <c r="AE2660" t="s">
        <v>1989</v>
      </c>
      <c r="AF2660" t="s">
        <v>1666</v>
      </c>
    </row>
    <row r="2661" spans="1:32" ht="14.5" customHeight="1" x14ac:dyDescent="0.35">
      <c r="A2661" t="s">
        <v>84</v>
      </c>
      <c r="B2661" t="s">
        <v>85</v>
      </c>
      <c r="C2661" t="s">
        <v>47</v>
      </c>
      <c r="D2661">
        <v>3100068</v>
      </c>
      <c r="E2661">
        <v>3100067</v>
      </c>
      <c r="F2661" t="s">
        <v>14</v>
      </c>
      <c r="G2661" t="s">
        <v>14</v>
      </c>
      <c r="H2661" t="s">
        <v>140</v>
      </c>
      <c r="I2661">
        <v>9915833</v>
      </c>
      <c r="J2661" s="12">
        <v>46096</v>
      </c>
      <c r="K2661" s="12">
        <v>46096</v>
      </c>
      <c r="L2661" s="12">
        <v>46216</v>
      </c>
      <c r="M2661">
        <v>-84</v>
      </c>
      <c r="N2661">
        <v>21964275</v>
      </c>
      <c r="O2661">
        <v>0</v>
      </c>
      <c r="P2661">
        <v>21964275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 t="s">
        <v>47</v>
      </c>
      <c r="AA2661" t="s">
        <v>1240</v>
      </c>
      <c r="AB2661" t="s">
        <v>51</v>
      </c>
      <c r="AC2661" t="s">
        <v>51</v>
      </c>
      <c r="AD2661" t="s">
        <v>51</v>
      </c>
      <c r="AE2661" t="s">
        <v>1989</v>
      </c>
      <c r="AF2661" t="s">
        <v>1666</v>
      </c>
    </row>
    <row r="2662" spans="1:32" ht="14.5" customHeight="1" x14ac:dyDescent="0.35">
      <c r="A2662" t="s">
        <v>84</v>
      </c>
      <c r="B2662" t="s">
        <v>85</v>
      </c>
      <c r="C2662" t="s">
        <v>846</v>
      </c>
      <c r="D2662">
        <v>3100068</v>
      </c>
      <c r="E2662">
        <v>3100052</v>
      </c>
      <c r="F2662" t="s">
        <v>14</v>
      </c>
      <c r="G2662" t="s">
        <v>14</v>
      </c>
      <c r="H2662" t="s">
        <v>54</v>
      </c>
      <c r="I2662">
        <v>9917459</v>
      </c>
      <c r="J2662" s="12">
        <v>46106</v>
      </c>
      <c r="K2662" s="12">
        <v>46106</v>
      </c>
      <c r="L2662" s="12">
        <v>46138</v>
      </c>
      <c r="M2662">
        <v>-6</v>
      </c>
      <c r="N2662">
        <v>543003</v>
      </c>
      <c r="O2662">
        <v>0</v>
      </c>
      <c r="P2662">
        <v>543003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 t="s">
        <v>548</v>
      </c>
      <c r="AA2662" t="s">
        <v>501</v>
      </c>
      <c r="AB2662" t="s">
        <v>51</v>
      </c>
      <c r="AC2662" t="s">
        <v>1990</v>
      </c>
      <c r="AD2662" t="s">
        <v>51</v>
      </c>
      <c r="AE2662" t="s">
        <v>51</v>
      </c>
      <c r="AF2662" t="s">
        <v>287</v>
      </c>
    </row>
    <row r="2663" spans="1:32" ht="14.5" customHeight="1" x14ac:dyDescent="0.35">
      <c r="A2663" t="s">
        <v>84</v>
      </c>
      <c r="B2663" t="s">
        <v>85</v>
      </c>
      <c r="C2663" t="s">
        <v>846</v>
      </c>
      <c r="D2663">
        <v>3100068</v>
      </c>
      <c r="E2663">
        <v>3100050</v>
      </c>
      <c r="F2663" t="s">
        <v>14</v>
      </c>
      <c r="G2663" t="s">
        <v>14</v>
      </c>
      <c r="H2663" t="s">
        <v>54</v>
      </c>
      <c r="I2663">
        <v>9917460</v>
      </c>
      <c r="J2663" s="12">
        <v>46106</v>
      </c>
      <c r="K2663" s="12">
        <v>46106</v>
      </c>
      <c r="L2663" s="12">
        <v>46138</v>
      </c>
      <c r="M2663">
        <v>-6</v>
      </c>
      <c r="N2663">
        <v>1016582</v>
      </c>
      <c r="O2663">
        <v>0</v>
      </c>
      <c r="P2663">
        <v>1016582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 t="s">
        <v>548</v>
      </c>
      <c r="AA2663" t="s">
        <v>501</v>
      </c>
      <c r="AB2663" t="s">
        <v>51</v>
      </c>
      <c r="AC2663" t="s">
        <v>1991</v>
      </c>
      <c r="AD2663" t="s">
        <v>51</v>
      </c>
      <c r="AE2663" t="s">
        <v>51</v>
      </c>
      <c r="AF2663" t="s">
        <v>198</v>
      </c>
    </row>
    <row r="2664" spans="1:32" ht="14.5" customHeight="1" x14ac:dyDescent="0.35">
      <c r="A2664" t="s">
        <v>84</v>
      </c>
      <c r="B2664" t="s">
        <v>85</v>
      </c>
      <c r="C2664" t="s">
        <v>846</v>
      </c>
      <c r="D2664">
        <v>3100068</v>
      </c>
      <c r="E2664">
        <v>3100052</v>
      </c>
      <c r="F2664" t="s">
        <v>14</v>
      </c>
      <c r="G2664" t="s">
        <v>14</v>
      </c>
      <c r="H2664" t="s">
        <v>54</v>
      </c>
      <c r="I2664">
        <v>9917485</v>
      </c>
      <c r="J2664" s="12">
        <v>46106</v>
      </c>
      <c r="K2664" s="12">
        <v>46106</v>
      </c>
      <c r="L2664" s="12">
        <v>46138</v>
      </c>
      <c r="M2664">
        <v>-6</v>
      </c>
      <c r="N2664">
        <v>646517382</v>
      </c>
      <c r="O2664">
        <v>0</v>
      </c>
      <c r="P2664">
        <v>646517382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 t="s">
        <v>548</v>
      </c>
      <c r="AA2664" t="s">
        <v>501</v>
      </c>
      <c r="AB2664" t="s">
        <v>51</v>
      </c>
      <c r="AC2664" t="s">
        <v>1992</v>
      </c>
      <c r="AD2664" t="s">
        <v>51</v>
      </c>
      <c r="AE2664" t="s">
        <v>51</v>
      </c>
      <c r="AF2664" t="s">
        <v>1171</v>
      </c>
    </row>
    <row r="2665" spans="1:32" ht="14.5" customHeight="1" x14ac:dyDescent="0.35">
      <c r="A2665" t="s">
        <v>84</v>
      </c>
      <c r="B2665" t="s">
        <v>85</v>
      </c>
      <c r="C2665" t="s">
        <v>846</v>
      </c>
      <c r="D2665">
        <v>3100068</v>
      </c>
      <c r="E2665">
        <v>3100859</v>
      </c>
      <c r="F2665" t="s">
        <v>14</v>
      </c>
      <c r="G2665" t="s">
        <v>1960</v>
      </c>
      <c r="H2665" t="s">
        <v>54</v>
      </c>
      <c r="I2665">
        <v>9917486</v>
      </c>
      <c r="J2665" s="12">
        <v>46106</v>
      </c>
      <c r="K2665" s="12">
        <v>46106</v>
      </c>
      <c r="L2665" s="12">
        <v>46138</v>
      </c>
      <c r="M2665">
        <v>-6</v>
      </c>
      <c r="N2665">
        <v>754004701</v>
      </c>
      <c r="O2665">
        <v>0</v>
      </c>
      <c r="P2665">
        <v>754004701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 t="s">
        <v>846</v>
      </c>
      <c r="AA2665" t="s">
        <v>501</v>
      </c>
      <c r="AB2665" t="s">
        <v>51</v>
      </c>
      <c r="AC2665" t="s">
        <v>1993</v>
      </c>
      <c r="AD2665" t="s">
        <v>51</v>
      </c>
      <c r="AE2665" t="s">
        <v>51</v>
      </c>
      <c r="AF2665" t="s">
        <v>631</v>
      </c>
    </row>
    <row r="2666" spans="1:32" ht="14.5" customHeight="1" x14ac:dyDescent="0.35">
      <c r="A2666" t="s">
        <v>84</v>
      </c>
      <c r="B2666" t="s">
        <v>85</v>
      </c>
      <c r="C2666" t="s">
        <v>846</v>
      </c>
      <c r="D2666">
        <v>3100068</v>
      </c>
      <c r="E2666">
        <v>3100751</v>
      </c>
      <c r="F2666" t="s">
        <v>14</v>
      </c>
      <c r="G2666" t="s">
        <v>1958</v>
      </c>
      <c r="H2666" t="s">
        <v>54</v>
      </c>
      <c r="I2666">
        <v>9917494</v>
      </c>
      <c r="J2666" s="12">
        <v>46106</v>
      </c>
      <c r="K2666" s="12">
        <v>46106</v>
      </c>
      <c r="L2666" s="12">
        <v>46137</v>
      </c>
      <c r="M2666">
        <v>-5</v>
      </c>
      <c r="N2666">
        <v>396279431</v>
      </c>
      <c r="O2666">
        <v>0</v>
      </c>
      <c r="P2666">
        <v>396279431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 t="s">
        <v>846</v>
      </c>
      <c r="AA2666" t="s">
        <v>501</v>
      </c>
      <c r="AB2666" t="s">
        <v>51</v>
      </c>
      <c r="AC2666" t="s">
        <v>1994</v>
      </c>
      <c r="AD2666" t="s">
        <v>51</v>
      </c>
      <c r="AE2666" t="s">
        <v>51</v>
      </c>
      <c r="AF2666" t="s">
        <v>868</v>
      </c>
    </row>
    <row r="2667" spans="1:32" ht="14.5" customHeight="1" x14ac:dyDescent="0.35">
      <c r="A2667" t="s">
        <v>84</v>
      </c>
      <c r="B2667" t="s">
        <v>85</v>
      </c>
      <c r="C2667" t="s">
        <v>846</v>
      </c>
      <c r="D2667">
        <v>3100068</v>
      </c>
      <c r="E2667">
        <v>3100050</v>
      </c>
      <c r="F2667" t="s">
        <v>14</v>
      </c>
      <c r="G2667" t="s">
        <v>14</v>
      </c>
      <c r="H2667" t="s">
        <v>54</v>
      </c>
      <c r="I2667">
        <v>9918301</v>
      </c>
      <c r="J2667" s="12">
        <v>46107</v>
      </c>
      <c r="K2667" s="12">
        <v>46107</v>
      </c>
      <c r="L2667" s="12">
        <v>46139</v>
      </c>
      <c r="M2667">
        <v>-7</v>
      </c>
      <c r="N2667">
        <v>821337047</v>
      </c>
      <c r="O2667">
        <v>0</v>
      </c>
      <c r="P2667">
        <v>821337047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 t="s">
        <v>548</v>
      </c>
      <c r="AA2667" t="s">
        <v>501</v>
      </c>
      <c r="AB2667" t="s">
        <v>51</v>
      </c>
      <c r="AC2667" t="s">
        <v>1995</v>
      </c>
      <c r="AD2667" t="s">
        <v>51</v>
      </c>
      <c r="AE2667" t="s">
        <v>51</v>
      </c>
      <c r="AF2667" t="s">
        <v>62</v>
      </c>
    </row>
    <row r="2668" spans="1:32" ht="14.5" customHeight="1" x14ac:dyDescent="0.35">
      <c r="A2668" t="s">
        <v>84</v>
      </c>
      <c r="B2668" t="s">
        <v>85</v>
      </c>
      <c r="C2668" t="s">
        <v>846</v>
      </c>
      <c r="D2668">
        <v>3100068</v>
      </c>
      <c r="E2668">
        <v>3100683</v>
      </c>
      <c r="F2668" t="s">
        <v>14</v>
      </c>
      <c r="G2668" t="s">
        <v>1962</v>
      </c>
      <c r="H2668" t="s">
        <v>54</v>
      </c>
      <c r="I2668">
        <v>9918837</v>
      </c>
      <c r="J2668" s="12">
        <v>46108</v>
      </c>
      <c r="K2668" s="12">
        <v>46108</v>
      </c>
      <c r="L2668" s="12">
        <v>46139</v>
      </c>
      <c r="M2668">
        <v>-7</v>
      </c>
      <c r="N2668">
        <v>177328066</v>
      </c>
      <c r="O2668">
        <v>0</v>
      </c>
      <c r="P2668">
        <v>177328066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 t="s">
        <v>846</v>
      </c>
      <c r="AA2668" t="s">
        <v>501</v>
      </c>
      <c r="AB2668" t="s">
        <v>51</v>
      </c>
      <c r="AC2668" t="s">
        <v>1996</v>
      </c>
      <c r="AD2668" t="s">
        <v>51</v>
      </c>
      <c r="AE2668" t="s">
        <v>51</v>
      </c>
      <c r="AF2668" t="s">
        <v>1997</v>
      </c>
    </row>
    <row r="2669" spans="1:32" ht="14.5" customHeight="1" x14ac:dyDescent="0.35">
      <c r="A2669" t="s">
        <v>84</v>
      </c>
      <c r="B2669" t="s">
        <v>85</v>
      </c>
      <c r="C2669" t="s">
        <v>47</v>
      </c>
      <c r="D2669">
        <v>3100068</v>
      </c>
      <c r="E2669">
        <v>3100858</v>
      </c>
      <c r="F2669" t="s">
        <v>14</v>
      </c>
      <c r="G2669" t="s">
        <v>1960</v>
      </c>
      <c r="H2669" t="s">
        <v>54</v>
      </c>
      <c r="I2669">
        <v>9918839</v>
      </c>
      <c r="J2669" s="12">
        <v>46108</v>
      </c>
      <c r="K2669" s="12">
        <v>46108</v>
      </c>
      <c r="L2669" s="12">
        <v>46140</v>
      </c>
      <c r="M2669">
        <v>-8</v>
      </c>
      <c r="N2669">
        <v>1007638559</v>
      </c>
      <c r="O2669">
        <v>0</v>
      </c>
      <c r="P2669">
        <v>1007638559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 t="s">
        <v>47</v>
      </c>
      <c r="AA2669" t="s">
        <v>501</v>
      </c>
      <c r="AB2669" t="s">
        <v>51</v>
      </c>
      <c r="AC2669" t="s">
        <v>51</v>
      </c>
      <c r="AD2669" t="s">
        <v>1998</v>
      </c>
      <c r="AE2669" t="s">
        <v>51</v>
      </c>
      <c r="AF2669" t="s">
        <v>153</v>
      </c>
    </row>
    <row r="2670" spans="1:32" ht="14.5" customHeight="1" x14ac:dyDescent="0.35">
      <c r="A2670" t="s">
        <v>84</v>
      </c>
      <c r="B2670" t="s">
        <v>85</v>
      </c>
      <c r="C2670" t="s">
        <v>846</v>
      </c>
      <c r="D2670">
        <v>3100068</v>
      </c>
      <c r="E2670">
        <v>3100610</v>
      </c>
      <c r="F2670" t="s">
        <v>14</v>
      </c>
      <c r="G2670" t="s">
        <v>14</v>
      </c>
      <c r="H2670" t="s">
        <v>54</v>
      </c>
      <c r="I2670">
        <v>9919068</v>
      </c>
      <c r="J2670" s="12">
        <v>46109</v>
      </c>
      <c r="K2670" s="12">
        <v>46109</v>
      </c>
      <c r="L2670" s="12">
        <v>46142</v>
      </c>
      <c r="M2670">
        <v>-10</v>
      </c>
      <c r="N2670">
        <v>600667538</v>
      </c>
      <c r="O2670">
        <v>0</v>
      </c>
      <c r="P2670">
        <v>600667538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 t="s">
        <v>846</v>
      </c>
      <c r="AA2670" t="s">
        <v>501</v>
      </c>
      <c r="AB2670" t="s">
        <v>51</v>
      </c>
      <c r="AC2670" t="s">
        <v>51</v>
      </c>
      <c r="AD2670" t="s">
        <v>1999</v>
      </c>
      <c r="AE2670" t="s">
        <v>51</v>
      </c>
      <c r="AF2670" t="s">
        <v>62</v>
      </c>
    </row>
    <row r="2671" spans="1:32" ht="14.5" customHeight="1" x14ac:dyDescent="0.35">
      <c r="A2671" t="s">
        <v>84</v>
      </c>
      <c r="B2671" t="s">
        <v>85</v>
      </c>
      <c r="C2671" t="s">
        <v>47</v>
      </c>
      <c r="D2671">
        <v>3100068</v>
      </c>
      <c r="E2671">
        <v>3100067</v>
      </c>
      <c r="F2671" t="s">
        <v>14</v>
      </c>
      <c r="G2671" t="s">
        <v>14</v>
      </c>
      <c r="H2671" t="s">
        <v>54</v>
      </c>
      <c r="I2671">
        <v>9919840</v>
      </c>
      <c r="J2671" s="12">
        <v>46110</v>
      </c>
      <c r="K2671" s="12">
        <v>46110</v>
      </c>
      <c r="L2671" s="12">
        <v>46142</v>
      </c>
      <c r="M2671">
        <v>-10</v>
      </c>
      <c r="N2671">
        <v>150246936</v>
      </c>
      <c r="O2671">
        <v>0</v>
      </c>
      <c r="P2671">
        <v>150246936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 t="s">
        <v>47</v>
      </c>
      <c r="AA2671" t="s">
        <v>501</v>
      </c>
      <c r="AB2671" t="s">
        <v>51</v>
      </c>
      <c r="AC2671" t="s">
        <v>51</v>
      </c>
      <c r="AD2671" t="s">
        <v>2000</v>
      </c>
      <c r="AE2671" t="s">
        <v>51</v>
      </c>
      <c r="AF2671" t="s">
        <v>946</v>
      </c>
    </row>
    <row r="2672" spans="1:32" ht="14.5" customHeight="1" x14ac:dyDescent="0.35">
      <c r="A2672" t="s">
        <v>84</v>
      </c>
      <c r="B2672" t="s">
        <v>85</v>
      </c>
      <c r="C2672" t="s">
        <v>846</v>
      </c>
      <c r="D2672">
        <v>3100068</v>
      </c>
      <c r="E2672">
        <v>3100052</v>
      </c>
      <c r="F2672" t="s">
        <v>14</v>
      </c>
      <c r="G2672" t="s">
        <v>14</v>
      </c>
      <c r="H2672" t="s">
        <v>54</v>
      </c>
      <c r="I2672">
        <v>9920027</v>
      </c>
      <c r="J2672" s="12">
        <v>46110</v>
      </c>
      <c r="K2672" s="12">
        <v>46110</v>
      </c>
      <c r="L2672" s="12">
        <v>46142</v>
      </c>
      <c r="M2672">
        <v>-10</v>
      </c>
      <c r="N2672">
        <v>699106187</v>
      </c>
      <c r="O2672">
        <v>0</v>
      </c>
      <c r="P2672">
        <v>699106187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 t="s">
        <v>548</v>
      </c>
      <c r="AA2672" t="s">
        <v>501</v>
      </c>
      <c r="AB2672" t="s">
        <v>51</v>
      </c>
      <c r="AC2672" t="s">
        <v>51</v>
      </c>
      <c r="AD2672" t="s">
        <v>2001</v>
      </c>
      <c r="AE2672" t="s">
        <v>51</v>
      </c>
      <c r="AF2672" t="s">
        <v>631</v>
      </c>
    </row>
    <row r="2673" spans="1:32" ht="14.5" customHeight="1" x14ac:dyDescent="0.35">
      <c r="A2673" t="s">
        <v>84</v>
      </c>
      <c r="B2673" t="s">
        <v>85</v>
      </c>
      <c r="C2673" t="s">
        <v>47</v>
      </c>
      <c r="D2673">
        <v>3100068</v>
      </c>
      <c r="E2673">
        <v>3100609</v>
      </c>
      <c r="F2673" t="s">
        <v>14</v>
      </c>
      <c r="G2673" t="s">
        <v>14</v>
      </c>
      <c r="H2673" t="s">
        <v>54</v>
      </c>
      <c r="I2673">
        <v>9920052</v>
      </c>
      <c r="J2673" s="12">
        <v>46111</v>
      </c>
      <c r="K2673" s="12">
        <v>46111</v>
      </c>
      <c r="L2673" s="12">
        <v>46144</v>
      </c>
      <c r="M2673">
        <v>-12</v>
      </c>
      <c r="N2673">
        <v>744336092</v>
      </c>
      <c r="O2673">
        <v>0</v>
      </c>
      <c r="P2673">
        <v>744336092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 t="s">
        <v>47</v>
      </c>
      <c r="AA2673" t="s">
        <v>501</v>
      </c>
      <c r="AB2673" t="s">
        <v>51</v>
      </c>
      <c r="AC2673" t="s">
        <v>51</v>
      </c>
      <c r="AD2673" t="s">
        <v>2002</v>
      </c>
      <c r="AE2673" t="s">
        <v>51</v>
      </c>
      <c r="AF2673" t="s">
        <v>195</v>
      </c>
    </row>
    <row r="2674" spans="1:32" ht="14.5" customHeight="1" x14ac:dyDescent="0.35">
      <c r="A2674" t="s">
        <v>84</v>
      </c>
      <c r="B2674" t="s">
        <v>85</v>
      </c>
      <c r="C2674" t="s">
        <v>47</v>
      </c>
      <c r="D2674">
        <v>3100068</v>
      </c>
      <c r="E2674">
        <v>3100067</v>
      </c>
      <c r="F2674" t="s">
        <v>14</v>
      </c>
      <c r="G2674" t="s">
        <v>14</v>
      </c>
      <c r="H2674" t="s">
        <v>54</v>
      </c>
      <c r="I2674">
        <v>9920054</v>
      </c>
      <c r="J2674" s="12">
        <v>46111</v>
      </c>
      <c r="K2674" s="12">
        <v>46111</v>
      </c>
      <c r="L2674" s="12">
        <v>46143</v>
      </c>
      <c r="M2674">
        <v>-11</v>
      </c>
      <c r="N2674">
        <v>478036219</v>
      </c>
      <c r="O2674">
        <v>0</v>
      </c>
      <c r="P2674">
        <v>478036219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 t="s">
        <v>47</v>
      </c>
      <c r="AA2674" t="s">
        <v>501</v>
      </c>
      <c r="AB2674" t="s">
        <v>51</v>
      </c>
      <c r="AC2674" t="s">
        <v>51</v>
      </c>
      <c r="AD2674" t="s">
        <v>2003</v>
      </c>
      <c r="AE2674" t="s">
        <v>51</v>
      </c>
      <c r="AF2674" t="s">
        <v>195</v>
      </c>
    </row>
    <row r="2675" spans="1:32" ht="14.5" customHeight="1" x14ac:dyDescent="0.35">
      <c r="A2675" t="s">
        <v>84</v>
      </c>
      <c r="B2675" t="s">
        <v>85</v>
      </c>
      <c r="C2675" t="s">
        <v>47</v>
      </c>
      <c r="D2675">
        <v>3100068</v>
      </c>
      <c r="E2675">
        <v>3100609</v>
      </c>
      <c r="F2675" t="s">
        <v>14</v>
      </c>
      <c r="G2675" t="s">
        <v>14</v>
      </c>
      <c r="H2675" t="s">
        <v>54</v>
      </c>
      <c r="I2675">
        <v>9920128</v>
      </c>
      <c r="J2675" s="12">
        <v>46111</v>
      </c>
      <c r="K2675" s="12">
        <v>46111</v>
      </c>
      <c r="L2675" s="12">
        <v>46144</v>
      </c>
      <c r="M2675">
        <v>-12</v>
      </c>
      <c r="N2675">
        <v>4936792</v>
      </c>
      <c r="O2675">
        <v>0</v>
      </c>
      <c r="P2675">
        <v>4936792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 t="s">
        <v>47</v>
      </c>
      <c r="AA2675" t="s">
        <v>501</v>
      </c>
      <c r="AB2675" t="s">
        <v>51</v>
      </c>
      <c r="AC2675" t="s">
        <v>51</v>
      </c>
      <c r="AD2675" t="s">
        <v>2004</v>
      </c>
      <c r="AE2675" t="s">
        <v>51</v>
      </c>
      <c r="AF2675" t="s">
        <v>163</v>
      </c>
    </row>
    <row r="2676" spans="1:32" ht="14.5" customHeight="1" x14ac:dyDescent="0.35">
      <c r="A2676" t="s">
        <v>84</v>
      </c>
      <c r="B2676" t="s">
        <v>85</v>
      </c>
      <c r="C2676" t="s">
        <v>846</v>
      </c>
      <c r="D2676">
        <v>3100068</v>
      </c>
      <c r="E2676">
        <v>3100747</v>
      </c>
      <c r="F2676" t="s">
        <v>14</v>
      </c>
      <c r="G2676" t="s">
        <v>1956</v>
      </c>
      <c r="H2676" t="s">
        <v>54</v>
      </c>
      <c r="I2676">
        <v>9920219</v>
      </c>
      <c r="J2676" s="12">
        <v>46111</v>
      </c>
      <c r="K2676" s="12">
        <v>46111</v>
      </c>
      <c r="L2676" s="12">
        <v>46142</v>
      </c>
      <c r="M2676">
        <v>-10</v>
      </c>
      <c r="N2676">
        <v>252364050</v>
      </c>
      <c r="O2676">
        <v>0</v>
      </c>
      <c r="P2676">
        <v>252364050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 t="s">
        <v>846</v>
      </c>
      <c r="AA2676" t="s">
        <v>501</v>
      </c>
      <c r="AB2676" t="s">
        <v>51</v>
      </c>
      <c r="AC2676" t="s">
        <v>51</v>
      </c>
      <c r="AD2676" t="s">
        <v>2005</v>
      </c>
      <c r="AE2676" t="s">
        <v>51</v>
      </c>
      <c r="AF2676" t="s">
        <v>62</v>
      </c>
    </row>
    <row r="2677" spans="1:32" ht="14.5" customHeight="1" x14ac:dyDescent="0.35">
      <c r="A2677" t="s">
        <v>84</v>
      </c>
      <c r="B2677" t="s">
        <v>85</v>
      </c>
      <c r="C2677" t="s">
        <v>846</v>
      </c>
      <c r="D2677">
        <v>3100068</v>
      </c>
      <c r="E2677">
        <v>3100747</v>
      </c>
      <c r="F2677" t="s">
        <v>14</v>
      </c>
      <c r="G2677" t="s">
        <v>1956</v>
      </c>
      <c r="H2677" t="s">
        <v>54</v>
      </c>
      <c r="I2677">
        <v>9920220</v>
      </c>
      <c r="J2677" s="12">
        <v>46111</v>
      </c>
      <c r="K2677" s="12">
        <v>46111</v>
      </c>
      <c r="L2677" s="12">
        <v>46142</v>
      </c>
      <c r="M2677">
        <v>-10</v>
      </c>
      <c r="N2677">
        <v>987358</v>
      </c>
      <c r="O2677">
        <v>0</v>
      </c>
      <c r="P2677">
        <v>987358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 t="s">
        <v>846</v>
      </c>
      <c r="AA2677" t="s">
        <v>501</v>
      </c>
      <c r="AB2677" t="s">
        <v>51</v>
      </c>
      <c r="AC2677" t="s">
        <v>51</v>
      </c>
      <c r="AD2677" t="s">
        <v>848</v>
      </c>
      <c r="AE2677" t="s">
        <v>51</v>
      </c>
      <c r="AF2677" t="s">
        <v>163</v>
      </c>
    </row>
    <row r="2678" spans="1:32" ht="14.5" customHeight="1" x14ac:dyDescent="0.35">
      <c r="A2678" t="s">
        <v>84</v>
      </c>
      <c r="B2678" t="s">
        <v>85</v>
      </c>
      <c r="C2678" t="s">
        <v>846</v>
      </c>
      <c r="D2678">
        <v>3100068</v>
      </c>
      <c r="E2678">
        <v>3100050</v>
      </c>
      <c r="F2678" t="s">
        <v>14</v>
      </c>
      <c r="G2678" t="s">
        <v>14</v>
      </c>
      <c r="H2678" t="s">
        <v>54</v>
      </c>
      <c r="I2678">
        <v>9922174</v>
      </c>
      <c r="J2678" s="12">
        <v>46116</v>
      </c>
      <c r="K2678" s="12">
        <v>46116</v>
      </c>
      <c r="L2678" s="12">
        <v>46148</v>
      </c>
      <c r="M2678">
        <v>-16</v>
      </c>
      <c r="N2678">
        <v>651820318</v>
      </c>
      <c r="O2678">
        <v>0</v>
      </c>
      <c r="P2678">
        <v>651820318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 t="s">
        <v>548</v>
      </c>
      <c r="AA2678" t="s">
        <v>501</v>
      </c>
      <c r="AB2678" t="s">
        <v>51</v>
      </c>
      <c r="AC2678" t="s">
        <v>51</v>
      </c>
      <c r="AD2678" t="s">
        <v>51</v>
      </c>
      <c r="AE2678" t="s">
        <v>2006</v>
      </c>
      <c r="AF2678" t="s">
        <v>975</v>
      </c>
    </row>
    <row r="2679" spans="1:32" ht="14.5" customHeight="1" x14ac:dyDescent="0.35">
      <c r="A2679" t="s">
        <v>84</v>
      </c>
      <c r="B2679" t="s">
        <v>85</v>
      </c>
      <c r="C2679" t="s">
        <v>846</v>
      </c>
      <c r="D2679">
        <v>3100068</v>
      </c>
      <c r="E2679">
        <v>3100859</v>
      </c>
      <c r="F2679" t="s">
        <v>14</v>
      </c>
      <c r="G2679" t="s">
        <v>1960</v>
      </c>
      <c r="H2679" t="s">
        <v>54</v>
      </c>
      <c r="I2679">
        <v>9922415</v>
      </c>
      <c r="J2679" s="12">
        <v>46118</v>
      </c>
      <c r="K2679" s="12">
        <v>46118</v>
      </c>
      <c r="L2679" s="12">
        <v>46150</v>
      </c>
      <c r="M2679">
        <v>-18</v>
      </c>
      <c r="N2679">
        <v>50829</v>
      </c>
      <c r="O2679">
        <v>0</v>
      </c>
      <c r="P2679">
        <v>50829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 t="s">
        <v>846</v>
      </c>
      <c r="AA2679" t="s">
        <v>501</v>
      </c>
      <c r="AB2679" t="s">
        <v>51</v>
      </c>
      <c r="AC2679" t="s">
        <v>51</v>
      </c>
      <c r="AD2679" t="s">
        <v>51</v>
      </c>
      <c r="AE2679" t="s">
        <v>2007</v>
      </c>
      <c r="AF2679" t="s">
        <v>1134</v>
      </c>
    </row>
    <row r="2680" spans="1:32" ht="14.5" customHeight="1" x14ac:dyDescent="0.35">
      <c r="A2680" t="s">
        <v>84</v>
      </c>
      <c r="B2680" t="s">
        <v>85</v>
      </c>
      <c r="C2680" t="s">
        <v>846</v>
      </c>
      <c r="D2680">
        <v>3100068</v>
      </c>
      <c r="E2680">
        <v>3100052</v>
      </c>
      <c r="F2680" t="s">
        <v>14</v>
      </c>
      <c r="G2680" t="s">
        <v>14</v>
      </c>
      <c r="H2680" t="s">
        <v>54</v>
      </c>
      <c r="I2680">
        <v>9922452</v>
      </c>
      <c r="J2680" s="12">
        <v>46118</v>
      </c>
      <c r="K2680" s="12">
        <v>46118</v>
      </c>
      <c r="L2680" s="12">
        <v>46150</v>
      </c>
      <c r="M2680">
        <v>-18</v>
      </c>
      <c r="N2680">
        <v>348227564</v>
      </c>
      <c r="O2680">
        <v>0</v>
      </c>
      <c r="P2680">
        <v>348227564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 t="s">
        <v>548</v>
      </c>
      <c r="AA2680" t="s">
        <v>501</v>
      </c>
      <c r="AB2680" t="s">
        <v>51</v>
      </c>
      <c r="AC2680" t="s">
        <v>51</v>
      </c>
      <c r="AD2680" t="s">
        <v>51</v>
      </c>
      <c r="AE2680" t="s">
        <v>2008</v>
      </c>
      <c r="AF2680" t="s">
        <v>1653</v>
      </c>
    </row>
    <row r="2681" spans="1:32" ht="14.5" customHeight="1" x14ac:dyDescent="0.35">
      <c r="A2681" t="s">
        <v>84</v>
      </c>
      <c r="B2681" t="s">
        <v>85</v>
      </c>
      <c r="C2681" t="s">
        <v>47</v>
      </c>
      <c r="D2681">
        <v>3100068</v>
      </c>
      <c r="E2681">
        <v>3100750</v>
      </c>
      <c r="F2681" t="s">
        <v>14</v>
      </c>
      <c r="G2681" t="s">
        <v>1958</v>
      </c>
      <c r="H2681" t="s">
        <v>140</v>
      </c>
      <c r="I2681">
        <v>9922774</v>
      </c>
      <c r="J2681" s="12">
        <v>46120</v>
      </c>
      <c r="K2681" s="12">
        <v>46120</v>
      </c>
      <c r="L2681" s="12">
        <v>46150</v>
      </c>
      <c r="M2681">
        <v>-18</v>
      </c>
      <c r="N2681">
        <v>335365</v>
      </c>
      <c r="O2681">
        <v>0</v>
      </c>
      <c r="P2681">
        <v>335365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 t="s">
        <v>47</v>
      </c>
      <c r="AA2681" t="s">
        <v>501</v>
      </c>
      <c r="AB2681" t="s">
        <v>51</v>
      </c>
      <c r="AC2681" t="s">
        <v>51</v>
      </c>
      <c r="AD2681" t="s">
        <v>51</v>
      </c>
      <c r="AE2681" t="s">
        <v>2009</v>
      </c>
      <c r="AF2681" t="s">
        <v>1587</v>
      </c>
    </row>
    <row r="2682" spans="1:32" ht="14.5" customHeight="1" x14ac:dyDescent="0.35">
      <c r="A2682" t="s">
        <v>84</v>
      </c>
      <c r="B2682" t="s">
        <v>85</v>
      </c>
      <c r="C2682" t="s">
        <v>47</v>
      </c>
      <c r="D2682">
        <v>3100068</v>
      </c>
      <c r="E2682">
        <v>3100746</v>
      </c>
      <c r="F2682" t="s">
        <v>14</v>
      </c>
      <c r="G2682" t="s">
        <v>1956</v>
      </c>
      <c r="H2682" t="s">
        <v>140</v>
      </c>
      <c r="I2682">
        <v>9922778</v>
      </c>
      <c r="J2682" s="12">
        <v>46120</v>
      </c>
      <c r="K2682" s="12">
        <v>46120</v>
      </c>
      <c r="L2682" s="12">
        <v>46150</v>
      </c>
      <c r="M2682">
        <v>-18</v>
      </c>
      <c r="N2682">
        <v>6953</v>
      </c>
      <c r="O2682">
        <v>0</v>
      </c>
      <c r="P2682">
        <v>6953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 t="s">
        <v>47</v>
      </c>
      <c r="AA2682" t="s">
        <v>501</v>
      </c>
      <c r="AB2682" t="s">
        <v>51</v>
      </c>
      <c r="AC2682" t="s">
        <v>51</v>
      </c>
      <c r="AD2682" t="s">
        <v>51</v>
      </c>
      <c r="AE2682" t="s">
        <v>2010</v>
      </c>
      <c r="AF2682" t="s">
        <v>945</v>
      </c>
    </row>
    <row r="2683" spans="1:32" ht="14.5" customHeight="1" x14ac:dyDescent="0.35">
      <c r="A2683" t="s">
        <v>84</v>
      </c>
      <c r="B2683" t="s">
        <v>85</v>
      </c>
      <c r="C2683" t="s">
        <v>47</v>
      </c>
      <c r="D2683">
        <v>3100068</v>
      </c>
      <c r="E2683">
        <v>3100858</v>
      </c>
      <c r="F2683" t="s">
        <v>14</v>
      </c>
      <c r="G2683" t="s">
        <v>1960</v>
      </c>
      <c r="H2683" t="s">
        <v>140</v>
      </c>
      <c r="I2683">
        <v>9922779</v>
      </c>
      <c r="J2683" s="12">
        <v>46120</v>
      </c>
      <c r="K2683" s="12">
        <v>46120</v>
      </c>
      <c r="L2683" s="12">
        <v>46150</v>
      </c>
      <c r="M2683">
        <v>-18</v>
      </c>
      <c r="N2683">
        <v>11262433</v>
      </c>
      <c r="O2683">
        <v>0</v>
      </c>
      <c r="P2683">
        <v>11262433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 t="s">
        <v>47</v>
      </c>
      <c r="AA2683" t="s">
        <v>501</v>
      </c>
      <c r="AB2683" t="s">
        <v>51</v>
      </c>
      <c r="AC2683" t="s">
        <v>51</v>
      </c>
      <c r="AD2683" t="s">
        <v>51</v>
      </c>
      <c r="AE2683" t="s">
        <v>2011</v>
      </c>
      <c r="AF2683" t="s">
        <v>183</v>
      </c>
    </row>
    <row r="2684" spans="1:32" ht="14.5" customHeight="1" x14ac:dyDescent="0.35">
      <c r="A2684" t="s">
        <v>84</v>
      </c>
      <c r="B2684" t="s">
        <v>85</v>
      </c>
      <c r="C2684" t="s">
        <v>47</v>
      </c>
      <c r="D2684">
        <v>3100068</v>
      </c>
      <c r="E2684">
        <v>3100067</v>
      </c>
      <c r="F2684" t="s">
        <v>14</v>
      </c>
      <c r="G2684" t="s">
        <v>14</v>
      </c>
      <c r="H2684" t="s">
        <v>140</v>
      </c>
      <c r="I2684">
        <v>9923222</v>
      </c>
      <c r="J2684" s="12">
        <v>46121</v>
      </c>
      <c r="K2684" s="12">
        <v>46121</v>
      </c>
      <c r="L2684" s="12">
        <v>46151</v>
      </c>
      <c r="M2684">
        <v>-19</v>
      </c>
      <c r="N2684">
        <v>568578</v>
      </c>
      <c r="O2684">
        <v>0</v>
      </c>
      <c r="P2684">
        <v>568578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 t="s">
        <v>47</v>
      </c>
      <c r="AA2684" t="s">
        <v>501</v>
      </c>
      <c r="AB2684" t="s">
        <v>51</v>
      </c>
      <c r="AC2684" t="s">
        <v>51</v>
      </c>
      <c r="AD2684" t="s">
        <v>51</v>
      </c>
      <c r="AE2684" t="s">
        <v>2012</v>
      </c>
      <c r="AF2684" t="s">
        <v>752</v>
      </c>
    </row>
    <row r="2685" spans="1:32" ht="14.5" customHeight="1" x14ac:dyDescent="0.35">
      <c r="A2685" t="s">
        <v>84</v>
      </c>
      <c r="B2685" t="s">
        <v>85</v>
      </c>
      <c r="C2685" t="s">
        <v>846</v>
      </c>
      <c r="D2685">
        <v>3100068</v>
      </c>
      <c r="E2685">
        <v>3100050</v>
      </c>
      <c r="F2685" t="s">
        <v>14</v>
      </c>
      <c r="G2685" t="s">
        <v>14</v>
      </c>
      <c r="H2685" t="s">
        <v>54</v>
      </c>
      <c r="I2685">
        <v>9924012</v>
      </c>
      <c r="J2685" s="12">
        <v>46122</v>
      </c>
      <c r="K2685" s="12">
        <v>46122</v>
      </c>
      <c r="L2685" s="12">
        <v>46154</v>
      </c>
      <c r="M2685">
        <v>-22</v>
      </c>
      <c r="N2685">
        <v>1137938689</v>
      </c>
      <c r="O2685">
        <v>0</v>
      </c>
      <c r="P2685">
        <v>1137938689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 t="s">
        <v>548</v>
      </c>
      <c r="AA2685" t="s">
        <v>501</v>
      </c>
      <c r="AB2685" t="s">
        <v>51</v>
      </c>
      <c r="AC2685" t="s">
        <v>51</v>
      </c>
      <c r="AD2685" t="s">
        <v>51</v>
      </c>
      <c r="AE2685" t="s">
        <v>2013</v>
      </c>
      <c r="AF2685" t="s">
        <v>69</v>
      </c>
    </row>
    <row r="2686" spans="1:32" ht="14.5" customHeight="1" x14ac:dyDescent="0.35">
      <c r="A2686" t="s">
        <v>84</v>
      </c>
      <c r="B2686" t="s">
        <v>85</v>
      </c>
      <c r="C2686" t="s">
        <v>846</v>
      </c>
      <c r="D2686">
        <v>3100068</v>
      </c>
      <c r="E2686">
        <v>3100683</v>
      </c>
      <c r="F2686" t="s">
        <v>14</v>
      </c>
      <c r="G2686" t="s">
        <v>1962</v>
      </c>
      <c r="H2686" t="s">
        <v>54</v>
      </c>
      <c r="I2686">
        <v>9924015</v>
      </c>
      <c r="J2686" s="12">
        <v>46122</v>
      </c>
      <c r="K2686" s="12">
        <v>46122</v>
      </c>
      <c r="L2686" s="12">
        <v>46153</v>
      </c>
      <c r="M2686">
        <v>-21</v>
      </c>
      <c r="N2686">
        <v>528793204</v>
      </c>
      <c r="O2686">
        <v>0</v>
      </c>
      <c r="P2686">
        <v>528793204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 t="s">
        <v>846</v>
      </c>
      <c r="AA2686" t="s">
        <v>501</v>
      </c>
      <c r="AB2686" t="s">
        <v>51</v>
      </c>
      <c r="AC2686" t="s">
        <v>51</v>
      </c>
      <c r="AD2686" t="s">
        <v>51</v>
      </c>
      <c r="AE2686" t="s">
        <v>2014</v>
      </c>
      <c r="AF2686" t="s">
        <v>334</v>
      </c>
    </row>
    <row r="2687" spans="1:32" ht="14.5" customHeight="1" x14ac:dyDescent="0.35">
      <c r="A2687" t="s">
        <v>84</v>
      </c>
      <c r="B2687" t="s">
        <v>85</v>
      </c>
      <c r="C2687" t="s">
        <v>846</v>
      </c>
      <c r="D2687">
        <v>3100068</v>
      </c>
      <c r="E2687">
        <v>3100747</v>
      </c>
      <c r="F2687" t="s">
        <v>14</v>
      </c>
      <c r="G2687" t="s">
        <v>1956</v>
      </c>
      <c r="H2687" t="s">
        <v>54</v>
      </c>
      <c r="I2687">
        <v>9924625</v>
      </c>
      <c r="J2687" s="12">
        <v>46125</v>
      </c>
      <c r="K2687" s="12">
        <v>46125</v>
      </c>
      <c r="L2687" s="12">
        <v>46156</v>
      </c>
      <c r="M2687">
        <v>-24</v>
      </c>
      <c r="N2687">
        <v>350609</v>
      </c>
      <c r="O2687">
        <v>0</v>
      </c>
      <c r="P2687">
        <v>350609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 t="s">
        <v>846</v>
      </c>
      <c r="AA2687" t="s">
        <v>501</v>
      </c>
      <c r="AB2687" t="s">
        <v>51</v>
      </c>
      <c r="AC2687" t="s">
        <v>51</v>
      </c>
      <c r="AD2687" t="s">
        <v>51</v>
      </c>
      <c r="AE2687" t="s">
        <v>2015</v>
      </c>
      <c r="AF2687" t="s">
        <v>1026</v>
      </c>
    </row>
    <row r="2688" spans="1:32" ht="14.5" customHeight="1" x14ac:dyDescent="0.35">
      <c r="A2688" t="s">
        <v>84</v>
      </c>
      <c r="B2688" t="s">
        <v>85</v>
      </c>
      <c r="C2688" t="s">
        <v>846</v>
      </c>
      <c r="D2688">
        <v>3100068</v>
      </c>
      <c r="E2688">
        <v>3100610</v>
      </c>
      <c r="F2688" t="s">
        <v>14</v>
      </c>
      <c r="G2688" t="s">
        <v>14</v>
      </c>
      <c r="H2688" t="s">
        <v>54</v>
      </c>
      <c r="I2688">
        <v>9924636</v>
      </c>
      <c r="J2688" s="12">
        <v>46125</v>
      </c>
      <c r="K2688" s="12">
        <v>46125</v>
      </c>
      <c r="L2688" s="12">
        <v>46158</v>
      </c>
      <c r="M2688">
        <v>-26</v>
      </c>
      <c r="N2688">
        <v>188558</v>
      </c>
      <c r="O2688">
        <v>0</v>
      </c>
      <c r="P2688">
        <v>188558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 t="s">
        <v>846</v>
      </c>
      <c r="AA2688" t="s">
        <v>501</v>
      </c>
      <c r="AB2688" t="s">
        <v>51</v>
      </c>
      <c r="AC2688" t="s">
        <v>51</v>
      </c>
      <c r="AD2688" t="s">
        <v>51</v>
      </c>
      <c r="AE2688" t="s">
        <v>2016</v>
      </c>
      <c r="AF2688" t="s">
        <v>2017</v>
      </c>
    </row>
    <row r="2689" spans="1:32" ht="14.5" customHeight="1" x14ac:dyDescent="0.35">
      <c r="A2689" t="s">
        <v>84</v>
      </c>
      <c r="B2689" t="s">
        <v>85</v>
      </c>
      <c r="C2689" t="s">
        <v>846</v>
      </c>
      <c r="D2689">
        <v>3100068</v>
      </c>
      <c r="E2689">
        <v>3100859</v>
      </c>
      <c r="F2689" t="s">
        <v>14</v>
      </c>
      <c r="G2689" t="s">
        <v>1960</v>
      </c>
      <c r="H2689" t="s">
        <v>54</v>
      </c>
      <c r="I2689">
        <v>9925447</v>
      </c>
      <c r="J2689" s="12">
        <v>46126</v>
      </c>
      <c r="K2689" s="12">
        <v>46126</v>
      </c>
      <c r="L2689" s="12">
        <v>46158</v>
      </c>
      <c r="M2689">
        <v>-26</v>
      </c>
      <c r="N2689">
        <v>1008666180</v>
      </c>
      <c r="O2689">
        <v>0</v>
      </c>
      <c r="P2689">
        <v>1008666180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 t="s">
        <v>846</v>
      </c>
      <c r="AA2689" t="s">
        <v>501</v>
      </c>
      <c r="AB2689" t="s">
        <v>51</v>
      </c>
      <c r="AC2689" t="s">
        <v>51</v>
      </c>
      <c r="AD2689" t="s">
        <v>51</v>
      </c>
      <c r="AE2689" t="s">
        <v>2018</v>
      </c>
      <c r="AF2689" t="s">
        <v>354</v>
      </c>
    </row>
    <row r="2690" spans="1:32" ht="14.5" customHeight="1" x14ac:dyDescent="0.35">
      <c r="A2690" t="s">
        <v>84</v>
      </c>
      <c r="B2690" t="s">
        <v>85</v>
      </c>
      <c r="C2690" t="s">
        <v>846</v>
      </c>
      <c r="D2690">
        <v>3100068</v>
      </c>
      <c r="E2690">
        <v>3100052</v>
      </c>
      <c r="F2690" t="s">
        <v>14</v>
      </c>
      <c r="G2690" t="s">
        <v>14</v>
      </c>
      <c r="H2690" t="s">
        <v>54</v>
      </c>
      <c r="I2690">
        <v>9925451</v>
      </c>
      <c r="J2690" s="12">
        <v>46126</v>
      </c>
      <c r="K2690" s="12">
        <v>46126</v>
      </c>
      <c r="L2690" s="12">
        <v>46158</v>
      </c>
      <c r="M2690">
        <v>-26</v>
      </c>
      <c r="N2690">
        <v>809021329</v>
      </c>
      <c r="O2690">
        <v>0</v>
      </c>
      <c r="P2690">
        <v>809021329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 t="s">
        <v>548</v>
      </c>
      <c r="AA2690" t="s">
        <v>501</v>
      </c>
      <c r="AB2690" t="s">
        <v>51</v>
      </c>
      <c r="AC2690" t="s">
        <v>51</v>
      </c>
      <c r="AD2690" t="s">
        <v>51</v>
      </c>
      <c r="AE2690" t="s">
        <v>2019</v>
      </c>
      <c r="AF2690" t="s">
        <v>1689</v>
      </c>
    </row>
    <row r="2691" spans="1:32" ht="14.5" customHeight="1" x14ac:dyDescent="0.35">
      <c r="A2691" t="s">
        <v>84</v>
      </c>
      <c r="B2691" t="s">
        <v>85</v>
      </c>
      <c r="C2691" t="s">
        <v>846</v>
      </c>
      <c r="D2691">
        <v>3100068</v>
      </c>
      <c r="E2691">
        <v>3100747</v>
      </c>
      <c r="F2691" t="s">
        <v>14</v>
      </c>
      <c r="G2691" t="s">
        <v>1956</v>
      </c>
      <c r="H2691" t="s">
        <v>54</v>
      </c>
      <c r="I2691">
        <v>9925959</v>
      </c>
      <c r="J2691" s="12">
        <v>46127</v>
      </c>
      <c r="K2691" s="12">
        <v>46127</v>
      </c>
      <c r="L2691" s="12">
        <v>46158</v>
      </c>
      <c r="M2691">
        <v>-26</v>
      </c>
      <c r="N2691">
        <v>371607834</v>
      </c>
      <c r="O2691">
        <v>0</v>
      </c>
      <c r="P2691">
        <v>371607834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 t="s">
        <v>846</v>
      </c>
      <c r="AA2691" t="s">
        <v>501</v>
      </c>
      <c r="AB2691" t="s">
        <v>51</v>
      </c>
      <c r="AC2691" t="s">
        <v>51</v>
      </c>
      <c r="AD2691" t="s">
        <v>51</v>
      </c>
      <c r="AE2691" t="s">
        <v>2020</v>
      </c>
      <c r="AF2691" t="s">
        <v>195</v>
      </c>
    </row>
    <row r="2692" spans="1:32" ht="14.5" customHeight="1" x14ac:dyDescent="0.35">
      <c r="A2692" t="s">
        <v>84</v>
      </c>
      <c r="B2692" t="s">
        <v>85</v>
      </c>
      <c r="C2692" t="s">
        <v>846</v>
      </c>
      <c r="D2692">
        <v>3100068</v>
      </c>
      <c r="E2692">
        <v>3100859</v>
      </c>
      <c r="F2692" t="s">
        <v>14</v>
      </c>
      <c r="G2692" t="s">
        <v>1960</v>
      </c>
      <c r="H2692" t="s">
        <v>54</v>
      </c>
      <c r="I2692">
        <v>9925974</v>
      </c>
      <c r="J2692" s="12">
        <v>46127</v>
      </c>
      <c r="K2692" s="12">
        <v>46127</v>
      </c>
      <c r="L2692" s="12">
        <v>46159</v>
      </c>
      <c r="M2692">
        <v>-27</v>
      </c>
      <c r="N2692">
        <v>701067573</v>
      </c>
      <c r="O2692">
        <v>0</v>
      </c>
      <c r="P2692">
        <v>701067573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 t="s">
        <v>846</v>
      </c>
      <c r="AA2692" t="s">
        <v>501</v>
      </c>
      <c r="AB2692" t="s">
        <v>51</v>
      </c>
      <c r="AC2692" t="s">
        <v>51</v>
      </c>
      <c r="AD2692" t="s">
        <v>51</v>
      </c>
      <c r="AE2692" t="s">
        <v>2021</v>
      </c>
      <c r="AF2692" t="s">
        <v>901</v>
      </c>
    </row>
    <row r="2693" spans="1:32" ht="14.5" customHeight="1" x14ac:dyDescent="0.35">
      <c r="A2693" t="s">
        <v>84</v>
      </c>
      <c r="B2693" t="s">
        <v>85</v>
      </c>
      <c r="C2693" t="s">
        <v>846</v>
      </c>
      <c r="D2693">
        <v>3100068</v>
      </c>
      <c r="E2693">
        <v>3100610</v>
      </c>
      <c r="F2693" t="s">
        <v>14</v>
      </c>
      <c r="G2693" t="s">
        <v>14</v>
      </c>
      <c r="H2693" t="s">
        <v>54</v>
      </c>
      <c r="I2693">
        <v>9926439</v>
      </c>
      <c r="J2693" s="12">
        <v>46128</v>
      </c>
      <c r="K2693" s="12">
        <v>46128</v>
      </c>
      <c r="L2693" s="12">
        <v>46161</v>
      </c>
      <c r="M2693">
        <v>-29</v>
      </c>
      <c r="N2693">
        <v>747552672</v>
      </c>
      <c r="O2693">
        <v>0</v>
      </c>
      <c r="P2693">
        <v>747552672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 t="s">
        <v>846</v>
      </c>
      <c r="AA2693" t="s">
        <v>501</v>
      </c>
      <c r="AB2693" t="s">
        <v>51</v>
      </c>
      <c r="AC2693" t="s">
        <v>51</v>
      </c>
      <c r="AD2693" t="s">
        <v>51</v>
      </c>
      <c r="AE2693" t="s">
        <v>2022</v>
      </c>
      <c r="AF2693" t="s">
        <v>1168</v>
      </c>
    </row>
    <row r="2694" spans="1:32" ht="14.5" customHeight="1" x14ac:dyDescent="0.35">
      <c r="A2694" t="s">
        <v>84</v>
      </c>
      <c r="B2694" t="s">
        <v>85</v>
      </c>
      <c r="C2694" t="s">
        <v>846</v>
      </c>
      <c r="D2694">
        <v>3100068</v>
      </c>
      <c r="E2694">
        <v>3100052</v>
      </c>
      <c r="F2694" t="s">
        <v>14</v>
      </c>
      <c r="G2694" t="s">
        <v>14</v>
      </c>
      <c r="H2694" t="s">
        <v>54</v>
      </c>
      <c r="I2694">
        <v>9926440</v>
      </c>
      <c r="J2694" s="12">
        <v>46128</v>
      </c>
      <c r="K2694" s="12">
        <v>46128</v>
      </c>
      <c r="L2694" s="12">
        <v>46160</v>
      </c>
      <c r="M2694">
        <v>-28</v>
      </c>
      <c r="N2694">
        <v>522221962</v>
      </c>
      <c r="O2694">
        <v>0</v>
      </c>
      <c r="P2694">
        <v>522221962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 t="s">
        <v>548</v>
      </c>
      <c r="AA2694" t="s">
        <v>501</v>
      </c>
      <c r="AB2694" t="s">
        <v>51</v>
      </c>
      <c r="AC2694" t="s">
        <v>51</v>
      </c>
      <c r="AD2694" t="s">
        <v>51</v>
      </c>
      <c r="AE2694" t="s">
        <v>2023</v>
      </c>
      <c r="AF2694" t="s">
        <v>1134</v>
      </c>
    </row>
    <row r="2695" spans="1:32" ht="14.5" customHeight="1" x14ac:dyDescent="0.35">
      <c r="A2695" t="s">
        <v>84</v>
      </c>
      <c r="B2695" t="s">
        <v>85</v>
      </c>
      <c r="C2695" t="s">
        <v>846</v>
      </c>
      <c r="D2695">
        <v>3100068</v>
      </c>
      <c r="E2695">
        <v>3100751</v>
      </c>
      <c r="F2695" t="s">
        <v>14</v>
      </c>
      <c r="G2695" t="s">
        <v>1958</v>
      </c>
      <c r="H2695" t="s">
        <v>54</v>
      </c>
      <c r="I2695">
        <v>9926732</v>
      </c>
      <c r="J2695" s="12">
        <v>46129</v>
      </c>
      <c r="K2695" s="12">
        <v>46129</v>
      </c>
      <c r="L2695" s="12">
        <v>46160</v>
      </c>
      <c r="M2695">
        <v>-28</v>
      </c>
      <c r="N2695">
        <v>979091004</v>
      </c>
      <c r="O2695">
        <v>0</v>
      </c>
      <c r="P2695">
        <v>979091004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 t="s">
        <v>846</v>
      </c>
      <c r="AA2695" t="s">
        <v>501</v>
      </c>
      <c r="AB2695" t="s">
        <v>51</v>
      </c>
      <c r="AC2695" t="s">
        <v>51</v>
      </c>
      <c r="AD2695" t="s">
        <v>51</v>
      </c>
      <c r="AE2695" t="s">
        <v>2024</v>
      </c>
      <c r="AF2695" t="s">
        <v>62</v>
      </c>
    </row>
    <row r="2696" spans="1:32" ht="14.5" customHeight="1" x14ac:dyDescent="0.35">
      <c r="A2696" t="s">
        <v>84</v>
      </c>
      <c r="B2696" t="s">
        <v>85</v>
      </c>
      <c r="C2696" t="s">
        <v>846</v>
      </c>
      <c r="D2696">
        <v>3100068</v>
      </c>
      <c r="E2696">
        <v>3100050</v>
      </c>
      <c r="F2696" t="s">
        <v>14</v>
      </c>
      <c r="G2696" t="s">
        <v>14</v>
      </c>
      <c r="H2696" t="s">
        <v>54</v>
      </c>
      <c r="I2696">
        <v>9926739</v>
      </c>
      <c r="J2696" s="12">
        <v>46129</v>
      </c>
      <c r="K2696" s="12">
        <v>46129</v>
      </c>
      <c r="L2696" s="12">
        <v>46161</v>
      </c>
      <c r="M2696">
        <v>-29</v>
      </c>
      <c r="N2696">
        <v>865223957</v>
      </c>
      <c r="O2696">
        <v>0</v>
      </c>
      <c r="P2696">
        <v>865223957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 t="s">
        <v>548</v>
      </c>
      <c r="AA2696" t="s">
        <v>501</v>
      </c>
      <c r="AB2696" t="s">
        <v>51</v>
      </c>
      <c r="AC2696" t="s">
        <v>51</v>
      </c>
      <c r="AD2696" t="s">
        <v>51</v>
      </c>
      <c r="AE2696" t="s">
        <v>2025</v>
      </c>
      <c r="AF2696" t="s">
        <v>62</v>
      </c>
    </row>
    <row r="2697" spans="1:32" ht="14.5" customHeight="1" x14ac:dyDescent="0.35">
      <c r="A2697" t="s">
        <v>84</v>
      </c>
      <c r="B2697" t="s">
        <v>85</v>
      </c>
      <c r="C2697" t="s">
        <v>846</v>
      </c>
      <c r="D2697">
        <v>3100068</v>
      </c>
      <c r="E2697">
        <v>3100859</v>
      </c>
      <c r="F2697" t="s">
        <v>14</v>
      </c>
      <c r="G2697" t="s">
        <v>1960</v>
      </c>
      <c r="H2697" t="s">
        <v>54</v>
      </c>
      <c r="I2697">
        <v>9926742</v>
      </c>
      <c r="J2697" s="12">
        <v>46129</v>
      </c>
      <c r="K2697" s="12">
        <v>46129</v>
      </c>
      <c r="L2697" s="12">
        <v>46161</v>
      </c>
      <c r="M2697">
        <v>-29</v>
      </c>
      <c r="N2697">
        <v>151708020</v>
      </c>
      <c r="O2697">
        <v>0</v>
      </c>
      <c r="P2697">
        <v>151708020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 t="s">
        <v>846</v>
      </c>
      <c r="AA2697" t="s">
        <v>501</v>
      </c>
      <c r="AB2697" t="s">
        <v>51</v>
      </c>
      <c r="AC2697" t="s">
        <v>51</v>
      </c>
      <c r="AD2697" t="s">
        <v>51</v>
      </c>
      <c r="AE2697" t="s">
        <v>2026</v>
      </c>
      <c r="AF2697" t="s">
        <v>662</v>
      </c>
    </row>
    <row r="2698" spans="1:32" ht="14.5" customHeight="1" x14ac:dyDescent="0.35">
      <c r="A2698" t="s">
        <v>84</v>
      </c>
      <c r="B2698" t="s">
        <v>85</v>
      </c>
      <c r="C2698" t="s">
        <v>47</v>
      </c>
      <c r="D2698">
        <v>3100068</v>
      </c>
      <c r="E2698">
        <v>3100064</v>
      </c>
      <c r="F2698" t="s">
        <v>14</v>
      </c>
      <c r="G2698" t="s">
        <v>14</v>
      </c>
      <c r="H2698" t="s">
        <v>140</v>
      </c>
      <c r="I2698">
        <v>9926852</v>
      </c>
      <c r="J2698" s="12">
        <v>46130</v>
      </c>
      <c r="K2698" s="12">
        <v>46130</v>
      </c>
      <c r="L2698" s="12">
        <v>46160</v>
      </c>
      <c r="M2698">
        <v>-28</v>
      </c>
      <c r="N2698">
        <v>262690</v>
      </c>
      <c r="O2698">
        <v>0</v>
      </c>
      <c r="P2698">
        <v>262690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 t="s">
        <v>47</v>
      </c>
      <c r="AA2698" t="s">
        <v>501</v>
      </c>
      <c r="AB2698" t="s">
        <v>51</v>
      </c>
      <c r="AC2698" t="s">
        <v>51</v>
      </c>
      <c r="AD2698" t="s">
        <v>51</v>
      </c>
      <c r="AE2698" t="s">
        <v>2027</v>
      </c>
      <c r="AF2698" t="s">
        <v>77</v>
      </c>
    </row>
    <row r="2699" spans="1:32" ht="14.5" customHeight="1" x14ac:dyDescent="0.35">
      <c r="A2699" t="s">
        <v>84</v>
      </c>
      <c r="B2699" t="s">
        <v>85</v>
      </c>
      <c r="C2699" t="s">
        <v>846</v>
      </c>
      <c r="D2699">
        <v>3100068</v>
      </c>
      <c r="E2699">
        <v>3100610</v>
      </c>
      <c r="F2699" t="s">
        <v>14</v>
      </c>
      <c r="G2699" t="s">
        <v>14</v>
      </c>
      <c r="H2699" t="s">
        <v>54</v>
      </c>
      <c r="I2699">
        <v>9927407</v>
      </c>
      <c r="J2699" s="12">
        <v>46130</v>
      </c>
      <c r="K2699" s="12">
        <v>46130</v>
      </c>
      <c r="L2699" s="12">
        <v>46163</v>
      </c>
      <c r="M2699">
        <v>-31</v>
      </c>
      <c r="N2699">
        <v>851507236</v>
      </c>
      <c r="O2699">
        <v>0</v>
      </c>
      <c r="P2699">
        <v>851507236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 t="s">
        <v>846</v>
      </c>
      <c r="AA2699" t="s">
        <v>501</v>
      </c>
      <c r="AB2699" t="s">
        <v>51</v>
      </c>
      <c r="AC2699" t="s">
        <v>51</v>
      </c>
      <c r="AD2699" t="s">
        <v>51</v>
      </c>
      <c r="AE2699" t="s">
        <v>2028</v>
      </c>
      <c r="AF2699" t="s">
        <v>62</v>
      </c>
    </row>
    <row r="2700" spans="1:32" ht="14.5" customHeight="1" x14ac:dyDescent="0.35">
      <c r="A2700" t="s">
        <v>651</v>
      </c>
      <c r="B2700" t="s">
        <v>652</v>
      </c>
      <c r="C2700" t="s">
        <v>596</v>
      </c>
      <c r="D2700">
        <v>3100139</v>
      </c>
      <c r="E2700">
        <v>3100448</v>
      </c>
      <c r="F2700" t="s">
        <v>2029</v>
      </c>
      <c r="G2700" t="s">
        <v>2029</v>
      </c>
      <c r="H2700" t="s">
        <v>111</v>
      </c>
      <c r="I2700">
        <v>6950230</v>
      </c>
      <c r="J2700" s="12">
        <v>46064</v>
      </c>
      <c r="K2700" s="12">
        <v>46064</v>
      </c>
      <c r="L2700" s="12">
        <v>46064</v>
      </c>
      <c r="M2700">
        <v>68</v>
      </c>
      <c r="N2700">
        <v>-2756920</v>
      </c>
      <c r="O2700">
        <v>-2756920</v>
      </c>
      <c r="P2700">
        <v>0</v>
      </c>
      <c r="Q2700">
        <v>0</v>
      </c>
      <c r="R2700">
        <v>0</v>
      </c>
      <c r="S2700">
        <v>-2756920</v>
      </c>
      <c r="T2700">
        <v>0</v>
      </c>
      <c r="U2700">
        <v>0</v>
      </c>
      <c r="V2700">
        <v>0</v>
      </c>
      <c r="W2700">
        <v>0</v>
      </c>
      <c r="X2700">
        <v>0</v>
      </c>
      <c r="Y2700" t="s">
        <v>596</v>
      </c>
      <c r="AA2700" t="s">
        <v>2030</v>
      </c>
      <c r="AB2700" t="s">
        <v>51</v>
      </c>
      <c r="AC2700" t="s">
        <v>51</v>
      </c>
      <c r="AD2700" t="s">
        <v>51</v>
      </c>
      <c r="AE2700" t="s">
        <v>51</v>
      </c>
      <c r="AF2700" t="s">
        <v>930</v>
      </c>
    </row>
    <row r="2701" spans="1:32" ht="14.5" customHeight="1" x14ac:dyDescent="0.35">
      <c r="A2701" t="s">
        <v>651</v>
      </c>
      <c r="B2701" t="s">
        <v>652</v>
      </c>
      <c r="C2701" t="s">
        <v>596</v>
      </c>
      <c r="D2701">
        <v>3100139</v>
      </c>
      <c r="E2701">
        <v>3100139</v>
      </c>
      <c r="F2701" t="s">
        <v>2029</v>
      </c>
      <c r="G2701" t="s">
        <v>2029</v>
      </c>
      <c r="H2701" t="s">
        <v>111</v>
      </c>
      <c r="I2701">
        <v>6950231</v>
      </c>
      <c r="J2701" s="12">
        <v>46064</v>
      </c>
      <c r="K2701" s="12">
        <v>46064</v>
      </c>
      <c r="L2701" s="12">
        <v>46064</v>
      </c>
      <c r="M2701">
        <v>68</v>
      </c>
      <c r="N2701">
        <v>-1018181</v>
      </c>
      <c r="O2701">
        <v>-1018181</v>
      </c>
      <c r="P2701">
        <v>0</v>
      </c>
      <c r="Q2701">
        <v>0</v>
      </c>
      <c r="R2701">
        <v>0</v>
      </c>
      <c r="S2701">
        <v>-1018181</v>
      </c>
      <c r="T2701">
        <v>0</v>
      </c>
      <c r="U2701">
        <v>0</v>
      </c>
      <c r="V2701">
        <v>0</v>
      </c>
      <c r="W2701">
        <v>0</v>
      </c>
      <c r="X2701">
        <v>0</v>
      </c>
      <c r="Y2701" t="s">
        <v>47</v>
      </c>
      <c r="AA2701" t="s">
        <v>2030</v>
      </c>
      <c r="AB2701" t="s">
        <v>51</v>
      </c>
      <c r="AC2701" t="s">
        <v>51</v>
      </c>
      <c r="AD2701" t="s">
        <v>51</v>
      </c>
      <c r="AE2701" t="s">
        <v>51</v>
      </c>
      <c r="AF2701" t="s">
        <v>2031</v>
      </c>
    </row>
    <row r="2702" spans="1:32" ht="14.5" customHeight="1" x14ac:dyDescent="0.35">
      <c r="A2702" t="s">
        <v>651</v>
      </c>
      <c r="B2702" t="s">
        <v>652</v>
      </c>
      <c r="C2702" t="s">
        <v>596</v>
      </c>
      <c r="D2702">
        <v>3100139</v>
      </c>
      <c r="E2702">
        <v>3100139</v>
      </c>
      <c r="F2702" t="s">
        <v>2029</v>
      </c>
      <c r="G2702" t="s">
        <v>2029</v>
      </c>
      <c r="H2702" t="s">
        <v>111</v>
      </c>
      <c r="I2702">
        <v>6950232</v>
      </c>
      <c r="J2702" s="12">
        <v>46064</v>
      </c>
      <c r="K2702" s="12">
        <v>46064</v>
      </c>
      <c r="L2702" s="12">
        <v>46064</v>
      </c>
      <c r="M2702">
        <v>68</v>
      </c>
      <c r="N2702">
        <v>-1018181</v>
      </c>
      <c r="O2702">
        <v>-1018181</v>
      </c>
      <c r="P2702">
        <v>0</v>
      </c>
      <c r="Q2702">
        <v>0</v>
      </c>
      <c r="R2702">
        <v>0</v>
      </c>
      <c r="S2702">
        <v>-1018181</v>
      </c>
      <c r="T2702">
        <v>0</v>
      </c>
      <c r="U2702">
        <v>0</v>
      </c>
      <c r="V2702">
        <v>0</v>
      </c>
      <c r="W2702">
        <v>0</v>
      </c>
      <c r="X2702">
        <v>0</v>
      </c>
      <c r="Y2702" t="s">
        <v>47</v>
      </c>
      <c r="AA2702" t="s">
        <v>2030</v>
      </c>
      <c r="AB2702" t="s">
        <v>51</v>
      </c>
      <c r="AC2702" t="s">
        <v>51</v>
      </c>
      <c r="AD2702" t="s">
        <v>51</v>
      </c>
      <c r="AE2702" t="s">
        <v>51</v>
      </c>
      <c r="AF2702" t="s">
        <v>2031</v>
      </c>
    </row>
    <row r="2703" spans="1:32" ht="14.5" customHeight="1" x14ac:dyDescent="0.35">
      <c r="A2703" t="s">
        <v>651</v>
      </c>
      <c r="B2703" t="s">
        <v>652</v>
      </c>
      <c r="C2703" t="s">
        <v>596</v>
      </c>
      <c r="D2703">
        <v>3100139</v>
      </c>
      <c r="E2703">
        <v>3100448</v>
      </c>
      <c r="F2703" t="s">
        <v>2029</v>
      </c>
      <c r="G2703" t="s">
        <v>2029</v>
      </c>
      <c r="H2703" t="s">
        <v>111</v>
      </c>
      <c r="I2703">
        <v>6950233</v>
      </c>
      <c r="J2703" s="12">
        <v>46064</v>
      </c>
      <c r="K2703" s="12">
        <v>46064</v>
      </c>
      <c r="L2703" s="12">
        <v>46064</v>
      </c>
      <c r="M2703">
        <v>68</v>
      </c>
      <c r="N2703">
        <v>-979393</v>
      </c>
      <c r="O2703">
        <v>-979393</v>
      </c>
      <c r="P2703">
        <v>0</v>
      </c>
      <c r="Q2703">
        <v>0</v>
      </c>
      <c r="R2703">
        <v>0</v>
      </c>
      <c r="S2703">
        <v>-979393</v>
      </c>
      <c r="T2703">
        <v>0</v>
      </c>
      <c r="U2703">
        <v>0</v>
      </c>
      <c r="V2703">
        <v>0</v>
      </c>
      <c r="W2703">
        <v>0</v>
      </c>
      <c r="X2703">
        <v>0</v>
      </c>
      <c r="Y2703" t="s">
        <v>596</v>
      </c>
      <c r="AA2703" t="s">
        <v>2030</v>
      </c>
      <c r="AB2703" t="s">
        <v>51</v>
      </c>
      <c r="AC2703" t="s">
        <v>51</v>
      </c>
      <c r="AD2703" t="s">
        <v>51</v>
      </c>
      <c r="AE2703" t="s">
        <v>51</v>
      </c>
      <c r="AF2703" t="s">
        <v>952</v>
      </c>
    </row>
    <row r="2704" spans="1:32" ht="14.5" customHeight="1" x14ac:dyDescent="0.35">
      <c r="A2704" t="s">
        <v>651</v>
      </c>
      <c r="B2704" t="s">
        <v>652</v>
      </c>
      <c r="C2704" t="s">
        <v>596</v>
      </c>
      <c r="D2704">
        <v>3100139</v>
      </c>
      <c r="E2704">
        <v>3100448</v>
      </c>
      <c r="F2704" t="s">
        <v>2029</v>
      </c>
      <c r="G2704" t="s">
        <v>2029</v>
      </c>
      <c r="H2704" t="s">
        <v>111</v>
      </c>
      <c r="I2704">
        <v>6950234</v>
      </c>
      <c r="J2704" s="12">
        <v>46064</v>
      </c>
      <c r="K2704" s="12">
        <v>46064</v>
      </c>
      <c r="L2704" s="12">
        <v>46064</v>
      </c>
      <c r="M2704">
        <v>68</v>
      </c>
      <c r="N2704">
        <v>-343030</v>
      </c>
      <c r="O2704">
        <v>-343030</v>
      </c>
      <c r="P2704">
        <v>0</v>
      </c>
      <c r="Q2704">
        <v>0</v>
      </c>
      <c r="R2704">
        <v>0</v>
      </c>
      <c r="S2704">
        <v>-343030</v>
      </c>
      <c r="T2704">
        <v>0</v>
      </c>
      <c r="U2704">
        <v>0</v>
      </c>
      <c r="V2704">
        <v>0</v>
      </c>
      <c r="W2704">
        <v>0</v>
      </c>
      <c r="X2704">
        <v>0</v>
      </c>
      <c r="Y2704" t="s">
        <v>596</v>
      </c>
      <c r="AA2704" t="s">
        <v>2030</v>
      </c>
      <c r="AB2704" t="s">
        <v>51</v>
      </c>
      <c r="AC2704" t="s">
        <v>51</v>
      </c>
      <c r="AD2704" t="s">
        <v>51</v>
      </c>
      <c r="AE2704" t="s">
        <v>51</v>
      </c>
      <c r="AF2704" t="s">
        <v>2032</v>
      </c>
    </row>
    <row r="2705" spans="1:32" ht="14.5" customHeight="1" x14ac:dyDescent="0.35">
      <c r="A2705" t="s">
        <v>651</v>
      </c>
      <c r="B2705" t="s">
        <v>652</v>
      </c>
      <c r="C2705" t="s">
        <v>596</v>
      </c>
      <c r="D2705">
        <v>3100139</v>
      </c>
      <c r="E2705">
        <v>3100448</v>
      </c>
      <c r="F2705" t="s">
        <v>2029</v>
      </c>
      <c r="G2705" t="s">
        <v>2029</v>
      </c>
      <c r="H2705" t="s">
        <v>111</v>
      </c>
      <c r="I2705">
        <v>6950235</v>
      </c>
      <c r="J2705" s="12">
        <v>46064</v>
      </c>
      <c r="K2705" s="12">
        <v>46064</v>
      </c>
      <c r="L2705" s="12">
        <v>46064</v>
      </c>
      <c r="M2705">
        <v>68</v>
      </c>
      <c r="N2705">
        <v>-538181</v>
      </c>
      <c r="O2705">
        <v>-538181</v>
      </c>
      <c r="P2705">
        <v>0</v>
      </c>
      <c r="Q2705">
        <v>0</v>
      </c>
      <c r="R2705">
        <v>0</v>
      </c>
      <c r="S2705">
        <v>-538181</v>
      </c>
      <c r="T2705">
        <v>0</v>
      </c>
      <c r="U2705">
        <v>0</v>
      </c>
      <c r="V2705">
        <v>0</v>
      </c>
      <c r="W2705">
        <v>0</v>
      </c>
      <c r="X2705">
        <v>0</v>
      </c>
      <c r="Y2705" t="s">
        <v>596</v>
      </c>
      <c r="AA2705" t="s">
        <v>2030</v>
      </c>
      <c r="AB2705" t="s">
        <v>51</v>
      </c>
      <c r="AC2705" t="s">
        <v>51</v>
      </c>
      <c r="AD2705" t="s">
        <v>51</v>
      </c>
      <c r="AE2705" t="s">
        <v>51</v>
      </c>
      <c r="AF2705" t="s">
        <v>1750</v>
      </c>
    </row>
    <row r="2706" spans="1:32" ht="14.5" customHeight="1" x14ac:dyDescent="0.35">
      <c r="A2706" t="s">
        <v>651</v>
      </c>
      <c r="B2706" t="s">
        <v>652</v>
      </c>
      <c r="C2706" t="s">
        <v>596</v>
      </c>
      <c r="D2706">
        <v>3100139</v>
      </c>
      <c r="E2706">
        <v>3100448</v>
      </c>
      <c r="F2706" t="s">
        <v>2029</v>
      </c>
      <c r="G2706" t="s">
        <v>2029</v>
      </c>
      <c r="H2706" t="s">
        <v>111</v>
      </c>
      <c r="I2706">
        <v>6950236</v>
      </c>
      <c r="J2706" s="12">
        <v>46064</v>
      </c>
      <c r="K2706" s="12">
        <v>46064</v>
      </c>
      <c r="L2706" s="12">
        <v>46064</v>
      </c>
      <c r="M2706">
        <v>68</v>
      </c>
      <c r="N2706">
        <v>-1541817</v>
      </c>
      <c r="O2706">
        <v>-1541817</v>
      </c>
      <c r="P2706">
        <v>0</v>
      </c>
      <c r="Q2706">
        <v>0</v>
      </c>
      <c r="R2706">
        <v>0</v>
      </c>
      <c r="S2706">
        <v>-1541817</v>
      </c>
      <c r="T2706">
        <v>0</v>
      </c>
      <c r="U2706">
        <v>0</v>
      </c>
      <c r="V2706">
        <v>0</v>
      </c>
      <c r="W2706">
        <v>0</v>
      </c>
      <c r="X2706">
        <v>0</v>
      </c>
      <c r="Y2706" t="s">
        <v>596</v>
      </c>
      <c r="AA2706" t="s">
        <v>2030</v>
      </c>
      <c r="AB2706" t="s">
        <v>51</v>
      </c>
      <c r="AC2706" t="s">
        <v>51</v>
      </c>
      <c r="AD2706" t="s">
        <v>51</v>
      </c>
      <c r="AE2706" t="s">
        <v>51</v>
      </c>
      <c r="AF2706" t="s">
        <v>2033</v>
      </c>
    </row>
    <row r="2707" spans="1:32" ht="14.5" customHeight="1" x14ac:dyDescent="0.35">
      <c r="A2707" t="s">
        <v>651</v>
      </c>
      <c r="B2707" t="s">
        <v>652</v>
      </c>
      <c r="C2707" t="s">
        <v>596</v>
      </c>
      <c r="D2707">
        <v>3100139</v>
      </c>
      <c r="E2707">
        <v>3100448</v>
      </c>
      <c r="F2707" t="s">
        <v>2029</v>
      </c>
      <c r="G2707" t="s">
        <v>2029</v>
      </c>
      <c r="H2707" t="s">
        <v>111</v>
      </c>
      <c r="I2707">
        <v>6950237</v>
      </c>
      <c r="J2707" s="12">
        <v>46064</v>
      </c>
      <c r="K2707" s="12">
        <v>46064</v>
      </c>
      <c r="L2707" s="12">
        <v>46064</v>
      </c>
      <c r="M2707">
        <v>68</v>
      </c>
      <c r="N2707">
        <v>-237576</v>
      </c>
      <c r="O2707">
        <v>-237576</v>
      </c>
      <c r="P2707">
        <v>0</v>
      </c>
      <c r="Q2707">
        <v>0</v>
      </c>
      <c r="R2707">
        <v>0</v>
      </c>
      <c r="S2707">
        <v>-237576</v>
      </c>
      <c r="T2707">
        <v>0</v>
      </c>
      <c r="U2707">
        <v>0</v>
      </c>
      <c r="V2707">
        <v>0</v>
      </c>
      <c r="W2707">
        <v>0</v>
      </c>
      <c r="X2707">
        <v>0</v>
      </c>
      <c r="Y2707" t="s">
        <v>596</v>
      </c>
      <c r="AA2707" t="s">
        <v>2030</v>
      </c>
      <c r="AB2707" t="s">
        <v>51</v>
      </c>
      <c r="AC2707" t="s">
        <v>51</v>
      </c>
      <c r="AD2707" t="s">
        <v>51</v>
      </c>
      <c r="AE2707" t="s">
        <v>51</v>
      </c>
      <c r="AF2707" t="s">
        <v>2034</v>
      </c>
    </row>
    <row r="2708" spans="1:32" ht="14.5" customHeight="1" x14ac:dyDescent="0.35">
      <c r="A2708" t="s">
        <v>651</v>
      </c>
      <c r="B2708" t="s">
        <v>652</v>
      </c>
      <c r="C2708" t="s">
        <v>596</v>
      </c>
      <c r="D2708">
        <v>3100139</v>
      </c>
      <c r="E2708">
        <v>3100448</v>
      </c>
      <c r="F2708" t="s">
        <v>2029</v>
      </c>
      <c r="G2708" t="s">
        <v>2029</v>
      </c>
      <c r="H2708" t="s">
        <v>111</v>
      </c>
      <c r="I2708">
        <v>6950238</v>
      </c>
      <c r="J2708" s="12">
        <v>46064</v>
      </c>
      <c r="K2708" s="12">
        <v>46064</v>
      </c>
      <c r="L2708" s="12">
        <v>46064</v>
      </c>
      <c r="M2708">
        <v>68</v>
      </c>
      <c r="N2708">
        <v>-343030</v>
      </c>
      <c r="O2708">
        <v>-343030</v>
      </c>
      <c r="P2708">
        <v>0</v>
      </c>
      <c r="Q2708">
        <v>0</v>
      </c>
      <c r="R2708">
        <v>0</v>
      </c>
      <c r="S2708">
        <v>-343030</v>
      </c>
      <c r="T2708">
        <v>0</v>
      </c>
      <c r="U2708">
        <v>0</v>
      </c>
      <c r="V2708">
        <v>0</v>
      </c>
      <c r="W2708">
        <v>0</v>
      </c>
      <c r="X2708">
        <v>0</v>
      </c>
      <c r="Y2708" t="s">
        <v>596</v>
      </c>
      <c r="AA2708" t="s">
        <v>2030</v>
      </c>
      <c r="AB2708" t="s">
        <v>51</v>
      </c>
      <c r="AC2708" t="s">
        <v>51</v>
      </c>
      <c r="AD2708" t="s">
        <v>51</v>
      </c>
      <c r="AE2708" t="s">
        <v>51</v>
      </c>
      <c r="AF2708" t="s">
        <v>2035</v>
      </c>
    </row>
    <row r="2709" spans="1:32" ht="14.5" customHeight="1" x14ac:dyDescent="0.35">
      <c r="A2709" t="s">
        <v>651</v>
      </c>
      <c r="B2709" t="s">
        <v>652</v>
      </c>
      <c r="C2709" t="s">
        <v>596</v>
      </c>
      <c r="D2709">
        <v>3100139</v>
      </c>
      <c r="E2709">
        <v>3100448</v>
      </c>
      <c r="F2709" t="s">
        <v>2029</v>
      </c>
      <c r="G2709" t="s">
        <v>2029</v>
      </c>
      <c r="H2709" t="s">
        <v>111</v>
      </c>
      <c r="I2709">
        <v>6950239</v>
      </c>
      <c r="J2709" s="12">
        <v>46064</v>
      </c>
      <c r="K2709" s="12">
        <v>46064</v>
      </c>
      <c r="L2709" s="12">
        <v>46064</v>
      </c>
      <c r="M2709">
        <v>68</v>
      </c>
      <c r="N2709">
        <v>-528484</v>
      </c>
      <c r="O2709">
        <v>-528484</v>
      </c>
      <c r="P2709">
        <v>0</v>
      </c>
      <c r="Q2709">
        <v>0</v>
      </c>
      <c r="R2709">
        <v>0</v>
      </c>
      <c r="S2709">
        <v>-528484</v>
      </c>
      <c r="T2709">
        <v>0</v>
      </c>
      <c r="U2709">
        <v>0</v>
      </c>
      <c r="V2709">
        <v>0</v>
      </c>
      <c r="W2709">
        <v>0</v>
      </c>
      <c r="X2709">
        <v>0</v>
      </c>
      <c r="Y2709" t="s">
        <v>596</v>
      </c>
      <c r="AA2709" t="s">
        <v>2030</v>
      </c>
      <c r="AB2709" t="s">
        <v>51</v>
      </c>
      <c r="AC2709" t="s">
        <v>51</v>
      </c>
      <c r="AD2709" t="s">
        <v>51</v>
      </c>
      <c r="AE2709" t="s">
        <v>51</v>
      </c>
      <c r="AF2709" t="s">
        <v>2036</v>
      </c>
    </row>
    <row r="2710" spans="1:32" ht="14.5" customHeight="1" x14ac:dyDescent="0.35">
      <c r="A2710" t="s">
        <v>651</v>
      </c>
      <c r="B2710" t="s">
        <v>652</v>
      </c>
      <c r="C2710" t="s">
        <v>596</v>
      </c>
      <c r="D2710">
        <v>3100139</v>
      </c>
      <c r="E2710">
        <v>3100448</v>
      </c>
      <c r="F2710" t="s">
        <v>2029</v>
      </c>
      <c r="G2710" t="s">
        <v>2029</v>
      </c>
      <c r="H2710" t="s">
        <v>111</v>
      </c>
      <c r="I2710">
        <v>6950240</v>
      </c>
      <c r="J2710" s="12">
        <v>46064</v>
      </c>
      <c r="K2710" s="12">
        <v>46064</v>
      </c>
      <c r="L2710" s="12">
        <v>46064</v>
      </c>
      <c r="M2710">
        <v>68</v>
      </c>
      <c r="N2710">
        <v>-411162</v>
      </c>
      <c r="O2710">
        <v>-411162</v>
      </c>
      <c r="P2710">
        <v>0</v>
      </c>
      <c r="Q2710">
        <v>0</v>
      </c>
      <c r="R2710">
        <v>0</v>
      </c>
      <c r="S2710">
        <v>-411162</v>
      </c>
      <c r="T2710">
        <v>0</v>
      </c>
      <c r="U2710">
        <v>0</v>
      </c>
      <c r="V2710">
        <v>0</v>
      </c>
      <c r="W2710">
        <v>0</v>
      </c>
      <c r="X2710">
        <v>0</v>
      </c>
      <c r="Y2710" t="s">
        <v>596</v>
      </c>
      <c r="AA2710" t="s">
        <v>2030</v>
      </c>
      <c r="AB2710" t="s">
        <v>51</v>
      </c>
      <c r="AC2710" t="s">
        <v>51</v>
      </c>
      <c r="AD2710" t="s">
        <v>51</v>
      </c>
      <c r="AE2710" t="s">
        <v>51</v>
      </c>
      <c r="AF2710" t="s">
        <v>2037</v>
      </c>
    </row>
    <row r="2711" spans="1:32" ht="14.5" customHeight="1" x14ac:dyDescent="0.35">
      <c r="A2711" t="s">
        <v>651</v>
      </c>
      <c r="B2711" t="s">
        <v>652</v>
      </c>
      <c r="C2711" t="s">
        <v>596</v>
      </c>
      <c r="D2711">
        <v>3100139</v>
      </c>
      <c r="E2711">
        <v>3100448</v>
      </c>
      <c r="F2711" t="s">
        <v>2029</v>
      </c>
      <c r="G2711" t="s">
        <v>2029</v>
      </c>
      <c r="H2711" t="s">
        <v>111</v>
      </c>
      <c r="I2711">
        <v>6950241</v>
      </c>
      <c r="J2711" s="12">
        <v>46064</v>
      </c>
      <c r="K2711" s="12">
        <v>46064</v>
      </c>
      <c r="L2711" s="12">
        <v>46064</v>
      </c>
      <c r="M2711">
        <v>68</v>
      </c>
      <c r="N2711">
        <v>-215757</v>
      </c>
      <c r="O2711">
        <v>-215757</v>
      </c>
      <c r="P2711">
        <v>0</v>
      </c>
      <c r="Q2711">
        <v>0</v>
      </c>
      <c r="R2711">
        <v>0</v>
      </c>
      <c r="S2711">
        <v>-215757</v>
      </c>
      <c r="T2711">
        <v>0</v>
      </c>
      <c r="U2711">
        <v>0</v>
      </c>
      <c r="V2711">
        <v>0</v>
      </c>
      <c r="W2711">
        <v>0</v>
      </c>
      <c r="X2711">
        <v>0</v>
      </c>
      <c r="Y2711" t="s">
        <v>596</v>
      </c>
      <c r="AA2711" t="s">
        <v>2030</v>
      </c>
      <c r="AB2711" t="s">
        <v>51</v>
      </c>
      <c r="AC2711" t="s">
        <v>51</v>
      </c>
      <c r="AD2711" t="s">
        <v>51</v>
      </c>
      <c r="AE2711" t="s">
        <v>51</v>
      </c>
      <c r="AF2711" t="s">
        <v>2038</v>
      </c>
    </row>
    <row r="2712" spans="1:32" ht="14.5" customHeight="1" x14ac:dyDescent="0.35">
      <c r="A2712" t="s">
        <v>651</v>
      </c>
      <c r="B2712" t="s">
        <v>652</v>
      </c>
      <c r="C2712" t="s">
        <v>596</v>
      </c>
      <c r="D2712">
        <v>3100139</v>
      </c>
      <c r="E2712">
        <v>3100448</v>
      </c>
      <c r="F2712" t="s">
        <v>2029</v>
      </c>
      <c r="G2712" t="s">
        <v>2029</v>
      </c>
      <c r="H2712" t="s">
        <v>111</v>
      </c>
      <c r="I2712">
        <v>6950242</v>
      </c>
      <c r="J2712" s="12">
        <v>46064</v>
      </c>
      <c r="K2712" s="12">
        <v>46064</v>
      </c>
      <c r="L2712" s="12">
        <v>46064</v>
      </c>
      <c r="M2712">
        <v>68</v>
      </c>
      <c r="N2712">
        <v>-607885</v>
      </c>
      <c r="O2712">
        <v>-607885</v>
      </c>
      <c r="P2712">
        <v>0</v>
      </c>
      <c r="Q2712">
        <v>0</v>
      </c>
      <c r="R2712">
        <v>0</v>
      </c>
      <c r="S2712">
        <v>-607885</v>
      </c>
      <c r="T2712">
        <v>0</v>
      </c>
      <c r="U2712">
        <v>0</v>
      </c>
      <c r="V2712">
        <v>0</v>
      </c>
      <c r="W2712">
        <v>0</v>
      </c>
      <c r="X2712">
        <v>0</v>
      </c>
      <c r="Y2712" t="s">
        <v>596</v>
      </c>
      <c r="AA2712" t="s">
        <v>2030</v>
      </c>
      <c r="AB2712" t="s">
        <v>51</v>
      </c>
      <c r="AC2712" t="s">
        <v>51</v>
      </c>
      <c r="AD2712" t="s">
        <v>51</v>
      </c>
      <c r="AE2712" t="s">
        <v>51</v>
      </c>
      <c r="AF2712" t="s">
        <v>2039</v>
      </c>
    </row>
    <row r="2713" spans="1:32" ht="14.5" customHeight="1" x14ac:dyDescent="0.35">
      <c r="A2713" t="s">
        <v>651</v>
      </c>
      <c r="B2713" t="s">
        <v>652</v>
      </c>
      <c r="C2713" t="s">
        <v>596</v>
      </c>
      <c r="D2713">
        <v>3100139</v>
      </c>
      <c r="E2713">
        <v>3100448</v>
      </c>
      <c r="F2713" t="s">
        <v>2029</v>
      </c>
      <c r="G2713" t="s">
        <v>2029</v>
      </c>
      <c r="H2713" t="s">
        <v>111</v>
      </c>
      <c r="I2713">
        <v>6950243</v>
      </c>
      <c r="J2713" s="12">
        <v>46064</v>
      </c>
      <c r="K2713" s="12">
        <v>46064</v>
      </c>
      <c r="L2713" s="12">
        <v>46064</v>
      </c>
      <c r="M2713">
        <v>68</v>
      </c>
      <c r="N2713">
        <v>-4755518</v>
      </c>
      <c r="O2713">
        <v>-4755518</v>
      </c>
      <c r="P2713">
        <v>0</v>
      </c>
      <c r="Q2713">
        <v>0</v>
      </c>
      <c r="R2713">
        <v>0</v>
      </c>
      <c r="S2713">
        <v>-4755518</v>
      </c>
      <c r="T2713">
        <v>0</v>
      </c>
      <c r="U2713">
        <v>0</v>
      </c>
      <c r="V2713">
        <v>0</v>
      </c>
      <c r="W2713">
        <v>0</v>
      </c>
      <c r="X2713">
        <v>0</v>
      </c>
      <c r="Y2713" t="s">
        <v>596</v>
      </c>
      <c r="AA2713" t="s">
        <v>2030</v>
      </c>
      <c r="AB2713" t="s">
        <v>51</v>
      </c>
      <c r="AC2713" t="s">
        <v>51</v>
      </c>
      <c r="AD2713" t="s">
        <v>51</v>
      </c>
      <c r="AE2713" t="s">
        <v>51</v>
      </c>
      <c r="AF2713" t="s">
        <v>2040</v>
      </c>
    </row>
    <row r="2714" spans="1:32" ht="14.5" customHeight="1" x14ac:dyDescent="0.35">
      <c r="A2714" t="s">
        <v>651</v>
      </c>
      <c r="B2714" t="s">
        <v>652</v>
      </c>
      <c r="C2714" t="s">
        <v>596</v>
      </c>
      <c r="D2714">
        <v>3100139</v>
      </c>
      <c r="E2714">
        <v>3100448</v>
      </c>
      <c r="F2714" t="s">
        <v>2029</v>
      </c>
      <c r="G2714" t="s">
        <v>2029</v>
      </c>
      <c r="H2714" t="s">
        <v>111</v>
      </c>
      <c r="I2714">
        <v>6950244</v>
      </c>
      <c r="J2714" s="12">
        <v>46064</v>
      </c>
      <c r="K2714" s="12">
        <v>46064</v>
      </c>
      <c r="L2714" s="12">
        <v>46064</v>
      </c>
      <c r="M2714">
        <v>68</v>
      </c>
      <c r="N2714">
        <v>-8956652</v>
      </c>
      <c r="O2714">
        <v>-8956652</v>
      </c>
      <c r="P2714">
        <v>0</v>
      </c>
      <c r="Q2714">
        <v>0</v>
      </c>
      <c r="R2714">
        <v>0</v>
      </c>
      <c r="S2714">
        <v>-8956652</v>
      </c>
      <c r="T2714">
        <v>0</v>
      </c>
      <c r="U2714">
        <v>0</v>
      </c>
      <c r="V2714">
        <v>0</v>
      </c>
      <c r="W2714">
        <v>0</v>
      </c>
      <c r="X2714">
        <v>0</v>
      </c>
      <c r="Y2714" t="s">
        <v>596</v>
      </c>
      <c r="AA2714" t="s">
        <v>2030</v>
      </c>
      <c r="AB2714" t="s">
        <v>51</v>
      </c>
      <c r="AC2714" t="s">
        <v>51</v>
      </c>
      <c r="AD2714" t="s">
        <v>51</v>
      </c>
      <c r="AE2714" t="s">
        <v>51</v>
      </c>
      <c r="AF2714" t="s">
        <v>2041</v>
      </c>
    </row>
    <row r="2715" spans="1:32" ht="14.5" customHeight="1" x14ac:dyDescent="0.35">
      <c r="A2715" t="s">
        <v>651</v>
      </c>
      <c r="B2715" t="s">
        <v>652</v>
      </c>
      <c r="C2715" t="s">
        <v>596</v>
      </c>
      <c r="D2715">
        <v>3100139</v>
      </c>
      <c r="E2715">
        <v>3100448</v>
      </c>
      <c r="F2715" t="s">
        <v>2029</v>
      </c>
      <c r="G2715" t="s">
        <v>2029</v>
      </c>
      <c r="H2715" t="s">
        <v>111</v>
      </c>
      <c r="I2715">
        <v>6950245</v>
      </c>
      <c r="J2715" s="12">
        <v>46064</v>
      </c>
      <c r="K2715" s="12">
        <v>46064</v>
      </c>
      <c r="L2715" s="12">
        <v>46064</v>
      </c>
      <c r="M2715">
        <v>68</v>
      </c>
      <c r="N2715">
        <v>-314205</v>
      </c>
      <c r="O2715">
        <v>-314205</v>
      </c>
      <c r="P2715">
        <v>0</v>
      </c>
      <c r="Q2715">
        <v>0</v>
      </c>
      <c r="R2715">
        <v>0</v>
      </c>
      <c r="S2715">
        <v>-314205</v>
      </c>
      <c r="T2715">
        <v>0</v>
      </c>
      <c r="U2715">
        <v>0</v>
      </c>
      <c r="V2715">
        <v>0</v>
      </c>
      <c r="W2715">
        <v>0</v>
      </c>
      <c r="X2715">
        <v>0</v>
      </c>
      <c r="Y2715" t="s">
        <v>596</v>
      </c>
      <c r="AA2715" t="s">
        <v>2030</v>
      </c>
      <c r="AB2715" t="s">
        <v>51</v>
      </c>
      <c r="AC2715" t="s">
        <v>51</v>
      </c>
      <c r="AD2715" t="s">
        <v>51</v>
      </c>
      <c r="AE2715" t="s">
        <v>51</v>
      </c>
      <c r="AF2715" t="s">
        <v>2042</v>
      </c>
    </row>
    <row r="2716" spans="1:32" ht="14.5" customHeight="1" x14ac:dyDescent="0.35">
      <c r="A2716" t="s">
        <v>651</v>
      </c>
      <c r="B2716" t="s">
        <v>652</v>
      </c>
      <c r="C2716" t="s">
        <v>596</v>
      </c>
      <c r="D2716">
        <v>3100139</v>
      </c>
      <c r="E2716">
        <v>3100448</v>
      </c>
      <c r="F2716" t="s">
        <v>2029</v>
      </c>
      <c r="G2716" t="s">
        <v>2029</v>
      </c>
      <c r="H2716" t="s">
        <v>111</v>
      </c>
      <c r="I2716">
        <v>6950246</v>
      </c>
      <c r="J2716" s="12">
        <v>46064</v>
      </c>
      <c r="K2716" s="12">
        <v>46064</v>
      </c>
      <c r="L2716" s="12">
        <v>46064</v>
      </c>
      <c r="M2716">
        <v>68</v>
      </c>
      <c r="N2716">
        <v>-435555</v>
      </c>
      <c r="O2716">
        <v>-435555</v>
      </c>
      <c r="P2716">
        <v>0</v>
      </c>
      <c r="Q2716">
        <v>0</v>
      </c>
      <c r="R2716">
        <v>0</v>
      </c>
      <c r="S2716">
        <v>-435555</v>
      </c>
      <c r="T2716">
        <v>0</v>
      </c>
      <c r="U2716">
        <v>0</v>
      </c>
      <c r="V2716">
        <v>0</v>
      </c>
      <c r="W2716">
        <v>0</v>
      </c>
      <c r="X2716">
        <v>0</v>
      </c>
      <c r="Y2716" t="s">
        <v>596</v>
      </c>
      <c r="AA2716" t="s">
        <v>2030</v>
      </c>
      <c r="AB2716" t="s">
        <v>51</v>
      </c>
      <c r="AC2716" t="s">
        <v>51</v>
      </c>
      <c r="AD2716" t="s">
        <v>51</v>
      </c>
      <c r="AE2716" t="s">
        <v>51</v>
      </c>
      <c r="AF2716" t="s">
        <v>1686</v>
      </c>
    </row>
    <row r="2717" spans="1:32" ht="14.5" customHeight="1" x14ac:dyDescent="0.35">
      <c r="A2717" t="s">
        <v>651</v>
      </c>
      <c r="B2717" t="s">
        <v>652</v>
      </c>
      <c r="C2717" t="s">
        <v>596</v>
      </c>
      <c r="D2717">
        <v>3100139</v>
      </c>
      <c r="E2717">
        <v>3100139</v>
      </c>
      <c r="F2717" t="s">
        <v>2029</v>
      </c>
      <c r="G2717" t="s">
        <v>2029</v>
      </c>
      <c r="H2717" t="s">
        <v>111</v>
      </c>
      <c r="I2717">
        <v>6950247</v>
      </c>
      <c r="J2717" s="12">
        <v>46064</v>
      </c>
      <c r="K2717" s="12">
        <v>46064</v>
      </c>
      <c r="L2717" s="12">
        <v>46064</v>
      </c>
      <c r="M2717">
        <v>68</v>
      </c>
      <c r="N2717">
        <v>-256969</v>
      </c>
      <c r="O2717">
        <v>-256969</v>
      </c>
      <c r="P2717">
        <v>0</v>
      </c>
      <c r="Q2717">
        <v>0</v>
      </c>
      <c r="R2717">
        <v>0</v>
      </c>
      <c r="S2717">
        <v>-256969</v>
      </c>
      <c r="T2717">
        <v>0</v>
      </c>
      <c r="U2717">
        <v>0</v>
      </c>
      <c r="V2717">
        <v>0</v>
      </c>
      <c r="W2717">
        <v>0</v>
      </c>
      <c r="X2717">
        <v>0</v>
      </c>
      <c r="Y2717" t="s">
        <v>47</v>
      </c>
      <c r="AA2717" t="s">
        <v>2030</v>
      </c>
      <c r="AB2717" t="s">
        <v>51</v>
      </c>
      <c r="AC2717" t="s">
        <v>51</v>
      </c>
      <c r="AD2717" t="s">
        <v>51</v>
      </c>
      <c r="AE2717" t="s">
        <v>51</v>
      </c>
      <c r="AF2717" t="s">
        <v>627</v>
      </c>
    </row>
    <row r="2718" spans="1:32" ht="14.5" customHeight="1" x14ac:dyDescent="0.35">
      <c r="A2718" t="s">
        <v>651</v>
      </c>
      <c r="B2718" t="s">
        <v>652</v>
      </c>
      <c r="C2718" t="s">
        <v>596</v>
      </c>
      <c r="D2718">
        <v>3100139</v>
      </c>
      <c r="E2718">
        <v>3100448</v>
      </c>
      <c r="F2718" t="s">
        <v>2029</v>
      </c>
      <c r="G2718" t="s">
        <v>2029</v>
      </c>
      <c r="H2718" t="s">
        <v>111</v>
      </c>
      <c r="I2718">
        <v>6950248</v>
      </c>
      <c r="J2718" s="12">
        <v>46064</v>
      </c>
      <c r="K2718" s="12">
        <v>46064</v>
      </c>
      <c r="L2718" s="12">
        <v>46064</v>
      </c>
      <c r="M2718">
        <v>68</v>
      </c>
      <c r="N2718">
        <v>-323636</v>
      </c>
      <c r="O2718">
        <v>-323636</v>
      </c>
      <c r="P2718">
        <v>0</v>
      </c>
      <c r="Q2718">
        <v>0</v>
      </c>
      <c r="R2718">
        <v>0</v>
      </c>
      <c r="S2718">
        <v>-323636</v>
      </c>
      <c r="T2718">
        <v>0</v>
      </c>
      <c r="U2718">
        <v>0</v>
      </c>
      <c r="V2718">
        <v>0</v>
      </c>
      <c r="W2718">
        <v>0</v>
      </c>
      <c r="X2718">
        <v>0</v>
      </c>
      <c r="Y2718" t="s">
        <v>596</v>
      </c>
      <c r="AA2718" t="s">
        <v>2030</v>
      </c>
      <c r="AB2718" t="s">
        <v>51</v>
      </c>
      <c r="AC2718" t="s">
        <v>51</v>
      </c>
      <c r="AD2718" t="s">
        <v>51</v>
      </c>
      <c r="AE2718" t="s">
        <v>51</v>
      </c>
      <c r="AF2718" t="s">
        <v>788</v>
      </c>
    </row>
    <row r="2719" spans="1:32" ht="14.5" customHeight="1" x14ac:dyDescent="0.35">
      <c r="A2719" t="s">
        <v>651</v>
      </c>
      <c r="B2719" t="s">
        <v>652</v>
      </c>
      <c r="C2719" t="s">
        <v>596</v>
      </c>
      <c r="D2719">
        <v>3100139</v>
      </c>
      <c r="E2719">
        <v>3100448</v>
      </c>
      <c r="F2719" t="s">
        <v>2029</v>
      </c>
      <c r="G2719" t="s">
        <v>2029</v>
      </c>
      <c r="H2719" t="s">
        <v>111</v>
      </c>
      <c r="I2719">
        <v>6950249</v>
      </c>
      <c r="J2719" s="12">
        <v>46064</v>
      </c>
      <c r="K2719" s="12">
        <v>46064</v>
      </c>
      <c r="L2719" s="12">
        <v>46064</v>
      </c>
      <c r="M2719">
        <v>68</v>
      </c>
      <c r="N2719">
        <v>-494545</v>
      </c>
      <c r="O2719">
        <v>-494545</v>
      </c>
      <c r="P2719">
        <v>0</v>
      </c>
      <c r="Q2719">
        <v>0</v>
      </c>
      <c r="R2719">
        <v>0</v>
      </c>
      <c r="S2719">
        <v>-494545</v>
      </c>
      <c r="T2719">
        <v>0</v>
      </c>
      <c r="U2719">
        <v>0</v>
      </c>
      <c r="V2719">
        <v>0</v>
      </c>
      <c r="W2719">
        <v>0</v>
      </c>
      <c r="X2719">
        <v>0</v>
      </c>
      <c r="Y2719" t="s">
        <v>596</v>
      </c>
      <c r="AA2719" t="s">
        <v>2030</v>
      </c>
      <c r="AB2719" t="s">
        <v>51</v>
      </c>
      <c r="AC2719" t="s">
        <v>51</v>
      </c>
      <c r="AD2719" t="s">
        <v>51</v>
      </c>
      <c r="AE2719" t="s">
        <v>51</v>
      </c>
      <c r="AF2719" t="s">
        <v>943</v>
      </c>
    </row>
    <row r="2720" spans="1:32" ht="14.5" customHeight="1" x14ac:dyDescent="0.35">
      <c r="A2720" t="s">
        <v>651</v>
      </c>
      <c r="B2720" t="s">
        <v>652</v>
      </c>
      <c r="C2720" t="s">
        <v>596</v>
      </c>
      <c r="D2720">
        <v>3100139</v>
      </c>
      <c r="E2720">
        <v>3100448</v>
      </c>
      <c r="F2720" t="s">
        <v>2029</v>
      </c>
      <c r="G2720" t="s">
        <v>2029</v>
      </c>
      <c r="H2720" t="s">
        <v>111</v>
      </c>
      <c r="I2720">
        <v>6950250</v>
      </c>
      <c r="J2720" s="12">
        <v>46064</v>
      </c>
      <c r="K2720" s="12">
        <v>46064</v>
      </c>
      <c r="L2720" s="12">
        <v>46064</v>
      </c>
      <c r="M2720">
        <v>68</v>
      </c>
      <c r="N2720">
        <v>-390303</v>
      </c>
      <c r="O2720">
        <v>-390303</v>
      </c>
      <c r="P2720">
        <v>0</v>
      </c>
      <c r="Q2720">
        <v>0</v>
      </c>
      <c r="R2720">
        <v>0</v>
      </c>
      <c r="S2720">
        <v>-390303</v>
      </c>
      <c r="T2720">
        <v>0</v>
      </c>
      <c r="U2720">
        <v>0</v>
      </c>
      <c r="V2720">
        <v>0</v>
      </c>
      <c r="W2720">
        <v>0</v>
      </c>
      <c r="X2720">
        <v>0</v>
      </c>
      <c r="Y2720" t="s">
        <v>596</v>
      </c>
      <c r="AA2720" t="s">
        <v>2030</v>
      </c>
      <c r="AB2720" t="s">
        <v>51</v>
      </c>
      <c r="AC2720" t="s">
        <v>51</v>
      </c>
      <c r="AD2720" t="s">
        <v>51</v>
      </c>
      <c r="AE2720" t="s">
        <v>51</v>
      </c>
      <c r="AF2720" t="s">
        <v>2043</v>
      </c>
    </row>
    <row r="2721" spans="1:32" ht="14.5" customHeight="1" x14ac:dyDescent="0.35">
      <c r="A2721" t="s">
        <v>1593</v>
      </c>
      <c r="B2721" t="s">
        <v>371</v>
      </c>
      <c r="C2721" t="s">
        <v>47</v>
      </c>
      <c r="D2721">
        <v>3100179</v>
      </c>
      <c r="E2721">
        <v>3100320</v>
      </c>
      <c r="F2721" t="s">
        <v>1677</v>
      </c>
      <c r="G2721" t="s">
        <v>1677</v>
      </c>
      <c r="H2721" t="s">
        <v>54</v>
      </c>
      <c r="I2721">
        <v>6959706</v>
      </c>
      <c r="J2721" s="12">
        <v>46127</v>
      </c>
      <c r="K2721" s="12">
        <v>46127</v>
      </c>
      <c r="L2721" s="12">
        <v>46127</v>
      </c>
      <c r="M2721">
        <v>5</v>
      </c>
      <c r="N2721">
        <v>-10605000</v>
      </c>
      <c r="O2721">
        <v>-10605000</v>
      </c>
      <c r="P2721">
        <v>0</v>
      </c>
      <c r="Q2721">
        <v>-10605000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 t="s">
        <v>47</v>
      </c>
      <c r="AA2721" t="s">
        <v>501</v>
      </c>
      <c r="AB2721" t="s">
        <v>51</v>
      </c>
      <c r="AC2721" t="s">
        <v>51</v>
      </c>
      <c r="AD2721" t="s">
        <v>51</v>
      </c>
      <c r="AE2721" t="s">
        <v>51</v>
      </c>
      <c r="AF2721" t="s">
        <v>2044</v>
      </c>
    </row>
    <row r="2722" spans="1:32" ht="14.5" customHeight="1" x14ac:dyDescent="0.35">
      <c r="A2722" t="s">
        <v>1593</v>
      </c>
      <c r="B2722" t="s">
        <v>371</v>
      </c>
      <c r="C2722" t="s">
        <v>47</v>
      </c>
      <c r="D2722">
        <v>3100179</v>
      </c>
      <c r="E2722">
        <v>3100320</v>
      </c>
      <c r="F2722" t="s">
        <v>1677</v>
      </c>
      <c r="G2722" t="s">
        <v>1677</v>
      </c>
      <c r="H2722" t="s">
        <v>54</v>
      </c>
      <c r="I2722">
        <v>6959707</v>
      </c>
      <c r="J2722" s="12">
        <v>46127</v>
      </c>
      <c r="K2722" s="12">
        <v>46127</v>
      </c>
      <c r="L2722" s="12">
        <v>46127</v>
      </c>
      <c r="M2722">
        <v>5</v>
      </c>
      <c r="N2722">
        <v>-34989000</v>
      </c>
      <c r="O2722">
        <v>-34989000</v>
      </c>
      <c r="P2722">
        <v>0</v>
      </c>
      <c r="Q2722">
        <v>-34989000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 t="s">
        <v>47</v>
      </c>
      <c r="AA2722" t="s">
        <v>501</v>
      </c>
      <c r="AB2722" t="s">
        <v>51</v>
      </c>
      <c r="AC2722" t="s">
        <v>51</v>
      </c>
      <c r="AD2722" t="s">
        <v>51</v>
      </c>
      <c r="AE2722" t="s">
        <v>51</v>
      </c>
      <c r="AF2722" t="s">
        <v>2045</v>
      </c>
    </row>
    <row r="2723" spans="1:32" ht="14.5" customHeight="1" x14ac:dyDescent="0.35">
      <c r="A2723" t="s">
        <v>1593</v>
      </c>
      <c r="B2723" t="s">
        <v>371</v>
      </c>
      <c r="C2723" t="s">
        <v>47</v>
      </c>
      <c r="D2723">
        <v>3100179</v>
      </c>
      <c r="E2723">
        <v>3100320</v>
      </c>
      <c r="F2723" t="s">
        <v>1677</v>
      </c>
      <c r="G2723" t="s">
        <v>1677</v>
      </c>
      <c r="H2723" t="s">
        <v>54</v>
      </c>
      <c r="I2723">
        <v>6959708</v>
      </c>
      <c r="J2723" s="12">
        <v>46127</v>
      </c>
      <c r="K2723" s="12">
        <v>46127</v>
      </c>
      <c r="L2723" s="12">
        <v>46127</v>
      </c>
      <c r="M2723">
        <v>5</v>
      </c>
      <c r="N2723">
        <v>-15411439</v>
      </c>
      <c r="O2723">
        <v>-15411439</v>
      </c>
      <c r="P2723">
        <v>0</v>
      </c>
      <c r="Q2723">
        <v>-15411439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 t="s">
        <v>47</v>
      </c>
      <c r="AA2723" t="s">
        <v>501</v>
      </c>
      <c r="AB2723" t="s">
        <v>51</v>
      </c>
      <c r="AC2723" t="s">
        <v>51</v>
      </c>
      <c r="AD2723" t="s">
        <v>51</v>
      </c>
      <c r="AE2723" t="s">
        <v>51</v>
      </c>
      <c r="AF2723" t="s">
        <v>2046</v>
      </c>
    </row>
    <row r="2724" spans="1:32" ht="14.5" customHeight="1" x14ac:dyDescent="0.35">
      <c r="A2724" t="s">
        <v>1593</v>
      </c>
      <c r="B2724" t="s">
        <v>371</v>
      </c>
      <c r="C2724" t="s">
        <v>47</v>
      </c>
      <c r="D2724">
        <v>3100179</v>
      </c>
      <c r="E2724">
        <v>3100320</v>
      </c>
      <c r="F2724" t="s">
        <v>1677</v>
      </c>
      <c r="G2724" t="s">
        <v>1677</v>
      </c>
      <c r="H2724" t="s">
        <v>54</v>
      </c>
      <c r="I2724">
        <v>6959709</v>
      </c>
      <c r="J2724" s="12">
        <v>46127</v>
      </c>
      <c r="K2724" s="12">
        <v>46127</v>
      </c>
      <c r="L2724" s="12">
        <v>46127</v>
      </c>
      <c r="M2724">
        <v>5</v>
      </c>
      <c r="N2724">
        <v>-4852925</v>
      </c>
      <c r="O2724">
        <v>-4852925</v>
      </c>
      <c r="P2724">
        <v>0</v>
      </c>
      <c r="Q2724">
        <v>-4852925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 t="s">
        <v>47</v>
      </c>
      <c r="AA2724" t="s">
        <v>501</v>
      </c>
      <c r="AB2724" t="s">
        <v>51</v>
      </c>
      <c r="AC2724" t="s">
        <v>51</v>
      </c>
      <c r="AD2724" t="s">
        <v>51</v>
      </c>
      <c r="AE2724" t="s">
        <v>51</v>
      </c>
      <c r="AF2724" t="s">
        <v>2046</v>
      </c>
    </row>
    <row r="2725" spans="1:32" ht="14.5" customHeight="1" x14ac:dyDescent="0.35">
      <c r="A2725" t="s">
        <v>1593</v>
      </c>
      <c r="B2725" t="s">
        <v>371</v>
      </c>
      <c r="C2725" t="s">
        <v>47</v>
      </c>
      <c r="D2725">
        <v>3100179</v>
      </c>
      <c r="E2725">
        <v>3100320</v>
      </c>
      <c r="F2725" t="s">
        <v>1677</v>
      </c>
      <c r="G2725" t="s">
        <v>1677</v>
      </c>
      <c r="H2725" t="s">
        <v>54</v>
      </c>
      <c r="I2725">
        <v>6959710</v>
      </c>
      <c r="J2725" s="12">
        <v>46127</v>
      </c>
      <c r="K2725" s="12">
        <v>46127</v>
      </c>
      <c r="L2725" s="12">
        <v>46127</v>
      </c>
      <c r="M2725">
        <v>5</v>
      </c>
      <c r="N2725">
        <v>-19620000</v>
      </c>
      <c r="O2725">
        <v>-19620000</v>
      </c>
      <c r="P2725">
        <v>0</v>
      </c>
      <c r="Q2725">
        <v>-19620000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 t="s">
        <v>47</v>
      </c>
      <c r="AA2725" t="s">
        <v>501</v>
      </c>
      <c r="AB2725" t="s">
        <v>51</v>
      </c>
      <c r="AC2725" t="s">
        <v>51</v>
      </c>
      <c r="AD2725" t="s">
        <v>51</v>
      </c>
      <c r="AE2725" t="s">
        <v>51</v>
      </c>
      <c r="AF2725" t="s">
        <v>2047</v>
      </c>
    </row>
    <row r="2726" spans="1:32" ht="14.5" customHeight="1" x14ac:dyDescent="0.35">
      <c r="A2726" t="s">
        <v>1593</v>
      </c>
      <c r="B2726" t="s">
        <v>371</v>
      </c>
      <c r="C2726" t="s">
        <v>47</v>
      </c>
      <c r="D2726">
        <v>3100179</v>
      </c>
      <c r="E2726">
        <v>3100320</v>
      </c>
      <c r="F2726" t="s">
        <v>1677</v>
      </c>
      <c r="G2726" t="s">
        <v>1677</v>
      </c>
      <c r="H2726" t="s">
        <v>54</v>
      </c>
      <c r="I2726">
        <v>9908975</v>
      </c>
      <c r="J2726" s="12">
        <v>46079</v>
      </c>
      <c r="K2726" s="12">
        <v>46079</v>
      </c>
      <c r="L2726" s="12">
        <v>46114</v>
      </c>
      <c r="M2726">
        <v>18</v>
      </c>
      <c r="N2726">
        <v>709372254</v>
      </c>
      <c r="O2726">
        <v>0</v>
      </c>
      <c r="P2726">
        <v>0</v>
      </c>
      <c r="Q2726">
        <v>709372254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 t="s">
        <v>47</v>
      </c>
      <c r="AA2726" t="s">
        <v>501</v>
      </c>
      <c r="AB2726" t="s">
        <v>51</v>
      </c>
      <c r="AC2726" t="s">
        <v>51</v>
      </c>
      <c r="AD2726" t="s">
        <v>51</v>
      </c>
      <c r="AE2726" t="s">
        <v>51</v>
      </c>
      <c r="AF2726" t="s">
        <v>470</v>
      </c>
    </row>
    <row r="2727" spans="1:32" ht="14.5" customHeight="1" x14ac:dyDescent="0.35">
      <c r="A2727" t="s">
        <v>1593</v>
      </c>
      <c r="B2727" t="s">
        <v>2048</v>
      </c>
      <c r="C2727" t="s">
        <v>47</v>
      </c>
      <c r="D2727">
        <v>3100179</v>
      </c>
      <c r="E2727">
        <v>3100179</v>
      </c>
      <c r="F2727" t="s">
        <v>1677</v>
      </c>
      <c r="G2727" t="s">
        <v>1677</v>
      </c>
      <c r="H2727" t="s">
        <v>54</v>
      </c>
      <c r="I2727">
        <v>9909399</v>
      </c>
      <c r="J2727" s="12">
        <v>46080</v>
      </c>
      <c r="K2727" s="12">
        <v>46080</v>
      </c>
      <c r="L2727" s="12">
        <v>46113</v>
      </c>
      <c r="M2727">
        <v>19</v>
      </c>
      <c r="N2727">
        <v>498011684</v>
      </c>
      <c r="O2727">
        <v>0</v>
      </c>
      <c r="P2727">
        <v>0</v>
      </c>
      <c r="Q2727">
        <v>498011684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 t="s">
        <v>47</v>
      </c>
      <c r="AA2727" t="s">
        <v>501</v>
      </c>
      <c r="AB2727" t="s">
        <v>51</v>
      </c>
      <c r="AC2727" t="s">
        <v>51</v>
      </c>
      <c r="AD2727" t="s">
        <v>51</v>
      </c>
      <c r="AE2727" t="s">
        <v>51</v>
      </c>
      <c r="AF2727" t="s">
        <v>358</v>
      </c>
    </row>
    <row r="2728" spans="1:32" ht="14.5" customHeight="1" x14ac:dyDescent="0.35">
      <c r="A2728" t="s">
        <v>1593</v>
      </c>
      <c r="B2728" t="s">
        <v>2048</v>
      </c>
      <c r="C2728" t="s">
        <v>60</v>
      </c>
      <c r="D2728">
        <v>3100179</v>
      </c>
      <c r="E2728">
        <v>3100519</v>
      </c>
      <c r="F2728" t="s">
        <v>1677</v>
      </c>
      <c r="G2728" t="s">
        <v>1677</v>
      </c>
      <c r="H2728" t="s">
        <v>54</v>
      </c>
      <c r="I2728">
        <v>9910490</v>
      </c>
      <c r="J2728" s="12">
        <v>46081</v>
      </c>
      <c r="K2728" s="12">
        <v>46081</v>
      </c>
      <c r="L2728" s="12">
        <v>46112</v>
      </c>
      <c r="M2728">
        <v>20</v>
      </c>
      <c r="N2728">
        <v>415945312</v>
      </c>
      <c r="O2728">
        <v>0</v>
      </c>
      <c r="P2728">
        <v>0</v>
      </c>
      <c r="Q2728">
        <v>415945312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 t="s">
        <v>60</v>
      </c>
      <c r="AA2728" t="s">
        <v>501</v>
      </c>
      <c r="AB2728" t="s">
        <v>51</v>
      </c>
      <c r="AC2728" t="s">
        <v>51</v>
      </c>
      <c r="AD2728" t="s">
        <v>51</v>
      </c>
      <c r="AE2728" t="s">
        <v>51</v>
      </c>
      <c r="AF2728" t="s">
        <v>195</v>
      </c>
    </row>
    <row r="2729" spans="1:32" ht="14.5" customHeight="1" x14ac:dyDescent="0.35">
      <c r="A2729" t="s">
        <v>1593</v>
      </c>
      <c r="B2729" t="s">
        <v>2048</v>
      </c>
      <c r="C2729" t="s">
        <v>60</v>
      </c>
      <c r="D2729">
        <v>3100179</v>
      </c>
      <c r="E2729">
        <v>3100520</v>
      </c>
      <c r="F2729" t="s">
        <v>1677</v>
      </c>
      <c r="G2729" t="s">
        <v>1677</v>
      </c>
      <c r="H2729" t="s">
        <v>54</v>
      </c>
      <c r="I2729">
        <v>9910582</v>
      </c>
      <c r="J2729" s="12">
        <v>46081</v>
      </c>
      <c r="K2729" s="12">
        <v>46081</v>
      </c>
      <c r="L2729" s="12">
        <v>46112</v>
      </c>
      <c r="M2729">
        <v>20</v>
      </c>
      <c r="N2729">
        <v>54123184</v>
      </c>
      <c r="O2729">
        <v>0</v>
      </c>
      <c r="P2729">
        <v>0</v>
      </c>
      <c r="Q2729">
        <v>54123184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 t="s">
        <v>60</v>
      </c>
      <c r="AA2729" t="s">
        <v>501</v>
      </c>
      <c r="AB2729" t="s">
        <v>51</v>
      </c>
      <c r="AC2729" t="s">
        <v>51</v>
      </c>
      <c r="AD2729" t="s">
        <v>51</v>
      </c>
      <c r="AE2729" t="s">
        <v>51</v>
      </c>
      <c r="AF2729" t="s">
        <v>279</v>
      </c>
    </row>
    <row r="2730" spans="1:32" ht="14.5" customHeight="1" x14ac:dyDescent="0.35">
      <c r="A2730" t="s">
        <v>1593</v>
      </c>
      <c r="B2730" t="s">
        <v>2048</v>
      </c>
      <c r="C2730" t="s">
        <v>60</v>
      </c>
      <c r="D2730">
        <v>3100179</v>
      </c>
      <c r="E2730">
        <v>3100521</v>
      </c>
      <c r="F2730" t="s">
        <v>1677</v>
      </c>
      <c r="G2730" t="s">
        <v>2049</v>
      </c>
      <c r="H2730" t="s">
        <v>54</v>
      </c>
      <c r="I2730">
        <v>9910583</v>
      </c>
      <c r="J2730" s="12">
        <v>46081</v>
      </c>
      <c r="K2730" s="12">
        <v>46081</v>
      </c>
      <c r="L2730" s="12">
        <v>46112</v>
      </c>
      <c r="M2730">
        <v>20</v>
      </c>
      <c r="N2730">
        <v>62373787</v>
      </c>
      <c r="O2730">
        <v>0</v>
      </c>
      <c r="P2730">
        <v>0</v>
      </c>
      <c r="Q2730">
        <v>62373787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 t="s">
        <v>60</v>
      </c>
      <c r="AA2730" t="s">
        <v>501</v>
      </c>
      <c r="AB2730" t="s">
        <v>51</v>
      </c>
      <c r="AC2730" t="s">
        <v>51</v>
      </c>
      <c r="AD2730" t="s">
        <v>51</v>
      </c>
      <c r="AE2730" t="s">
        <v>51</v>
      </c>
      <c r="AF2730" t="s">
        <v>185</v>
      </c>
    </row>
    <row r="2731" spans="1:32" ht="14.5" customHeight="1" x14ac:dyDescent="0.35">
      <c r="A2731" t="s">
        <v>1593</v>
      </c>
      <c r="B2731" t="s">
        <v>371</v>
      </c>
      <c r="C2731" t="s">
        <v>60</v>
      </c>
      <c r="D2731">
        <v>3100179</v>
      </c>
      <c r="E2731">
        <v>3100864</v>
      </c>
      <c r="F2731" t="s">
        <v>1677</v>
      </c>
      <c r="G2731" t="s">
        <v>2050</v>
      </c>
      <c r="H2731" t="s">
        <v>54</v>
      </c>
      <c r="I2731">
        <v>9910585</v>
      </c>
      <c r="J2731" s="12">
        <v>46081</v>
      </c>
      <c r="K2731" s="12">
        <v>46081</v>
      </c>
      <c r="L2731" s="12">
        <v>46112</v>
      </c>
      <c r="M2731">
        <v>20</v>
      </c>
      <c r="N2731">
        <v>245063243</v>
      </c>
      <c r="O2731">
        <v>0</v>
      </c>
      <c r="P2731">
        <v>0</v>
      </c>
      <c r="Q2731">
        <v>245063243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 t="s">
        <v>60</v>
      </c>
      <c r="AA2731" t="s">
        <v>501</v>
      </c>
      <c r="AB2731" t="s">
        <v>51</v>
      </c>
      <c r="AC2731" t="s">
        <v>51</v>
      </c>
      <c r="AD2731" t="s">
        <v>51</v>
      </c>
      <c r="AE2731" t="s">
        <v>51</v>
      </c>
      <c r="AF2731" t="s">
        <v>195</v>
      </c>
    </row>
    <row r="2732" spans="1:32" ht="14.5" customHeight="1" x14ac:dyDescent="0.35">
      <c r="A2732" t="s">
        <v>1593</v>
      </c>
      <c r="B2732" t="s">
        <v>371</v>
      </c>
      <c r="C2732" t="s">
        <v>60</v>
      </c>
      <c r="D2732">
        <v>3100179</v>
      </c>
      <c r="E2732">
        <v>3100671</v>
      </c>
      <c r="F2732" t="s">
        <v>1677</v>
      </c>
      <c r="G2732" t="s">
        <v>1677</v>
      </c>
      <c r="H2732" t="s">
        <v>54</v>
      </c>
      <c r="I2732">
        <v>9910588</v>
      </c>
      <c r="J2732" s="12">
        <v>46081</v>
      </c>
      <c r="K2732" s="12">
        <v>46081</v>
      </c>
      <c r="L2732" s="12">
        <v>46112</v>
      </c>
      <c r="M2732">
        <v>20</v>
      </c>
      <c r="N2732">
        <v>294502291</v>
      </c>
      <c r="O2732">
        <v>0</v>
      </c>
      <c r="P2732">
        <v>0</v>
      </c>
      <c r="Q2732">
        <v>294502291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 t="s">
        <v>60</v>
      </c>
      <c r="AA2732" t="s">
        <v>501</v>
      </c>
      <c r="AB2732" t="s">
        <v>51</v>
      </c>
      <c r="AC2732" t="s">
        <v>51</v>
      </c>
      <c r="AD2732" t="s">
        <v>51</v>
      </c>
      <c r="AE2732" t="s">
        <v>51</v>
      </c>
      <c r="AF2732" t="s">
        <v>69</v>
      </c>
    </row>
    <row r="2733" spans="1:32" ht="14.5" customHeight="1" x14ac:dyDescent="0.35">
      <c r="A2733" t="s">
        <v>1593</v>
      </c>
      <c r="B2733" t="s">
        <v>2048</v>
      </c>
      <c r="C2733" t="s">
        <v>60</v>
      </c>
      <c r="D2733">
        <v>3100179</v>
      </c>
      <c r="E2733">
        <v>3100519</v>
      </c>
      <c r="F2733" t="s">
        <v>1677</v>
      </c>
      <c r="G2733" t="s">
        <v>1677</v>
      </c>
      <c r="H2733" t="s">
        <v>54</v>
      </c>
      <c r="I2733">
        <v>9917601</v>
      </c>
      <c r="J2733" s="12">
        <v>46107</v>
      </c>
      <c r="K2733" s="12">
        <v>46107</v>
      </c>
      <c r="L2733" s="12">
        <v>46138</v>
      </c>
      <c r="M2733">
        <v>-6</v>
      </c>
      <c r="N2733">
        <v>49726</v>
      </c>
      <c r="O2733">
        <v>0</v>
      </c>
      <c r="P2733">
        <v>49726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 t="s">
        <v>60</v>
      </c>
      <c r="AA2733" t="s">
        <v>501</v>
      </c>
      <c r="AB2733" t="s">
        <v>51</v>
      </c>
      <c r="AC2733" t="s">
        <v>2051</v>
      </c>
      <c r="AD2733" t="s">
        <v>51</v>
      </c>
      <c r="AE2733" t="s">
        <v>51</v>
      </c>
      <c r="AF2733" t="s">
        <v>1134</v>
      </c>
    </row>
    <row r="2734" spans="1:32" ht="14.5" customHeight="1" x14ac:dyDescent="0.35">
      <c r="A2734" t="s">
        <v>1593</v>
      </c>
      <c r="B2734" t="s">
        <v>2048</v>
      </c>
      <c r="C2734" t="s">
        <v>60</v>
      </c>
      <c r="D2734">
        <v>3100179</v>
      </c>
      <c r="E2734">
        <v>3100520</v>
      </c>
      <c r="F2734" t="s">
        <v>1677</v>
      </c>
      <c r="G2734" t="s">
        <v>1677</v>
      </c>
      <c r="H2734" t="s">
        <v>54</v>
      </c>
      <c r="I2734">
        <v>9920198</v>
      </c>
      <c r="J2734" s="12">
        <v>46111</v>
      </c>
      <c r="K2734" s="12">
        <v>46111</v>
      </c>
      <c r="L2734" s="12">
        <v>46142</v>
      </c>
      <c r="M2734">
        <v>-10</v>
      </c>
      <c r="N2734">
        <v>92849303</v>
      </c>
      <c r="O2734">
        <v>0</v>
      </c>
      <c r="P2734">
        <v>92849303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 t="s">
        <v>60</v>
      </c>
      <c r="AA2734" t="s">
        <v>501</v>
      </c>
      <c r="AB2734" t="s">
        <v>51</v>
      </c>
      <c r="AC2734" t="s">
        <v>51</v>
      </c>
      <c r="AD2734" t="s">
        <v>2052</v>
      </c>
      <c r="AE2734" t="s">
        <v>51</v>
      </c>
      <c r="AF2734" t="s">
        <v>69</v>
      </c>
    </row>
    <row r="2735" spans="1:32" ht="14.5" customHeight="1" x14ac:dyDescent="0.35">
      <c r="A2735" t="s">
        <v>1593</v>
      </c>
      <c r="B2735" t="s">
        <v>371</v>
      </c>
      <c r="C2735" t="s">
        <v>60</v>
      </c>
      <c r="D2735">
        <v>3100179</v>
      </c>
      <c r="E2735">
        <v>3100670</v>
      </c>
      <c r="F2735" t="s">
        <v>1677</v>
      </c>
      <c r="G2735" t="s">
        <v>1677</v>
      </c>
      <c r="H2735" t="s">
        <v>54</v>
      </c>
      <c r="I2735">
        <v>9920199</v>
      </c>
      <c r="J2735" s="12">
        <v>46111</v>
      </c>
      <c r="K2735" s="12">
        <v>46111</v>
      </c>
      <c r="L2735" s="12">
        <v>46142</v>
      </c>
      <c r="M2735">
        <v>-10</v>
      </c>
      <c r="N2735">
        <v>130206967</v>
      </c>
      <c r="O2735">
        <v>0</v>
      </c>
      <c r="P2735">
        <v>130206967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 t="s">
        <v>60</v>
      </c>
      <c r="AA2735" t="s">
        <v>501</v>
      </c>
      <c r="AB2735" t="s">
        <v>51</v>
      </c>
      <c r="AC2735" t="s">
        <v>51</v>
      </c>
      <c r="AD2735" t="s">
        <v>2053</v>
      </c>
      <c r="AE2735" t="s">
        <v>51</v>
      </c>
      <c r="AF2735" t="s">
        <v>2054</v>
      </c>
    </row>
    <row r="2736" spans="1:32" ht="14.5" customHeight="1" x14ac:dyDescent="0.35">
      <c r="A2736" t="s">
        <v>1593</v>
      </c>
      <c r="B2736" t="s">
        <v>2048</v>
      </c>
      <c r="C2736" t="s">
        <v>60</v>
      </c>
      <c r="D2736">
        <v>3100179</v>
      </c>
      <c r="E2736">
        <v>3100521</v>
      </c>
      <c r="F2736" t="s">
        <v>1677</v>
      </c>
      <c r="G2736" t="s">
        <v>2049</v>
      </c>
      <c r="H2736" t="s">
        <v>54</v>
      </c>
      <c r="I2736">
        <v>9920200</v>
      </c>
      <c r="J2736" s="12">
        <v>46111</v>
      </c>
      <c r="K2736" s="12">
        <v>46111</v>
      </c>
      <c r="L2736" s="12">
        <v>46142</v>
      </c>
      <c r="M2736">
        <v>-10</v>
      </c>
      <c r="N2736">
        <v>151804868</v>
      </c>
      <c r="O2736">
        <v>0</v>
      </c>
      <c r="P2736">
        <v>151804868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 t="s">
        <v>60</v>
      </c>
      <c r="AA2736" t="s">
        <v>501</v>
      </c>
      <c r="AB2736" t="s">
        <v>51</v>
      </c>
      <c r="AC2736" t="s">
        <v>51</v>
      </c>
      <c r="AD2736" t="s">
        <v>2055</v>
      </c>
      <c r="AE2736" t="s">
        <v>51</v>
      </c>
      <c r="AF2736" t="s">
        <v>195</v>
      </c>
    </row>
    <row r="2737" spans="1:32" ht="14.5" customHeight="1" x14ac:dyDescent="0.35">
      <c r="A2737" t="s">
        <v>1593</v>
      </c>
      <c r="B2737" t="s">
        <v>371</v>
      </c>
      <c r="C2737" t="s">
        <v>60</v>
      </c>
      <c r="D2737">
        <v>3100179</v>
      </c>
      <c r="E2737">
        <v>3100864</v>
      </c>
      <c r="F2737" t="s">
        <v>1677</v>
      </c>
      <c r="G2737" t="s">
        <v>2050</v>
      </c>
      <c r="H2737" t="s">
        <v>54</v>
      </c>
      <c r="I2737">
        <v>9920201</v>
      </c>
      <c r="J2737" s="12">
        <v>46111</v>
      </c>
      <c r="K2737" s="12">
        <v>46111</v>
      </c>
      <c r="L2737" s="12">
        <v>46142</v>
      </c>
      <c r="M2737">
        <v>-10</v>
      </c>
      <c r="N2737">
        <v>162501333</v>
      </c>
      <c r="O2737">
        <v>0</v>
      </c>
      <c r="P2737">
        <v>162501333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 t="s">
        <v>60</v>
      </c>
      <c r="AA2737" t="s">
        <v>501</v>
      </c>
      <c r="AB2737" t="s">
        <v>51</v>
      </c>
      <c r="AC2737" t="s">
        <v>51</v>
      </c>
      <c r="AD2737" t="s">
        <v>2056</v>
      </c>
      <c r="AE2737" t="s">
        <v>51</v>
      </c>
      <c r="AF2737" t="s">
        <v>195</v>
      </c>
    </row>
    <row r="2738" spans="1:32" ht="14.5" customHeight="1" x14ac:dyDescent="0.35">
      <c r="A2738" t="s">
        <v>1593</v>
      </c>
      <c r="B2738" t="s">
        <v>371</v>
      </c>
      <c r="C2738" t="s">
        <v>60</v>
      </c>
      <c r="D2738">
        <v>3100179</v>
      </c>
      <c r="E2738">
        <v>3100671</v>
      </c>
      <c r="F2738" t="s">
        <v>1677</v>
      </c>
      <c r="G2738" t="s">
        <v>1677</v>
      </c>
      <c r="H2738" t="s">
        <v>54</v>
      </c>
      <c r="I2738">
        <v>9920203</v>
      </c>
      <c r="J2738" s="12">
        <v>46111</v>
      </c>
      <c r="K2738" s="12">
        <v>46111</v>
      </c>
      <c r="L2738" s="12">
        <v>46142</v>
      </c>
      <c r="M2738">
        <v>-10</v>
      </c>
      <c r="N2738">
        <v>87437757</v>
      </c>
      <c r="O2738">
        <v>0</v>
      </c>
      <c r="P2738">
        <v>87437757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 t="s">
        <v>60</v>
      </c>
      <c r="AA2738" t="s">
        <v>501</v>
      </c>
      <c r="AB2738" t="s">
        <v>51</v>
      </c>
      <c r="AC2738" t="s">
        <v>51</v>
      </c>
      <c r="AD2738" t="s">
        <v>2057</v>
      </c>
      <c r="AE2738" t="s">
        <v>51</v>
      </c>
      <c r="AF2738" t="s">
        <v>928</v>
      </c>
    </row>
    <row r="2739" spans="1:32" ht="14.5" customHeight="1" x14ac:dyDescent="0.35">
      <c r="A2739" t="s">
        <v>1593</v>
      </c>
      <c r="B2739" t="s">
        <v>2048</v>
      </c>
      <c r="C2739" t="s">
        <v>47</v>
      </c>
      <c r="D2739">
        <v>3100179</v>
      </c>
      <c r="E2739">
        <v>3100179</v>
      </c>
      <c r="F2739" t="s">
        <v>1677</v>
      </c>
      <c r="G2739" t="s">
        <v>1677</v>
      </c>
      <c r="H2739" t="s">
        <v>54</v>
      </c>
      <c r="I2739">
        <v>9921036</v>
      </c>
      <c r="J2739" s="12">
        <v>46112</v>
      </c>
      <c r="K2739" s="12">
        <v>46112</v>
      </c>
      <c r="L2739" s="12">
        <v>46145</v>
      </c>
      <c r="M2739">
        <v>-13</v>
      </c>
      <c r="N2739">
        <v>770910412</v>
      </c>
      <c r="O2739">
        <v>0</v>
      </c>
      <c r="P2739">
        <v>770910412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 t="s">
        <v>47</v>
      </c>
      <c r="AA2739" t="s">
        <v>501</v>
      </c>
      <c r="AB2739" t="s">
        <v>51</v>
      </c>
      <c r="AC2739" t="s">
        <v>51</v>
      </c>
      <c r="AD2739" t="s">
        <v>2058</v>
      </c>
      <c r="AE2739" t="s">
        <v>51</v>
      </c>
      <c r="AF2739" t="s">
        <v>468</v>
      </c>
    </row>
    <row r="2740" spans="1:32" ht="14.5" customHeight="1" x14ac:dyDescent="0.35">
      <c r="A2740" t="s">
        <v>1593</v>
      </c>
      <c r="B2740" t="s">
        <v>371</v>
      </c>
      <c r="C2740" t="s">
        <v>60</v>
      </c>
      <c r="D2740">
        <v>3100179</v>
      </c>
      <c r="E2740">
        <v>3100864</v>
      </c>
      <c r="F2740" t="s">
        <v>1677</v>
      </c>
      <c r="G2740" t="s">
        <v>2050</v>
      </c>
      <c r="H2740" t="s">
        <v>54</v>
      </c>
      <c r="I2740">
        <v>9923223</v>
      </c>
      <c r="J2740" s="12">
        <v>46121</v>
      </c>
      <c r="K2740" s="12">
        <v>46121</v>
      </c>
      <c r="L2740" s="12">
        <v>46152</v>
      </c>
      <c r="M2740">
        <v>-20</v>
      </c>
      <c r="N2740">
        <v>76714076</v>
      </c>
      <c r="O2740">
        <v>0</v>
      </c>
      <c r="P2740">
        <v>76714076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 t="s">
        <v>60</v>
      </c>
      <c r="AA2740" t="s">
        <v>501</v>
      </c>
      <c r="AB2740" t="s">
        <v>51</v>
      </c>
      <c r="AC2740" t="s">
        <v>51</v>
      </c>
      <c r="AD2740" t="s">
        <v>51</v>
      </c>
      <c r="AE2740" t="s">
        <v>2059</v>
      </c>
      <c r="AF2740" t="s">
        <v>195</v>
      </c>
    </row>
    <row r="2741" spans="1:32" ht="14.5" customHeight="1" x14ac:dyDescent="0.35">
      <c r="A2741" t="s">
        <v>1593</v>
      </c>
      <c r="B2741" t="s">
        <v>371</v>
      </c>
      <c r="C2741" t="s">
        <v>60</v>
      </c>
      <c r="D2741">
        <v>3100179</v>
      </c>
      <c r="E2741">
        <v>3100670</v>
      </c>
      <c r="F2741" t="s">
        <v>1677</v>
      </c>
      <c r="G2741" t="s">
        <v>1677</v>
      </c>
      <c r="H2741" t="s">
        <v>54</v>
      </c>
      <c r="I2741">
        <v>9923332</v>
      </c>
      <c r="J2741" s="12">
        <v>46121</v>
      </c>
      <c r="K2741" s="12">
        <v>46121</v>
      </c>
      <c r="L2741" s="12">
        <v>46152</v>
      </c>
      <c r="M2741">
        <v>-20</v>
      </c>
      <c r="N2741">
        <v>151870491</v>
      </c>
      <c r="O2741">
        <v>0</v>
      </c>
      <c r="P2741">
        <v>151870491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 t="s">
        <v>60</v>
      </c>
      <c r="AA2741" t="s">
        <v>501</v>
      </c>
      <c r="AB2741" t="s">
        <v>51</v>
      </c>
      <c r="AC2741" t="s">
        <v>51</v>
      </c>
      <c r="AD2741" t="s">
        <v>51</v>
      </c>
      <c r="AE2741" t="s">
        <v>2060</v>
      </c>
      <c r="AF2741" t="s">
        <v>334</v>
      </c>
    </row>
    <row r="2742" spans="1:32" ht="14.5" customHeight="1" x14ac:dyDescent="0.35">
      <c r="A2742" t="s">
        <v>1593</v>
      </c>
      <c r="B2742" t="s">
        <v>2048</v>
      </c>
      <c r="C2742" t="s">
        <v>60</v>
      </c>
      <c r="D2742">
        <v>3100179</v>
      </c>
      <c r="E2742">
        <v>3100519</v>
      </c>
      <c r="F2742" t="s">
        <v>1677</v>
      </c>
      <c r="G2742" t="s">
        <v>1677</v>
      </c>
      <c r="H2742" t="s">
        <v>54</v>
      </c>
      <c r="I2742">
        <v>9924547</v>
      </c>
      <c r="J2742" s="12">
        <v>46123</v>
      </c>
      <c r="K2742" s="12">
        <v>46123</v>
      </c>
      <c r="L2742" s="12">
        <v>46154</v>
      </c>
      <c r="M2742">
        <v>-22</v>
      </c>
      <c r="N2742">
        <v>297659248</v>
      </c>
      <c r="O2742">
        <v>0</v>
      </c>
      <c r="P2742">
        <v>297659248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 t="s">
        <v>60</v>
      </c>
      <c r="AA2742" t="s">
        <v>501</v>
      </c>
      <c r="AB2742" t="s">
        <v>51</v>
      </c>
      <c r="AC2742" t="s">
        <v>51</v>
      </c>
      <c r="AD2742" t="s">
        <v>51</v>
      </c>
      <c r="AE2742" t="s">
        <v>2061</v>
      </c>
      <c r="AF2742" t="s">
        <v>770</v>
      </c>
    </row>
    <row r="2743" spans="1:32" ht="14.5" customHeight="1" x14ac:dyDescent="0.35">
      <c r="A2743" t="s">
        <v>1593</v>
      </c>
      <c r="B2743" t="s">
        <v>2048</v>
      </c>
      <c r="C2743" t="s">
        <v>60</v>
      </c>
      <c r="D2743">
        <v>3100179</v>
      </c>
      <c r="E2743">
        <v>3100520</v>
      </c>
      <c r="F2743" t="s">
        <v>1677</v>
      </c>
      <c r="G2743" t="s">
        <v>1677</v>
      </c>
      <c r="H2743" t="s">
        <v>54</v>
      </c>
      <c r="I2743">
        <v>9924548</v>
      </c>
      <c r="J2743" s="12">
        <v>46123</v>
      </c>
      <c r="K2743" s="12">
        <v>46123</v>
      </c>
      <c r="L2743" s="12">
        <v>46154</v>
      </c>
      <c r="M2743">
        <v>-22</v>
      </c>
      <c r="N2743">
        <v>231831209</v>
      </c>
      <c r="O2743">
        <v>0</v>
      </c>
      <c r="P2743">
        <v>231831209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 t="s">
        <v>60</v>
      </c>
      <c r="AA2743" t="s">
        <v>501</v>
      </c>
      <c r="AB2743" t="s">
        <v>51</v>
      </c>
      <c r="AC2743" t="s">
        <v>51</v>
      </c>
      <c r="AD2743" t="s">
        <v>51</v>
      </c>
      <c r="AE2743" t="s">
        <v>2062</v>
      </c>
      <c r="AF2743" t="s">
        <v>62</v>
      </c>
    </row>
    <row r="2744" spans="1:32" ht="14.5" customHeight="1" x14ac:dyDescent="0.35">
      <c r="A2744" t="s">
        <v>1593</v>
      </c>
      <c r="B2744" t="s">
        <v>2048</v>
      </c>
      <c r="C2744" t="s">
        <v>60</v>
      </c>
      <c r="D2744">
        <v>3100179</v>
      </c>
      <c r="E2744">
        <v>3100521</v>
      </c>
      <c r="F2744" t="s">
        <v>1677</v>
      </c>
      <c r="G2744" t="s">
        <v>2049</v>
      </c>
      <c r="H2744" t="s">
        <v>54</v>
      </c>
      <c r="I2744">
        <v>9924549</v>
      </c>
      <c r="J2744" s="12">
        <v>46123</v>
      </c>
      <c r="K2744" s="12">
        <v>46123</v>
      </c>
      <c r="L2744" s="12">
        <v>46154</v>
      </c>
      <c r="M2744">
        <v>-22</v>
      </c>
      <c r="N2744">
        <v>157673078</v>
      </c>
      <c r="O2744">
        <v>0</v>
      </c>
      <c r="P2744">
        <v>157673078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 t="s">
        <v>60</v>
      </c>
      <c r="AA2744" t="s">
        <v>501</v>
      </c>
      <c r="AB2744" t="s">
        <v>51</v>
      </c>
      <c r="AC2744" t="s">
        <v>51</v>
      </c>
      <c r="AD2744" t="s">
        <v>51</v>
      </c>
      <c r="AE2744" t="s">
        <v>2063</v>
      </c>
      <c r="AF2744" t="s">
        <v>195</v>
      </c>
    </row>
    <row r="2745" spans="1:32" ht="14.5" customHeight="1" x14ac:dyDescent="0.35">
      <c r="A2745" t="s">
        <v>1593</v>
      </c>
      <c r="B2745" t="s">
        <v>371</v>
      </c>
      <c r="C2745" t="s">
        <v>60</v>
      </c>
      <c r="D2745">
        <v>3100179</v>
      </c>
      <c r="E2745">
        <v>3100864</v>
      </c>
      <c r="F2745" t="s">
        <v>1677</v>
      </c>
      <c r="G2745" t="s">
        <v>2050</v>
      </c>
      <c r="H2745" t="s">
        <v>54</v>
      </c>
      <c r="I2745">
        <v>9924550</v>
      </c>
      <c r="J2745" s="12">
        <v>46123</v>
      </c>
      <c r="K2745" s="12">
        <v>46123</v>
      </c>
      <c r="L2745" s="12">
        <v>46154</v>
      </c>
      <c r="M2745">
        <v>-22</v>
      </c>
      <c r="N2745">
        <v>186595764</v>
      </c>
      <c r="O2745">
        <v>0</v>
      </c>
      <c r="P2745">
        <v>186595764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 t="s">
        <v>60</v>
      </c>
      <c r="AA2745" t="s">
        <v>501</v>
      </c>
      <c r="AB2745" t="s">
        <v>51</v>
      </c>
      <c r="AC2745" t="s">
        <v>51</v>
      </c>
      <c r="AD2745" t="s">
        <v>51</v>
      </c>
      <c r="AE2745" t="s">
        <v>2064</v>
      </c>
      <c r="AF2745" t="s">
        <v>69</v>
      </c>
    </row>
    <row r="2746" spans="1:32" ht="14.5" customHeight="1" x14ac:dyDescent="0.35">
      <c r="A2746" t="s">
        <v>1593</v>
      </c>
      <c r="B2746" t="s">
        <v>371</v>
      </c>
      <c r="C2746" t="s">
        <v>47</v>
      </c>
      <c r="D2746">
        <v>3100179</v>
      </c>
      <c r="E2746">
        <v>3100320</v>
      </c>
      <c r="F2746" t="s">
        <v>1677</v>
      </c>
      <c r="G2746" t="s">
        <v>1677</v>
      </c>
      <c r="H2746" t="s">
        <v>54</v>
      </c>
      <c r="I2746">
        <v>9925418</v>
      </c>
      <c r="J2746" s="12">
        <v>46126</v>
      </c>
      <c r="K2746" s="12">
        <v>46126</v>
      </c>
      <c r="L2746" s="12">
        <v>46161</v>
      </c>
      <c r="M2746">
        <v>-29</v>
      </c>
      <c r="N2746">
        <v>957752224</v>
      </c>
      <c r="O2746">
        <v>0</v>
      </c>
      <c r="P2746">
        <v>957752224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 t="s">
        <v>47</v>
      </c>
      <c r="AA2746" t="s">
        <v>501</v>
      </c>
      <c r="AB2746" t="s">
        <v>51</v>
      </c>
      <c r="AC2746" t="s">
        <v>51</v>
      </c>
      <c r="AD2746" t="s">
        <v>51</v>
      </c>
      <c r="AE2746" t="s">
        <v>2065</v>
      </c>
      <c r="AF2746" t="s">
        <v>770</v>
      </c>
    </row>
    <row r="2747" spans="1:32" ht="14.5" customHeight="1" x14ac:dyDescent="0.35">
      <c r="A2747" t="s">
        <v>1593</v>
      </c>
      <c r="B2747" t="s">
        <v>371</v>
      </c>
      <c r="C2747" t="s">
        <v>60</v>
      </c>
      <c r="D2747">
        <v>3100179</v>
      </c>
      <c r="E2747">
        <v>3100864</v>
      </c>
      <c r="F2747" t="s">
        <v>1677</v>
      </c>
      <c r="G2747" t="s">
        <v>2050</v>
      </c>
      <c r="H2747" t="s">
        <v>54</v>
      </c>
      <c r="I2747">
        <v>9926148</v>
      </c>
      <c r="J2747" s="12">
        <v>46128</v>
      </c>
      <c r="K2747" s="12">
        <v>46128</v>
      </c>
      <c r="L2747" s="12">
        <v>46159</v>
      </c>
      <c r="M2747">
        <v>-27</v>
      </c>
      <c r="N2747">
        <v>204923232</v>
      </c>
      <c r="O2747">
        <v>0</v>
      </c>
      <c r="P2747">
        <v>204923232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 t="s">
        <v>60</v>
      </c>
      <c r="AA2747" t="s">
        <v>501</v>
      </c>
      <c r="AB2747" t="s">
        <v>51</v>
      </c>
      <c r="AC2747" t="s">
        <v>51</v>
      </c>
      <c r="AD2747" t="s">
        <v>51</v>
      </c>
      <c r="AE2747" t="s">
        <v>2066</v>
      </c>
      <c r="AF2747" t="s">
        <v>62</v>
      </c>
    </row>
    <row r="2748" spans="1:32" ht="14.5" customHeight="1" x14ac:dyDescent="0.35">
      <c r="A2748" t="s">
        <v>1593</v>
      </c>
      <c r="B2748" t="s">
        <v>2048</v>
      </c>
      <c r="C2748" t="s">
        <v>60</v>
      </c>
      <c r="D2748">
        <v>3100179</v>
      </c>
      <c r="E2748">
        <v>3100521</v>
      </c>
      <c r="F2748" t="s">
        <v>1677</v>
      </c>
      <c r="G2748" t="s">
        <v>2049</v>
      </c>
      <c r="H2748" t="s">
        <v>54</v>
      </c>
      <c r="I2748">
        <v>9927382</v>
      </c>
      <c r="J2748" s="12">
        <v>46130</v>
      </c>
      <c r="K2748" s="12">
        <v>46130</v>
      </c>
      <c r="L2748" s="12">
        <v>46161</v>
      </c>
      <c r="M2748">
        <v>-29</v>
      </c>
      <c r="N2748">
        <v>65123905</v>
      </c>
      <c r="O2748">
        <v>0</v>
      </c>
      <c r="P2748">
        <v>65123905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 t="s">
        <v>60</v>
      </c>
      <c r="AA2748" t="s">
        <v>501</v>
      </c>
      <c r="AB2748" t="s">
        <v>51</v>
      </c>
      <c r="AC2748" t="s">
        <v>51</v>
      </c>
      <c r="AD2748" t="s">
        <v>51</v>
      </c>
      <c r="AE2748" t="s">
        <v>2067</v>
      </c>
      <c r="AF2748" t="s">
        <v>525</v>
      </c>
    </row>
    <row r="2749" spans="1:32" ht="14.5" customHeight="1" x14ac:dyDescent="0.35">
      <c r="A2749" t="s">
        <v>1593</v>
      </c>
      <c r="B2749" t="s">
        <v>371</v>
      </c>
      <c r="C2749" t="s">
        <v>60</v>
      </c>
      <c r="D2749">
        <v>3100179</v>
      </c>
      <c r="E2749">
        <v>3100671</v>
      </c>
      <c r="F2749" t="s">
        <v>1677</v>
      </c>
      <c r="G2749" t="s">
        <v>1677</v>
      </c>
      <c r="H2749" t="s">
        <v>54</v>
      </c>
      <c r="I2749">
        <v>9927384</v>
      </c>
      <c r="J2749" s="12">
        <v>46130</v>
      </c>
      <c r="K2749" s="12">
        <v>46130</v>
      </c>
      <c r="L2749" s="12">
        <v>46161</v>
      </c>
      <c r="M2749">
        <v>-29</v>
      </c>
      <c r="N2749">
        <v>256305092</v>
      </c>
      <c r="O2749">
        <v>0</v>
      </c>
      <c r="P2749">
        <v>256305092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 t="s">
        <v>60</v>
      </c>
      <c r="AA2749" t="s">
        <v>501</v>
      </c>
      <c r="AB2749" t="s">
        <v>51</v>
      </c>
      <c r="AC2749" t="s">
        <v>51</v>
      </c>
      <c r="AD2749" t="s">
        <v>51</v>
      </c>
      <c r="AE2749" t="s">
        <v>2068</v>
      </c>
      <c r="AF2749" t="s">
        <v>243</v>
      </c>
    </row>
    <row r="2750" spans="1:32" ht="14.5" customHeight="1" x14ac:dyDescent="0.35">
      <c r="A2750" t="s">
        <v>1593</v>
      </c>
      <c r="B2750" t="s">
        <v>2048</v>
      </c>
      <c r="C2750" t="s">
        <v>47</v>
      </c>
      <c r="D2750">
        <v>3100179</v>
      </c>
      <c r="E2750">
        <v>3100179</v>
      </c>
      <c r="F2750" t="s">
        <v>1677</v>
      </c>
      <c r="G2750" t="s">
        <v>1677</v>
      </c>
      <c r="H2750" t="s">
        <v>54</v>
      </c>
      <c r="I2750">
        <v>9927476</v>
      </c>
      <c r="J2750" s="12">
        <v>46130</v>
      </c>
      <c r="K2750" s="12">
        <v>46130</v>
      </c>
      <c r="L2750" s="12">
        <v>46163</v>
      </c>
      <c r="M2750">
        <v>-31</v>
      </c>
      <c r="N2750">
        <v>521826960</v>
      </c>
      <c r="O2750">
        <v>0</v>
      </c>
      <c r="P2750">
        <v>521826960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 t="s">
        <v>47</v>
      </c>
      <c r="AA2750" t="s">
        <v>501</v>
      </c>
      <c r="AB2750" t="s">
        <v>51</v>
      </c>
      <c r="AC2750" t="s">
        <v>51</v>
      </c>
      <c r="AD2750" t="s">
        <v>51</v>
      </c>
      <c r="AE2750" t="s">
        <v>2069</v>
      </c>
      <c r="AF2750" t="s">
        <v>2070</v>
      </c>
    </row>
    <row r="2751" spans="1:32" ht="14.5" customHeight="1" x14ac:dyDescent="0.35">
      <c r="A2751" t="s">
        <v>498</v>
      </c>
      <c r="B2751" t="s">
        <v>968</v>
      </c>
      <c r="C2751" t="s">
        <v>47</v>
      </c>
      <c r="D2751">
        <v>3100314</v>
      </c>
      <c r="E2751">
        <v>3100314</v>
      </c>
      <c r="F2751" t="s">
        <v>2071</v>
      </c>
      <c r="G2751" t="s">
        <v>2071</v>
      </c>
      <c r="H2751" t="s">
        <v>54</v>
      </c>
      <c r="I2751">
        <v>6954267</v>
      </c>
      <c r="J2751" s="12">
        <v>46088</v>
      </c>
      <c r="K2751" s="12">
        <v>46088</v>
      </c>
      <c r="L2751" s="12">
        <v>46088</v>
      </c>
      <c r="M2751">
        <v>44</v>
      </c>
      <c r="N2751">
        <v>-1360000</v>
      </c>
      <c r="O2751">
        <v>-1360000</v>
      </c>
      <c r="P2751">
        <v>0</v>
      </c>
      <c r="Q2751">
        <v>0</v>
      </c>
      <c r="R2751">
        <v>-1360000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 t="s">
        <v>846</v>
      </c>
      <c r="AA2751" t="s">
        <v>55</v>
      </c>
      <c r="AB2751" t="s">
        <v>51</v>
      </c>
      <c r="AC2751" t="s">
        <v>51</v>
      </c>
      <c r="AD2751" t="s">
        <v>51</v>
      </c>
      <c r="AE2751" t="s">
        <v>51</v>
      </c>
      <c r="AF2751" t="s">
        <v>2072</v>
      </c>
    </row>
    <row r="2752" spans="1:32" ht="14.5" customHeight="1" x14ac:dyDescent="0.35">
      <c r="A2752" t="s">
        <v>498</v>
      </c>
      <c r="B2752" t="s">
        <v>968</v>
      </c>
      <c r="C2752" t="s">
        <v>47</v>
      </c>
      <c r="D2752">
        <v>3100314</v>
      </c>
      <c r="E2752">
        <v>3100314</v>
      </c>
      <c r="F2752" t="s">
        <v>2071</v>
      </c>
      <c r="G2752" t="s">
        <v>2071</v>
      </c>
      <c r="H2752" t="s">
        <v>54</v>
      </c>
      <c r="I2752">
        <v>6954890</v>
      </c>
      <c r="J2752" s="12">
        <v>46090</v>
      </c>
      <c r="K2752" s="12">
        <v>46090</v>
      </c>
      <c r="L2752" s="12">
        <v>46090</v>
      </c>
      <c r="M2752">
        <v>42</v>
      </c>
      <c r="N2752">
        <v>-247683</v>
      </c>
      <c r="O2752">
        <v>-247683</v>
      </c>
      <c r="P2752">
        <v>0</v>
      </c>
      <c r="Q2752">
        <v>0</v>
      </c>
      <c r="R2752">
        <v>-247683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 t="s">
        <v>846</v>
      </c>
      <c r="AA2752" t="s">
        <v>55</v>
      </c>
      <c r="AB2752" t="s">
        <v>51</v>
      </c>
      <c r="AC2752" t="s">
        <v>51</v>
      </c>
      <c r="AD2752" t="s">
        <v>51</v>
      </c>
      <c r="AE2752" t="s">
        <v>51</v>
      </c>
      <c r="AF2752" t="s">
        <v>2073</v>
      </c>
    </row>
    <row r="2753" spans="1:32" ht="14.5" customHeight="1" x14ac:dyDescent="0.35">
      <c r="A2753" t="s">
        <v>498</v>
      </c>
      <c r="B2753" t="s">
        <v>968</v>
      </c>
      <c r="C2753" t="s">
        <v>47</v>
      </c>
      <c r="D2753">
        <v>3100314</v>
      </c>
      <c r="E2753">
        <v>3100314</v>
      </c>
      <c r="F2753" t="s">
        <v>2071</v>
      </c>
      <c r="G2753" t="s">
        <v>2071</v>
      </c>
      <c r="H2753" t="s">
        <v>54</v>
      </c>
      <c r="I2753">
        <v>6954964</v>
      </c>
      <c r="J2753" s="12">
        <v>46091</v>
      </c>
      <c r="K2753" s="12">
        <v>46091</v>
      </c>
      <c r="L2753" s="12">
        <v>46091</v>
      </c>
      <c r="M2753">
        <v>41</v>
      </c>
      <c r="N2753">
        <v>-981149</v>
      </c>
      <c r="O2753">
        <v>-981149</v>
      </c>
      <c r="P2753">
        <v>0</v>
      </c>
      <c r="Q2753">
        <v>0</v>
      </c>
      <c r="R2753">
        <v>-981149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 t="s">
        <v>846</v>
      </c>
      <c r="AA2753" t="s">
        <v>55</v>
      </c>
      <c r="AB2753" t="s">
        <v>51</v>
      </c>
      <c r="AC2753" t="s">
        <v>51</v>
      </c>
      <c r="AD2753" t="s">
        <v>51</v>
      </c>
      <c r="AE2753" t="s">
        <v>51</v>
      </c>
      <c r="AF2753" t="s">
        <v>2074</v>
      </c>
    </row>
    <row r="2754" spans="1:32" ht="14.5" customHeight="1" x14ac:dyDescent="0.35">
      <c r="A2754" t="s">
        <v>498</v>
      </c>
      <c r="B2754" t="s">
        <v>968</v>
      </c>
      <c r="C2754" t="s">
        <v>47</v>
      </c>
      <c r="D2754">
        <v>3100314</v>
      </c>
      <c r="E2754">
        <v>3100314</v>
      </c>
      <c r="F2754" t="s">
        <v>2071</v>
      </c>
      <c r="G2754" t="s">
        <v>2071</v>
      </c>
      <c r="H2754" t="s">
        <v>54</v>
      </c>
      <c r="I2754">
        <v>6954965</v>
      </c>
      <c r="J2754" s="12">
        <v>46091</v>
      </c>
      <c r="K2754" s="12">
        <v>46091</v>
      </c>
      <c r="L2754" s="12">
        <v>46091</v>
      </c>
      <c r="M2754">
        <v>41</v>
      </c>
      <c r="N2754">
        <v>-900000</v>
      </c>
      <c r="O2754">
        <v>-900000</v>
      </c>
      <c r="P2754">
        <v>0</v>
      </c>
      <c r="Q2754">
        <v>0</v>
      </c>
      <c r="R2754">
        <v>-900000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 t="s">
        <v>846</v>
      </c>
      <c r="AA2754" t="s">
        <v>55</v>
      </c>
      <c r="AB2754" t="s">
        <v>51</v>
      </c>
      <c r="AC2754" t="s">
        <v>51</v>
      </c>
      <c r="AD2754" t="s">
        <v>51</v>
      </c>
      <c r="AE2754" t="s">
        <v>51</v>
      </c>
      <c r="AF2754" t="s">
        <v>2075</v>
      </c>
    </row>
    <row r="2755" spans="1:32" ht="14.5" customHeight="1" x14ac:dyDescent="0.35">
      <c r="A2755" t="s">
        <v>498</v>
      </c>
      <c r="B2755" t="s">
        <v>968</v>
      </c>
      <c r="C2755" t="s">
        <v>47</v>
      </c>
      <c r="D2755">
        <v>3100314</v>
      </c>
      <c r="E2755">
        <v>3100314</v>
      </c>
      <c r="F2755" t="s">
        <v>2071</v>
      </c>
      <c r="G2755" t="s">
        <v>2071</v>
      </c>
      <c r="H2755" t="s">
        <v>54</v>
      </c>
      <c r="I2755">
        <v>6955550</v>
      </c>
      <c r="J2755" s="12">
        <v>46095</v>
      </c>
      <c r="K2755" s="12">
        <v>46095</v>
      </c>
      <c r="L2755" s="12">
        <v>46095</v>
      </c>
      <c r="M2755">
        <v>37</v>
      </c>
      <c r="N2755">
        <v>-27924243</v>
      </c>
      <c r="O2755">
        <v>-27924243</v>
      </c>
      <c r="P2755">
        <v>0</v>
      </c>
      <c r="Q2755">
        <v>0</v>
      </c>
      <c r="R2755">
        <v>-27924243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 t="s">
        <v>846</v>
      </c>
      <c r="AA2755" t="s">
        <v>55</v>
      </c>
      <c r="AB2755" t="s">
        <v>51</v>
      </c>
      <c r="AC2755" t="s">
        <v>51</v>
      </c>
      <c r="AD2755" t="s">
        <v>51</v>
      </c>
      <c r="AE2755" t="s">
        <v>51</v>
      </c>
      <c r="AF2755" t="s">
        <v>56</v>
      </c>
    </row>
    <row r="2756" spans="1:32" ht="14.5" customHeight="1" x14ac:dyDescent="0.35">
      <c r="A2756" t="s">
        <v>498</v>
      </c>
      <c r="B2756" t="s">
        <v>968</v>
      </c>
      <c r="C2756" t="s">
        <v>47</v>
      </c>
      <c r="D2756">
        <v>3100314</v>
      </c>
      <c r="E2756">
        <v>3100314</v>
      </c>
      <c r="F2756" t="s">
        <v>2071</v>
      </c>
      <c r="G2756" t="s">
        <v>2071</v>
      </c>
      <c r="H2756" t="s">
        <v>54</v>
      </c>
      <c r="I2756">
        <v>6957169</v>
      </c>
      <c r="J2756" s="12">
        <v>46106</v>
      </c>
      <c r="K2756" s="12">
        <v>46106</v>
      </c>
      <c r="L2756" s="12">
        <v>46106</v>
      </c>
      <c r="M2756">
        <v>26</v>
      </c>
      <c r="N2756">
        <v>-721779</v>
      </c>
      <c r="O2756">
        <v>-721779</v>
      </c>
      <c r="P2756">
        <v>0</v>
      </c>
      <c r="Q2756">
        <v>-721779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 t="s">
        <v>846</v>
      </c>
      <c r="AA2756" t="s">
        <v>55</v>
      </c>
      <c r="AB2756" t="s">
        <v>51</v>
      </c>
      <c r="AC2756" t="s">
        <v>51</v>
      </c>
      <c r="AD2756" t="s">
        <v>51</v>
      </c>
      <c r="AE2756" t="s">
        <v>51</v>
      </c>
      <c r="AF2756" t="s">
        <v>2076</v>
      </c>
    </row>
    <row r="2757" spans="1:32" ht="14.5" customHeight="1" x14ac:dyDescent="0.35">
      <c r="A2757" t="s">
        <v>498</v>
      </c>
      <c r="B2757" t="s">
        <v>968</v>
      </c>
      <c r="C2757" t="s">
        <v>47</v>
      </c>
      <c r="D2757">
        <v>3100314</v>
      </c>
      <c r="E2757">
        <v>3100314</v>
      </c>
      <c r="F2757" t="s">
        <v>2071</v>
      </c>
      <c r="G2757" t="s">
        <v>2071</v>
      </c>
      <c r="H2757" t="s">
        <v>54</v>
      </c>
      <c r="I2757">
        <v>6957360</v>
      </c>
      <c r="J2757" s="12">
        <v>46106</v>
      </c>
      <c r="K2757" s="12">
        <v>46106</v>
      </c>
      <c r="L2757" s="12">
        <v>46106</v>
      </c>
      <c r="M2757">
        <v>26</v>
      </c>
      <c r="N2757">
        <v>-1750000</v>
      </c>
      <c r="O2757">
        <v>-1750000</v>
      </c>
      <c r="P2757">
        <v>0</v>
      </c>
      <c r="Q2757">
        <v>-1750000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 t="s">
        <v>846</v>
      </c>
      <c r="AA2757" t="s">
        <v>55</v>
      </c>
      <c r="AB2757" t="s">
        <v>51</v>
      </c>
      <c r="AC2757" t="s">
        <v>51</v>
      </c>
      <c r="AD2757" t="s">
        <v>51</v>
      </c>
      <c r="AE2757" t="s">
        <v>51</v>
      </c>
      <c r="AF2757" t="s">
        <v>2077</v>
      </c>
    </row>
    <row r="2758" spans="1:32" ht="14.5" customHeight="1" x14ac:dyDescent="0.35">
      <c r="A2758" t="s">
        <v>498</v>
      </c>
      <c r="B2758" t="s">
        <v>968</v>
      </c>
      <c r="C2758" t="s">
        <v>47</v>
      </c>
      <c r="D2758">
        <v>3100314</v>
      </c>
      <c r="E2758">
        <v>3100314</v>
      </c>
      <c r="F2758" t="s">
        <v>2071</v>
      </c>
      <c r="G2758" t="s">
        <v>2071</v>
      </c>
      <c r="H2758" t="s">
        <v>54</v>
      </c>
      <c r="I2758">
        <v>6957726</v>
      </c>
      <c r="J2758" s="12">
        <v>46112</v>
      </c>
      <c r="K2758" s="12">
        <v>46112</v>
      </c>
      <c r="L2758" s="12">
        <v>46112</v>
      </c>
      <c r="M2758">
        <v>20</v>
      </c>
      <c r="N2758">
        <v>-1317772</v>
      </c>
      <c r="O2758">
        <v>-1317772</v>
      </c>
      <c r="P2758">
        <v>0</v>
      </c>
      <c r="Q2758">
        <v>-1317772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 t="s">
        <v>846</v>
      </c>
      <c r="AA2758" t="s">
        <v>55</v>
      </c>
      <c r="AB2758" t="s">
        <v>51</v>
      </c>
      <c r="AC2758" t="s">
        <v>51</v>
      </c>
      <c r="AD2758" t="s">
        <v>51</v>
      </c>
      <c r="AE2758" t="s">
        <v>51</v>
      </c>
      <c r="AF2758" t="s">
        <v>2078</v>
      </c>
    </row>
    <row r="2759" spans="1:32" ht="14.5" customHeight="1" x14ac:dyDescent="0.35">
      <c r="A2759" t="s">
        <v>498</v>
      </c>
      <c r="B2759" t="s">
        <v>968</v>
      </c>
      <c r="C2759" t="s">
        <v>846</v>
      </c>
      <c r="D2759">
        <v>3100314</v>
      </c>
      <c r="E2759">
        <v>3100314</v>
      </c>
      <c r="F2759" t="s">
        <v>2071</v>
      </c>
      <c r="G2759" t="s">
        <v>2071</v>
      </c>
      <c r="H2759" t="s">
        <v>54</v>
      </c>
      <c r="I2759">
        <v>9906291</v>
      </c>
      <c r="J2759" s="12">
        <v>46072</v>
      </c>
      <c r="K2759" s="12">
        <v>46072</v>
      </c>
      <c r="L2759" s="12">
        <v>46161</v>
      </c>
      <c r="M2759">
        <v>-29</v>
      </c>
      <c r="N2759">
        <v>224052866</v>
      </c>
      <c r="O2759">
        <v>0</v>
      </c>
      <c r="P2759">
        <v>224052866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 t="s">
        <v>846</v>
      </c>
      <c r="Z2759" s="12">
        <v>46116</v>
      </c>
      <c r="AA2759" t="s">
        <v>55</v>
      </c>
      <c r="AB2759" t="s">
        <v>51</v>
      </c>
      <c r="AC2759" t="s">
        <v>51</v>
      </c>
      <c r="AD2759" t="s">
        <v>51</v>
      </c>
      <c r="AE2759" t="s">
        <v>2079</v>
      </c>
      <c r="AF2759" t="s">
        <v>1168</v>
      </c>
    </row>
    <row r="2760" spans="1:32" ht="14.5" customHeight="1" x14ac:dyDescent="0.35">
      <c r="A2760" t="s">
        <v>498</v>
      </c>
      <c r="B2760" t="s">
        <v>968</v>
      </c>
      <c r="C2760" t="s">
        <v>846</v>
      </c>
      <c r="D2760">
        <v>3100314</v>
      </c>
      <c r="E2760">
        <v>3100314</v>
      </c>
      <c r="F2760" t="s">
        <v>2071</v>
      </c>
      <c r="G2760" t="s">
        <v>2071</v>
      </c>
      <c r="H2760" t="s">
        <v>54</v>
      </c>
      <c r="I2760">
        <v>9906292</v>
      </c>
      <c r="J2760" s="12">
        <v>46072</v>
      </c>
      <c r="K2760" s="12">
        <v>46072</v>
      </c>
      <c r="L2760" s="12">
        <v>46161</v>
      </c>
      <c r="M2760">
        <v>-29</v>
      </c>
      <c r="N2760">
        <v>1559401</v>
      </c>
      <c r="O2760">
        <v>0</v>
      </c>
      <c r="P2760">
        <v>1559401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 t="s">
        <v>846</v>
      </c>
      <c r="Z2760" s="12">
        <v>46116</v>
      </c>
      <c r="AA2760" t="s">
        <v>55</v>
      </c>
      <c r="AB2760" t="s">
        <v>51</v>
      </c>
      <c r="AC2760" t="s">
        <v>51</v>
      </c>
      <c r="AD2760" t="s">
        <v>51</v>
      </c>
      <c r="AE2760" t="s">
        <v>2080</v>
      </c>
      <c r="AF2760" t="s">
        <v>320</v>
      </c>
    </row>
    <row r="2761" spans="1:32" ht="14.5" customHeight="1" x14ac:dyDescent="0.35">
      <c r="A2761" t="s">
        <v>498</v>
      </c>
      <c r="B2761" t="s">
        <v>968</v>
      </c>
      <c r="C2761" t="s">
        <v>846</v>
      </c>
      <c r="D2761">
        <v>3100314</v>
      </c>
      <c r="E2761">
        <v>3100314</v>
      </c>
      <c r="F2761" t="s">
        <v>2071</v>
      </c>
      <c r="G2761" t="s">
        <v>2071</v>
      </c>
      <c r="H2761" t="s">
        <v>54</v>
      </c>
      <c r="I2761">
        <v>9914027</v>
      </c>
      <c r="J2761" s="12">
        <v>46092</v>
      </c>
      <c r="K2761" s="12">
        <v>46092</v>
      </c>
      <c r="L2761" s="12">
        <v>46158</v>
      </c>
      <c r="M2761">
        <v>-26</v>
      </c>
      <c r="N2761">
        <v>186708022</v>
      </c>
      <c r="O2761">
        <v>0</v>
      </c>
      <c r="P2761">
        <v>186708022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 t="s">
        <v>846</v>
      </c>
      <c r="AA2761" t="s">
        <v>55</v>
      </c>
      <c r="AB2761" t="s">
        <v>51</v>
      </c>
      <c r="AC2761" t="s">
        <v>51</v>
      </c>
      <c r="AD2761" t="s">
        <v>51</v>
      </c>
      <c r="AE2761" t="s">
        <v>2081</v>
      </c>
      <c r="AF2761" t="s">
        <v>975</v>
      </c>
    </row>
    <row r="2762" spans="1:32" ht="14.5" customHeight="1" x14ac:dyDescent="0.35">
      <c r="A2762" t="s">
        <v>498</v>
      </c>
      <c r="B2762" t="s">
        <v>2082</v>
      </c>
      <c r="C2762" t="s">
        <v>47</v>
      </c>
      <c r="D2762">
        <v>3100349</v>
      </c>
      <c r="E2762">
        <v>3100349</v>
      </c>
      <c r="F2762" t="s">
        <v>2083</v>
      </c>
      <c r="G2762" t="s">
        <v>2083</v>
      </c>
      <c r="H2762" t="s">
        <v>54</v>
      </c>
      <c r="I2762">
        <v>6942778</v>
      </c>
      <c r="J2762" s="12">
        <v>46013</v>
      </c>
      <c r="K2762" s="12">
        <v>46013</v>
      </c>
      <c r="L2762" s="12">
        <v>46013</v>
      </c>
      <c r="M2762">
        <v>119</v>
      </c>
      <c r="N2762">
        <v>-12778522</v>
      </c>
      <c r="O2762">
        <v>-12778522</v>
      </c>
      <c r="P2762">
        <v>0</v>
      </c>
      <c r="Q2762">
        <v>0</v>
      </c>
      <c r="R2762">
        <v>0</v>
      </c>
      <c r="S2762">
        <v>0</v>
      </c>
      <c r="T2762">
        <v>-12778522</v>
      </c>
      <c r="U2762">
        <v>0</v>
      </c>
      <c r="V2762">
        <v>0</v>
      </c>
      <c r="W2762">
        <v>0</v>
      </c>
      <c r="X2762">
        <v>0</v>
      </c>
      <c r="Y2762" t="s">
        <v>47</v>
      </c>
      <c r="AA2762" t="s">
        <v>55</v>
      </c>
      <c r="AB2762" t="s">
        <v>51</v>
      </c>
      <c r="AC2762" t="s">
        <v>51</v>
      </c>
      <c r="AD2762" t="s">
        <v>51</v>
      </c>
      <c r="AE2762" t="s">
        <v>51</v>
      </c>
      <c r="AF2762" t="s">
        <v>106</v>
      </c>
    </row>
    <row r="2763" spans="1:32" ht="14.5" customHeight="1" x14ac:dyDescent="0.35">
      <c r="A2763" t="s">
        <v>498</v>
      </c>
      <c r="B2763" t="s">
        <v>2082</v>
      </c>
      <c r="C2763" t="s">
        <v>47</v>
      </c>
      <c r="D2763">
        <v>3100349</v>
      </c>
      <c r="E2763">
        <v>3100349</v>
      </c>
      <c r="F2763" t="s">
        <v>2083</v>
      </c>
      <c r="G2763" t="s">
        <v>2083</v>
      </c>
      <c r="H2763" t="s">
        <v>54</v>
      </c>
      <c r="I2763">
        <v>6942817</v>
      </c>
      <c r="J2763" s="12">
        <v>46013</v>
      </c>
      <c r="K2763" s="12">
        <v>46013</v>
      </c>
      <c r="L2763" s="12">
        <v>46013</v>
      </c>
      <c r="M2763">
        <v>119</v>
      </c>
      <c r="N2763">
        <v>-2835600</v>
      </c>
      <c r="O2763">
        <v>-2835600</v>
      </c>
      <c r="P2763">
        <v>0</v>
      </c>
      <c r="Q2763">
        <v>0</v>
      </c>
      <c r="R2763">
        <v>0</v>
      </c>
      <c r="S2763">
        <v>0</v>
      </c>
      <c r="T2763">
        <v>-2835600</v>
      </c>
      <c r="U2763">
        <v>0</v>
      </c>
      <c r="V2763">
        <v>0</v>
      </c>
      <c r="W2763">
        <v>0</v>
      </c>
      <c r="X2763">
        <v>0</v>
      </c>
      <c r="Y2763" t="s">
        <v>47</v>
      </c>
      <c r="AA2763" t="s">
        <v>55</v>
      </c>
      <c r="AB2763" t="s">
        <v>51</v>
      </c>
      <c r="AC2763" t="s">
        <v>51</v>
      </c>
      <c r="AD2763" t="s">
        <v>51</v>
      </c>
      <c r="AE2763" t="s">
        <v>51</v>
      </c>
      <c r="AF2763" t="s">
        <v>2084</v>
      </c>
    </row>
    <row r="2764" spans="1:32" ht="14.5" customHeight="1" x14ac:dyDescent="0.35">
      <c r="A2764" t="s">
        <v>498</v>
      </c>
      <c r="B2764" t="s">
        <v>2082</v>
      </c>
      <c r="C2764" t="s">
        <v>47</v>
      </c>
      <c r="D2764">
        <v>3100349</v>
      </c>
      <c r="E2764">
        <v>3100349</v>
      </c>
      <c r="F2764" t="s">
        <v>2083</v>
      </c>
      <c r="G2764" t="s">
        <v>2083</v>
      </c>
      <c r="H2764" t="s">
        <v>54</v>
      </c>
      <c r="I2764">
        <v>6946823</v>
      </c>
      <c r="J2764" s="12">
        <v>46041</v>
      </c>
      <c r="K2764" s="12">
        <v>46041</v>
      </c>
      <c r="L2764" s="12">
        <v>46041</v>
      </c>
      <c r="M2764">
        <v>91</v>
      </c>
      <c r="N2764">
        <v>-7849326</v>
      </c>
      <c r="O2764">
        <v>-7849326</v>
      </c>
      <c r="P2764">
        <v>0</v>
      </c>
      <c r="Q2764">
        <v>0</v>
      </c>
      <c r="R2764">
        <v>0</v>
      </c>
      <c r="S2764">
        <v>0</v>
      </c>
      <c r="T2764">
        <v>-7849326</v>
      </c>
      <c r="U2764">
        <v>0</v>
      </c>
      <c r="V2764">
        <v>0</v>
      </c>
      <c r="W2764">
        <v>0</v>
      </c>
      <c r="X2764">
        <v>0</v>
      </c>
      <c r="Y2764" t="s">
        <v>47</v>
      </c>
      <c r="AA2764" t="s">
        <v>55</v>
      </c>
      <c r="AB2764" t="s">
        <v>51</v>
      </c>
      <c r="AC2764" t="s">
        <v>51</v>
      </c>
      <c r="AD2764" t="s">
        <v>51</v>
      </c>
      <c r="AE2764" t="s">
        <v>51</v>
      </c>
      <c r="AF2764" t="s">
        <v>309</v>
      </c>
    </row>
    <row r="2765" spans="1:32" ht="14.5" customHeight="1" x14ac:dyDescent="0.35">
      <c r="A2765" t="s">
        <v>498</v>
      </c>
      <c r="B2765" t="s">
        <v>2082</v>
      </c>
      <c r="C2765" t="s">
        <v>47</v>
      </c>
      <c r="D2765">
        <v>3100349</v>
      </c>
      <c r="E2765">
        <v>3100349</v>
      </c>
      <c r="F2765" t="s">
        <v>2083</v>
      </c>
      <c r="G2765" t="s">
        <v>2083</v>
      </c>
      <c r="H2765" t="s">
        <v>54</v>
      </c>
      <c r="I2765">
        <v>6948481</v>
      </c>
      <c r="J2765" s="12">
        <v>46046</v>
      </c>
      <c r="K2765" s="12">
        <v>46046</v>
      </c>
      <c r="L2765" s="12">
        <v>46046</v>
      </c>
      <c r="M2765">
        <v>86</v>
      </c>
      <c r="N2765">
        <v>-3597625</v>
      </c>
      <c r="O2765">
        <v>-3597625</v>
      </c>
      <c r="P2765">
        <v>0</v>
      </c>
      <c r="Q2765">
        <v>0</v>
      </c>
      <c r="R2765">
        <v>0</v>
      </c>
      <c r="S2765">
        <v>-3597625</v>
      </c>
      <c r="T2765">
        <v>0</v>
      </c>
      <c r="U2765">
        <v>0</v>
      </c>
      <c r="V2765">
        <v>0</v>
      </c>
      <c r="W2765">
        <v>0</v>
      </c>
      <c r="X2765">
        <v>0</v>
      </c>
      <c r="Y2765" t="s">
        <v>47</v>
      </c>
      <c r="AA2765" t="s">
        <v>55</v>
      </c>
      <c r="AB2765" t="s">
        <v>51</v>
      </c>
      <c r="AC2765" t="s">
        <v>51</v>
      </c>
      <c r="AD2765" t="s">
        <v>51</v>
      </c>
      <c r="AE2765" t="s">
        <v>51</v>
      </c>
      <c r="AF2765" t="s">
        <v>2085</v>
      </c>
    </row>
    <row r="2766" spans="1:32" ht="14.5" customHeight="1" x14ac:dyDescent="0.35">
      <c r="A2766" t="s">
        <v>498</v>
      </c>
      <c r="B2766" t="s">
        <v>2082</v>
      </c>
      <c r="C2766" t="s">
        <v>929</v>
      </c>
      <c r="D2766">
        <v>3100349</v>
      </c>
      <c r="E2766">
        <v>3100349</v>
      </c>
      <c r="F2766" t="s">
        <v>2083</v>
      </c>
      <c r="G2766" t="s">
        <v>2083</v>
      </c>
      <c r="H2766" t="s">
        <v>111</v>
      </c>
      <c r="I2766">
        <v>6949683</v>
      </c>
      <c r="J2766" s="12">
        <v>46060</v>
      </c>
      <c r="K2766" s="12">
        <v>46060</v>
      </c>
      <c r="L2766" s="12">
        <v>46060</v>
      </c>
      <c r="M2766">
        <v>72</v>
      </c>
      <c r="N2766">
        <v>-7592720</v>
      </c>
      <c r="O2766">
        <v>-7592720</v>
      </c>
      <c r="P2766">
        <v>0</v>
      </c>
      <c r="Q2766">
        <v>0</v>
      </c>
      <c r="R2766">
        <v>0</v>
      </c>
      <c r="S2766">
        <v>-7592720</v>
      </c>
      <c r="T2766">
        <v>0</v>
      </c>
      <c r="U2766">
        <v>0</v>
      </c>
      <c r="V2766">
        <v>0</v>
      </c>
      <c r="W2766">
        <v>0</v>
      </c>
      <c r="X2766">
        <v>0</v>
      </c>
      <c r="Y2766" t="s">
        <v>47</v>
      </c>
      <c r="AA2766" t="s">
        <v>55</v>
      </c>
      <c r="AB2766" t="s">
        <v>51</v>
      </c>
      <c r="AC2766" t="s">
        <v>51</v>
      </c>
      <c r="AD2766" t="s">
        <v>51</v>
      </c>
      <c r="AE2766" t="s">
        <v>51</v>
      </c>
      <c r="AF2766" t="s">
        <v>2043</v>
      </c>
    </row>
    <row r="2767" spans="1:32" ht="14.5" customHeight="1" x14ac:dyDescent="0.35">
      <c r="A2767" t="s">
        <v>498</v>
      </c>
      <c r="B2767" t="s">
        <v>2082</v>
      </c>
      <c r="C2767" t="s">
        <v>929</v>
      </c>
      <c r="D2767">
        <v>3100349</v>
      </c>
      <c r="E2767">
        <v>3100349</v>
      </c>
      <c r="F2767" t="s">
        <v>2083</v>
      </c>
      <c r="G2767" t="s">
        <v>2083</v>
      </c>
      <c r="H2767" t="s">
        <v>111</v>
      </c>
      <c r="I2767">
        <v>6949684</v>
      </c>
      <c r="J2767" s="12">
        <v>46060</v>
      </c>
      <c r="K2767" s="12">
        <v>46060</v>
      </c>
      <c r="L2767" s="12">
        <v>46060</v>
      </c>
      <c r="M2767">
        <v>72</v>
      </c>
      <c r="N2767">
        <v>-2695755</v>
      </c>
      <c r="O2767">
        <v>-2695755</v>
      </c>
      <c r="P2767">
        <v>0</v>
      </c>
      <c r="Q2767">
        <v>0</v>
      </c>
      <c r="R2767">
        <v>0</v>
      </c>
      <c r="S2767">
        <v>-2695755</v>
      </c>
      <c r="T2767">
        <v>0</v>
      </c>
      <c r="U2767">
        <v>0</v>
      </c>
      <c r="V2767">
        <v>0</v>
      </c>
      <c r="W2767">
        <v>0</v>
      </c>
      <c r="X2767">
        <v>0</v>
      </c>
      <c r="Y2767" t="s">
        <v>47</v>
      </c>
      <c r="AA2767" t="s">
        <v>55</v>
      </c>
      <c r="AB2767" t="s">
        <v>51</v>
      </c>
      <c r="AC2767" t="s">
        <v>51</v>
      </c>
      <c r="AD2767" t="s">
        <v>51</v>
      </c>
      <c r="AE2767" t="s">
        <v>51</v>
      </c>
      <c r="AF2767" t="s">
        <v>933</v>
      </c>
    </row>
    <row r="2768" spans="1:32" ht="14.5" customHeight="1" x14ac:dyDescent="0.35">
      <c r="A2768" t="s">
        <v>498</v>
      </c>
      <c r="B2768" t="s">
        <v>2082</v>
      </c>
      <c r="C2768" t="s">
        <v>929</v>
      </c>
      <c r="D2768">
        <v>3100349</v>
      </c>
      <c r="E2768">
        <v>3100349</v>
      </c>
      <c r="F2768" t="s">
        <v>2083</v>
      </c>
      <c r="G2768" t="s">
        <v>2083</v>
      </c>
      <c r="H2768" t="s">
        <v>111</v>
      </c>
      <c r="I2768">
        <v>6949685</v>
      </c>
      <c r="J2768" s="12">
        <v>46060</v>
      </c>
      <c r="K2768" s="12">
        <v>46060</v>
      </c>
      <c r="L2768" s="12">
        <v>46060</v>
      </c>
      <c r="M2768">
        <v>72</v>
      </c>
      <c r="N2768">
        <v>-348571</v>
      </c>
      <c r="O2768">
        <v>-348571</v>
      </c>
      <c r="P2768">
        <v>0</v>
      </c>
      <c r="Q2768">
        <v>0</v>
      </c>
      <c r="R2768">
        <v>0</v>
      </c>
      <c r="S2768">
        <v>-348571</v>
      </c>
      <c r="T2768">
        <v>0</v>
      </c>
      <c r="U2768">
        <v>0</v>
      </c>
      <c r="V2768">
        <v>0</v>
      </c>
      <c r="W2768">
        <v>0</v>
      </c>
      <c r="X2768">
        <v>0</v>
      </c>
      <c r="Y2768" t="s">
        <v>47</v>
      </c>
      <c r="AA2768" t="s">
        <v>55</v>
      </c>
      <c r="AB2768" t="s">
        <v>51</v>
      </c>
      <c r="AC2768" t="s">
        <v>51</v>
      </c>
      <c r="AD2768" t="s">
        <v>51</v>
      </c>
      <c r="AE2768" t="s">
        <v>51</v>
      </c>
      <c r="AF2768" t="s">
        <v>1485</v>
      </c>
    </row>
    <row r="2769" spans="1:32" ht="14.5" customHeight="1" x14ac:dyDescent="0.35">
      <c r="A2769" t="s">
        <v>498</v>
      </c>
      <c r="B2769" t="s">
        <v>2082</v>
      </c>
      <c r="C2769" t="s">
        <v>929</v>
      </c>
      <c r="D2769">
        <v>3100349</v>
      </c>
      <c r="E2769">
        <v>3100349</v>
      </c>
      <c r="F2769" t="s">
        <v>2083</v>
      </c>
      <c r="G2769" t="s">
        <v>2083</v>
      </c>
      <c r="H2769" t="s">
        <v>111</v>
      </c>
      <c r="I2769">
        <v>6949686</v>
      </c>
      <c r="J2769" s="12">
        <v>46060</v>
      </c>
      <c r="K2769" s="12">
        <v>46060</v>
      </c>
      <c r="L2769" s="12">
        <v>46060</v>
      </c>
      <c r="M2769">
        <v>72</v>
      </c>
      <c r="N2769">
        <v>-6326054</v>
      </c>
      <c r="O2769">
        <v>-6326054</v>
      </c>
      <c r="P2769">
        <v>0</v>
      </c>
      <c r="Q2769">
        <v>0</v>
      </c>
      <c r="R2769">
        <v>0</v>
      </c>
      <c r="S2769">
        <v>-6326054</v>
      </c>
      <c r="T2769">
        <v>0</v>
      </c>
      <c r="U2769">
        <v>0</v>
      </c>
      <c r="V2769">
        <v>0</v>
      </c>
      <c r="W2769">
        <v>0</v>
      </c>
      <c r="X2769">
        <v>0</v>
      </c>
      <c r="Y2769" t="s">
        <v>47</v>
      </c>
      <c r="AA2769" t="s">
        <v>55</v>
      </c>
      <c r="AB2769" t="s">
        <v>51</v>
      </c>
      <c r="AC2769" t="s">
        <v>51</v>
      </c>
      <c r="AD2769" t="s">
        <v>51</v>
      </c>
      <c r="AE2769" t="s">
        <v>51</v>
      </c>
      <c r="AF2769" t="s">
        <v>2031</v>
      </c>
    </row>
    <row r="2770" spans="1:32" ht="14.5" customHeight="1" x14ac:dyDescent="0.35">
      <c r="A2770" t="s">
        <v>498</v>
      </c>
      <c r="B2770" t="s">
        <v>2082</v>
      </c>
      <c r="C2770" t="s">
        <v>929</v>
      </c>
      <c r="D2770">
        <v>3100349</v>
      </c>
      <c r="E2770">
        <v>3100454</v>
      </c>
      <c r="F2770" t="s">
        <v>2083</v>
      </c>
      <c r="G2770" t="s">
        <v>2083</v>
      </c>
      <c r="H2770" t="s">
        <v>111</v>
      </c>
      <c r="I2770">
        <v>6949687</v>
      </c>
      <c r="J2770" s="12">
        <v>46060</v>
      </c>
      <c r="K2770" s="12">
        <v>46060</v>
      </c>
      <c r="L2770" s="12">
        <v>46060</v>
      </c>
      <c r="M2770">
        <v>72</v>
      </c>
      <c r="N2770">
        <v>-4812889</v>
      </c>
      <c r="O2770">
        <v>-4812889</v>
      </c>
      <c r="P2770">
        <v>0</v>
      </c>
      <c r="Q2770">
        <v>0</v>
      </c>
      <c r="R2770">
        <v>0</v>
      </c>
      <c r="S2770">
        <v>-4812889</v>
      </c>
      <c r="T2770">
        <v>0</v>
      </c>
      <c r="U2770">
        <v>0</v>
      </c>
      <c r="V2770">
        <v>0</v>
      </c>
      <c r="W2770">
        <v>0</v>
      </c>
      <c r="X2770">
        <v>0</v>
      </c>
      <c r="Y2770" t="s">
        <v>929</v>
      </c>
      <c r="AA2770" t="s">
        <v>55</v>
      </c>
      <c r="AB2770" t="s">
        <v>51</v>
      </c>
      <c r="AC2770" t="s">
        <v>51</v>
      </c>
      <c r="AD2770" t="s">
        <v>51</v>
      </c>
      <c r="AE2770" t="s">
        <v>51</v>
      </c>
      <c r="AF2770" t="s">
        <v>2086</v>
      </c>
    </row>
    <row r="2771" spans="1:32" ht="14.5" customHeight="1" x14ac:dyDescent="0.35">
      <c r="A2771" t="s">
        <v>498</v>
      </c>
      <c r="B2771" t="s">
        <v>2082</v>
      </c>
      <c r="C2771" t="s">
        <v>929</v>
      </c>
      <c r="D2771">
        <v>3100349</v>
      </c>
      <c r="E2771">
        <v>3100454</v>
      </c>
      <c r="F2771" t="s">
        <v>2083</v>
      </c>
      <c r="G2771" t="s">
        <v>2083</v>
      </c>
      <c r="H2771" t="s">
        <v>111</v>
      </c>
      <c r="I2771">
        <v>6949688</v>
      </c>
      <c r="J2771" s="12">
        <v>46060</v>
      </c>
      <c r="K2771" s="12">
        <v>46060</v>
      </c>
      <c r="L2771" s="12">
        <v>46060</v>
      </c>
      <c r="M2771">
        <v>72</v>
      </c>
      <c r="N2771">
        <v>-818181</v>
      </c>
      <c r="O2771">
        <v>-818181</v>
      </c>
      <c r="P2771">
        <v>0</v>
      </c>
      <c r="Q2771">
        <v>0</v>
      </c>
      <c r="R2771">
        <v>0</v>
      </c>
      <c r="S2771">
        <v>-818181</v>
      </c>
      <c r="T2771">
        <v>0</v>
      </c>
      <c r="U2771">
        <v>0</v>
      </c>
      <c r="V2771">
        <v>0</v>
      </c>
      <c r="W2771">
        <v>0</v>
      </c>
      <c r="X2771">
        <v>0</v>
      </c>
      <c r="Y2771" t="s">
        <v>929</v>
      </c>
      <c r="AA2771" t="s">
        <v>55</v>
      </c>
      <c r="AB2771" t="s">
        <v>51</v>
      </c>
      <c r="AC2771" t="s">
        <v>51</v>
      </c>
      <c r="AD2771" t="s">
        <v>51</v>
      </c>
      <c r="AE2771" t="s">
        <v>51</v>
      </c>
      <c r="AF2771" t="s">
        <v>2087</v>
      </c>
    </row>
    <row r="2772" spans="1:32" ht="14.5" customHeight="1" x14ac:dyDescent="0.35">
      <c r="A2772" t="s">
        <v>498</v>
      </c>
      <c r="B2772" t="s">
        <v>2082</v>
      </c>
      <c r="C2772" t="s">
        <v>929</v>
      </c>
      <c r="D2772">
        <v>3100349</v>
      </c>
      <c r="E2772">
        <v>3100454</v>
      </c>
      <c r="F2772" t="s">
        <v>2083</v>
      </c>
      <c r="G2772" t="s">
        <v>2083</v>
      </c>
      <c r="H2772" t="s">
        <v>111</v>
      </c>
      <c r="I2772">
        <v>6949689</v>
      </c>
      <c r="J2772" s="12">
        <v>46060</v>
      </c>
      <c r="K2772" s="12">
        <v>46060</v>
      </c>
      <c r="L2772" s="12">
        <v>46060</v>
      </c>
      <c r="M2772">
        <v>72</v>
      </c>
      <c r="N2772">
        <v>-8730914</v>
      </c>
      <c r="O2772">
        <v>-8730914</v>
      </c>
      <c r="P2772">
        <v>0</v>
      </c>
      <c r="Q2772">
        <v>0</v>
      </c>
      <c r="R2772">
        <v>0</v>
      </c>
      <c r="S2772">
        <v>-8730914</v>
      </c>
      <c r="T2772">
        <v>0</v>
      </c>
      <c r="U2772">
        <v>0</v>
      </c>
      <c r="V2772">
        <v>0</v>
      </c>
      <c r="W2772">
        <v>0</v>
      </c>
      <c r="X2772">
        <v>0</v>
      </c>
      <c r="Y2772" t="s">
        <v>929</v>
      </c>
      <c r="AA2772" t="s">
        <v>55</v>
      </c>
      <c r="AB2772" t="s">
        <v>51</v>
      </c>
      <c r="AC2772" t="s">
        <v>51</v>
      </c>
      <c r="AD2772" t="s">
        <v>51</v>
      </c>
      <c r="AE2772" t="s">
        <v>51</v>
      </c>
      <c r="AF2772" t="s">
        <v>1681</v>
      </c>
    </row>
    <row r="2773" spans="1:32" ht="14.5" customHeight="1" x14ac:dyDescent="0.35">
      <c r="A2773" t="s">
        <v>498</v>
      </c>
      <c r="B2773" t="s">
        <v>2082</v>
      </c>
      <c r="C2773" t="s">
        <v>929</v>
      </c>
      <c r="D2773">
        <v>3100349</v>
      </c>
      <c r="E2773">
        <v>3100454</v>
      </c>
      <c r="F2773" t="s">
        <v>2083</v>
      </c>
      <c r="G2773" t="s">
        <v>2083</v>
      </c>
      <c r="H2773" t="s">
        <v>111</v>
      </c>
      <c r="I2773">
        <v>6949690</v>
      </c>
      <c r="J2773" s="12">
        <v>46060</v>
      </c>
      <c r="K2773" s="12">
        <v>46060</v>
      </c>
      <c r="L2773" s="12">
        <v>46060</v>
      </c>
      <c r="M2773">
        <v>72</v>
      </c>
      <c r="N2773">
        <v>-5402366</v>
      </c>
      <c r="O2773">
        <v>-5402366</v>
      </c>
      <c r="P2773">
        <v>0</v>
      </c>
      <c r="Q2773">
        <v>0</v>
      </c>
      <c r="R2773">
        <v>0</v>
      </c>
      <c r="S2773">
        <v>-5402366</v>
      </c>
      <c r="T2773">
        <v>0</v>
      </c>
      <c r="U2773">
        <v>0</v>
      </c>
      <c r="V2773">
        <v>0</v>
      </c>
      <c r="W2773">
        <v>0</v>
      </c>
      <c r="X2773">
        <v>0</v>
      </c>
      <c r="Y2773" t="s">
        <v>929</v>
      </c>
      <c r="AA2773" t="s">
        <v>55</v>
      </c>
      <c r="AB2773" t="s">
        <v>51</v>
      </c>
      <c r="AC2773" t="s">
        <v>51</v>
      </c>
      <c r="AD2773" t="s">
        <v>51</v>
      </c>
      <c r="AE2773" t="s">
        <v>51</v>
      </c>
      <c r="AF2773" t="s">
        <v>1485</v>
      </c>
    </row>
    <row r="2774" spans="1:32" ht="14.5" customHeight="1" x14ac:dyDescent="0.35">
      <c r="A2774" t="s">
        <v>498</v>
      </c>
      <c r="B2774" t="s">
        <v>2082</v>
      </c>
      <c r="C2774" t="s">
        <v>929</v>
      </c>
      <c r="D2774">
        <v>3100349</v>
      </c>
      <c r="E2774">
        <v>3100454</v>
      </c>
      <c r="F2774" t="s">
        <v>2083</v>
      </c>
      <c r="G2774" t="s">
        <v>2083</v>
      </c>
      <c r="H2774" t="s">
        <v>111</v>
      </c>
      <c r="I2774">
        <v>6949691</v>
      </c>
      <c r="J2774" s="12">
        <v>46060</v>
      </c>
      <c r="K2774" s="12">
        <v>46060</v>
      </c>
      <c r="L2774" s="12">
        <v>46060</v>
      </c>
      <c r="M2774">
        <v>72</v>
      </c>
      <c r="N2774">
        <v>-490216</v>
      </c>
      <c r="O2774">
        <v>-490216</v>
      </c>
      <c r="P2774">
        <v>0</v>
      </c>
      <c r="Q2774">
        <v>0</v>
      </c>
      <c r="R2774">
        <v>0</v>
      </c>
      <c r="S2774">
        <v>-490216</v>
      </c>
      <c r="T2774">
        <v>0</v>
      </c>
      <c r="U2774">
        <v>0</v>
      </c>
      <c r="V2774">
        <v>0</v>
      </c>
      <c r="W2774">
        <v>0</v>
      </c>
      <c r="X2774">
        <v>0</v>
      </c>
      <c r="Y2774" t="s">
        <v>929</v>
      </c>
      <c r="AA2774" t="s">
        <v>55</v>
      </c>
      <c r="AB2774" t="s">
        <v>51</v>
      </c>
      <c r="AC2774" t="s">
        <v>51</v>
      </c>
      <c r="AD2774" t="s">
        <v>51</v>
      </c>
      <c r="AE2774" t="s">
        <v>51</v>
      </c>
      <c r="AF2774" t="s">
        <v>2088</v>
      </c>
    </row>
    <row r="2775" spans="1:32" ht="14.5" customHeight="1" x14ac:dyDescent="0.35">
      <c r="A2775" t="s">
        <v>498</v>
      </c>
      <c r="B2775" t="s">
        <v>2082</v>
      </c>
      <c r="C2775" t="s">
        <v>929</v>
      </c>
      <c r="D2775">
        <v>3100349</v>
      </c>
      <c r="E2775">
        <v>3100454</v>
      </c>
      <c r="F2775" t="s">
        <v>2083</v>
      </c>
      <c r="G2775" t="s">
        <v>2083</v>
      </c>
      <c r="H2775" t="s">
        <v>111</v>
      </c>
      <c r="I2775">
        <v>6949692</v>
      </c>
      <c r="J2775" s="12">
        <v>46060</v>
      </c>
      <c r="K2775" s="12">
        <v>46060</v>
      </c>
      <c r="L2775" s="12">
        <v>46060</v>
      </c>
      <c r="M2775">
        <v>72</v>
      </c>
      <c r="N2775">
        <v>-1481237</v>
      </c>
      <c r="O2775">
        <v>-1481237</v>
      </c>
      <c r="P2775">
        <v>0</v>
      </c>
      <c r="Q2775">
        <v>0</v>
      </c>
      <c r="R2775">
        <v>0</v>
      </c>
      <c r="S2775">
        <v>-1481237</v>
      </c>
      <c r="T2775">
        <v>0</v>
      </c>
      <c r="U2775">
        <v>0</v>
      </c>
      <c r="V2775">
        <v>0</v>
      </c>
      <c r="W2775">
        <v>0</v>
      </c>
      <c r="X2775">
        <v>0</v>
      </c>
      <c r="Y2775" t="s">
        <v>929</v>
      </c>
      <c r="AA2775" t="s">
        <v>55</v>
      </c>
      <c r="AB2775" t="s">
        <v>51</v>
      </c>
      <c r="AC2775" t="s">
        <v>51</v>
      </c>
      <c r="AD2775" t="s">
        <v>51</v>
      </c>
      <c r="AE2775" t="s">
        <v>51</v>
      </c>
      <c r="AF2775" t="s">
        <v>945</v>
      </c>
    </row>
    <row r="2776" spans="1:32" ht="14.5" customHeight="1" x14ac:dyDescent="0.35">
      <c r="A2776" t="s">
        <v>498</v>
      </c>
      <c r="B2776" t="s">
        <v>2082</v>
      </c>
      <c r="C2776" t="s">
        <v>929</v>
      </c>
      <c r="D2776">
        <v>3100349</v>
      </c>
      <c r="E2776">
        <v>3100454</v>
      </c>
      <c r="F2776" t="s">
        <v>2083</v>
      </c>
      <c r="G2776" t="s">
        <v>2083</v>
      </c>
      <c r="H2776" t="s">
        <v>111</v>
      </c>
      <c r="I2776">
        <v>6949693</v>
      </c>
      <c r="J2776" s="12">
        <v>46060</v>
      </c>
      <c r="K2776" s="12">
        <v>46060</v>
      </c>
      <c r="L2776" s="12">
        <v>46060</v>
      </c>
      <c r="M2776">
        <v>72</v>
      </c>
      <c r="N2776">
        <v>-958933</v>
      </c>
      <c r="O2776">
        <v>-958933</v>
      </c>
      <c r="P2776">
        <v>0</v>
      </c>
      <c r="Q2776">
        <v>0</v>
      </c>
      <c r="R2776">
        <v>0</v>
      </c>
      <c r="S2776">
        <v>-958933</v>
      </c>
      <c r="T2776">
        <v>0</v>
      </c>
      <c r="U2776">
        <v>0</v>
      </c>
      <c r="V2776">
        <v>0</v>
      </c>
      <c r="W2776">
        <v>0</v>
      </c>
      <c r="X2776">
        <v>0</v>
      </c>
      <c r="Y2776" t="s">
        <v>929</v>
      </c>
      <c r="AA2776" t="s">
        <v>55</v>
      </c>
      <c r="AB2776" t="s">
        <v>51</v>
      </c>
      <c r="AC2776" t="s">
        <v>51</v>
      </c>
      <c r="AD2776" t="s">
        <v>51</v>
      </c>
      <c r="AE2776" t="s">
        <v>51</v>
      </c>
      <c r="AF2776" t="s">
        <v>2089</v>
      </c>
    </row>
    <row r="2777" spans="1:32" ht="14.5" customHeight="1" x14ac:dyDescent="0.35">
      <c r="A2777" t="s">
        <v>498</v>
      </c>
      <c r="B2777" t="s">
        <v>2082</v>
      </c>
      <c r="C2777" t="s">
        <v>929</v>
      </c>
      <c r="D2777">
        <v>3100349</v>
      </c>
      <c r="E2777">
        <v>3100349</v>
      </c>
      <c r="F2777" t="s">
        <v>2083</v>
      </c>
      <c r="G2777" t="s">
        <v>2083</v>
      </c>
      <c r="H2777" t="s">
        <v>111</v>
      </c>
      <c r="I2777">
        <v>6949694</v>
      </c>
      <c r="J2777" s="12">
        <v>46060</v>
      </c>
      <c r="K2777" s="12">
        <v>46060</v>
      </c>
      <c r="L2777" s="12">
        <v>46060</v>
      </c>
      <c r="M2777">
        <v>72</v>
      </c>
      <c r="N2777">
        <v>-12111783</v>
      </c>
      <c r="O2777">
        <v>-12111783</v>
      </c>
      <c r="P2777">
        <v>0</v>
      </c>
      <c r="Q2777">
        <v>0</v>
      </c>
      <c r="R2777">
        <v>0</v>
      </c>
      <c r="S2777">
        <v>-12111783</v>
      </c>
      <c r="T2777">
        <v>0</v>
      </c>
      <c r="U2777">
        <v>0</v>
      </c>
      <c r="V2777">
        <v>0</v>
      </c>
      <c r="W2777">
        <v>0</v>
      </c>
      <c r="X2777">
        <v>0</v>
      </c>
      <c r="Y2777" t="s">
        <v>47</v>
      </c>
      <c r="AA2777" t="s">
        <v>55</v>
      </c>
      <c r="AB2777" t="s">
        <v>51</v>
      </c>
      <c r="AC2777" t="s">
        <v>51</v>
      </c>
      <c r="AD2777" t="s">
        <v>51</v>
      </c>
      <c r="AE2777" t="s">
        <v>51</v>
      </c>
      <c r="AF2777" t="s">
        <v>1047</v>
      </c>
    </row>
    <row r="2778" spans="1:32" ht="14.5" customHeight="1" x14ac:dyDescent="0.35">
      <c r="A2778" t="s">
        <v>498</v>
      </c>
      <c r="B2778" t="s">
        <v>2082</v>
      </c>
      <c r="C2778" t="s">
        <v>929</v>
      </c>
      <c r="D2778">
        <v>3100349</v>
      </c>
      <c r="E2778">
        <v>3100454</v>
      </c>
      <c r="F2778" t="s">
        <v>2083</v>
      </c>
      <c r="G2778" t="s">
        <v>2083</v>
      </c>
      <c r="H2778" t="s">
        <v>111</v>
      </c>
      <c r="I2778">
        <v>6949695</v>
      </c>
      <c r="J2778" s="12">
        <v>46060</v>
      </c>
      <c r="K2778" s="12">
        <v>46060</v>
      </c>
      <c r="L2778" s="12">
        <v>46060</v>
      </c>
      <c r="M2778">
        <v>72</v>
      </c>
      <c r="N2778">
        <v>-10095548</v>
      </c>
      <c r="O2778">
        <v>-10095548</v>
      </c>
      <c r="P2778">
        <v>0</v>
      </c>
      <c r="Q2778">
        <v>0</v>
      </c>
      <c r="R2778">
        <v>0</v>
      </c>
      <c r="S2778">
        <v>-10095548</v>
      </c>
      <c r="T2778">
        <v>0</v>
      </c>
      <c r="U2778">
        <v>0</v>
      </c>
      <c r="V2778">
        <v>0</v>
      </c>
      <c r="W2778">
        <v>0</v>
      </c>
      <c r="X2778">
        <v>0</v>
      </c>
      <c r="Y2778" t="s">
        <v>929</v>
      </c>
      <c r="AA2778" t="s">
        <v>55</v>
      </c>
      <c r="AB2778" t="s">
        <v>51</v>
      </c>
      <c r="AC2778" t="s">
        <v>51</v>
      </c>
      <c r="AD2778" t="s">
        <v>51</v>
      </c>
      <c r="AE2778" t="s">
        <v>51</v>
      </c>
      <c r="AF2778" t="s">
        <v>657</v>
      </c>
    </row>
    <row r="2779" spans="1:32" ht="14.5" customHeight="1" x14ac:dyDescent="0.35">
      <c r="A2779" t="s">
        <v>498</v>
      </c>
      <c r="B2779" t="s">
        <v>2082</v>
      </c>
      <c r="C2779" t="s">
        <v>929</v>
      </c>
      <c r="D2779">
        <v>3100349</v>
      </c>
      <c r="E2779">
        <v>3100454</v>
      </c>
      <c r="F2779" t="s">
        <v>2083</v>
      </c>
      <c r="G2779" t="s">
        <v>2083</v>
      </c>
      <c r="H2779" t="s">
        <v>111</v>
      </c>
      <c r="I2779">
        <v>6949696</v>
      </c>
      <c r="J2779" s="12">
        <v>46060</v>
      </c>
      <c r="K2779" s="12">
        <v>46060</v>
      </c>
      <c r="L2779" s="12">
        <v>46060</v>
      </c>
      <c r="M2779">
        <v>72</v>
      </c>
      <c r="N2779">
        <v>-26431927</v>
      </c>
      <c r="O2779">
        <v>-26431927</v>
      </c>
      <c r="P2779">
        <v>0</v>
      </c>
      <c r="Q2779">
        <v>0</v>
      </c>
      <c r="R2779">
        <v>0</v>
      </c>
      <c r="S2779">
        <v>-26431927</v>
      </c>
      <c r="T2779">
        <v>0</v>
      </c>
      <c r="U2779">
        <v>0</v>
      </c>
      <c r="V2779">
        <v>0</v>
      </c>
      <c r="W2779">
        <v>0</v>
      </c>
      <c r="X2779">
        <v>0</v>
      </c>
      <c r="Y2779" t="s">
        <v>929</v>
      </c>
      <c r="AA2779" t="s">
        <v>55</v>
      </c>
      <c r="AB2779" t="s">
        <v>51</v>
      </c>
      <c r="AC2779" t="s">
        <v>51</v>
      </c>
      <c r="AD2779" t="s">
        <v>51</v>
      </c>
      <c r="AE2779" t="s">
        <v>51</v>
      </c>
      <c r="AF2779" t="s">
        <v>534</v>
      </c>
    </row>
    <row r="2780" spans="1:32" ht="14.5" customHeight="1" x14ac:dyDescent="0.35">
      <c r="A2780" t="s">
        <v>498</v>
      </c>
      <c r="B2780" t="s">
        <v>2082</v>
      </c>
      <c r="C2780" t="s">
        <v>929</v>
      </c>
      <c r="D2780">
        <v>3100349</v>
      </c>
      <c r="E2780">
        <v>3100454</v>
      </c>
      <c r="F2780" t="s">
        <v>2083</v>
      </c>
      <c r="G2780" t="s">
        <v>2083</v>
      </c>
      <c r="H2780" t="s">
        <v>111</v>
      </c>
      <c r="I2780">
        <v>6949697</v>
      </c>
      <c r="J2780" s="12">
        <v>46060</v>
      </c>
      <c r="K2780" s="12">
        <v>46060</v>
      </c>
      <c r="L2780" s="12">
        <v>46060</v>
      </c>
      <c r="M2780">
        <v>72</v>
      </c>
      <c r="N2780">
        <v>-2906664</v>
      </c>
      <c r="O2780">
        <v>-2906664</v>
      </c>
      <c r="P2780">
        <v>0</v>
      </c>
      <c r="Q2780">
        <v>0</v>
      </c>
      <c r="R2780">
        <v>0</v>
      </c>
      <c r="S2780">
        <v>-2906664</v>
      </c>
      <c r="T2780">
        <v>0</v>
      </c>
      <c r="U2780">
        <v>0</v>
      </c>
      <c r="V2780">
        <v>0</v>
      </c>
      <c r="W2780">
        <v>0</v>
      </c>
      <c r="X2780">
        <v>0</v>
      </c>
      <c r="Y2780" t="s">
        <v>929</v>
      </c>
      <c r="AA2780" t="s">
        <v>55</v>
      </c>
      <c r="AB2780" t="s">
        <v>51</v>
      </c>
      <c r="AC2780" t="s">
        <v>51</v>
      </c>
      <c r="AD2780" t="s">
        <v>51</v>
      </c>
      <c r="AE2780" t="s">
        <v>51</v>
      </c>
      <c r="AF2780" t="s">
        <v>459</v>
      </c>
    </row>
    <row r="2781" spans="1:32" ht="14.5" customHeight="1" x14ac:dyDescent="0.35">
      <c r="A2781" t="s">
        <v>498</v>
      </c>
      <c r="B2781" t="s">
        <v>2082</v>
      </c>
      <c r="C2781" t="s">
        <v>929</v>
      </c>
      <c r="D2781">
        <v>3100349</v>
      </c>
      <c r="E2781">
        <v>3100454</v>
      </c>
      <c r="F2781" t="s">
        <v>2083</v>
      </c>
      <c r="G2781" t="s">
        <v>2083</v>
      </c>
      <c r="H2781" t="s">
        <v>111</v>
      </c>
      <c r="I2781">
        <v>6949698</v>
      </c>
      <c r="J2781" s="12">
        <v>46060</v>
      </c>
      <c r="K2781" s="12">
        <v>46060</v>
      </c>
      <c r="L2781" s="12">
        <v>46060</v>
      </c>
      <c r="M2781">
        <v>72</v>
      </c>
      <c r="N2781">
        <v>-13733453</v>
      </c>
      <c r="O2781">
        <v>-13733453</v>
      </c>
      <c r="P2781">
        <v>0</v>
      </c>
      <c r="Q2781">
        <v>0</v>
      </c>
      <c r="R2781">
        <v>0</v>
      </c>
      <c r="S2781">
        <v>-13733453</v>
      </c>
      <c r="T2781">
        <v>0</v>
      </c>
      <c r="U2781">
        <v>0</v>
      </c>
      <c r="V2781">
        <v>0</v>
      </c>
      <c r="W2781">
        <v>0</v>
      </c>
      <c r="X2781">
        <v>0</v>
      </c>
      <c r="Y2781" t="s">
        <v>929</v>
      </c>
      <c r="AA2781" t="s">
        <v>55</v>
      </c>
      <c r="AB2781" t="s">
        <v>51</v>
      </c>
      <c r="AC2781" t="s">
        <v>51</v>
      </c>
      <c r="AD2781" t="s">
        <v>51</v>
      </c>
      <c r="AE2781" t="s">
        <v>51</v>
      </c>
      <c r="AF2781" t="s">
        <v>942</v>
      </c>
    </row>
    <row r="2782" spans="1:32" ht="14.5" customHeight="1" x14ac:dyDescent="0.35">
      <c r="A2782" t="s">
        <v>498</v>
      </c>
      <c r="B2782" t="s">
        <v>2082</v>
      </c>
      <c r="C2782" t="s">
        <v>47</v>
      </c>
      <c r="D2782">
        <v>3100349</v>
      </c>
      <c r="E2782">
        <v>3100349</v>
      </c>
      <c r="F2782" t="s">
        <v>2083</v>
      </c>
      <c r="G2782" t="s">
        <v>2083</v>
      </c>
      <c r="H2782" t="s">
        <v>54</v>
      </c>
      <c r="I2782">
        <v>6950960</v>
      </c>
      <c r="J2782" s="12">
        <v>46069</v>
      </c>
      <c r="K2782" s="12">
        <v>46069</v>
      </c>
      <c r="L2782" s="12">
        <v>46069</v>
      </c>
      <c r="M2782">
        <v>63</v>
      </c>
      <c r="N2782">
        <v>-3657954</v>
      </c>
      <c r="O2782">
        <v>-3657954</v>
      </c>
      <c r="P2782">
        <v>0</v>
      </c>
      <c r="Q2782">
        <v>0</v>
      </c>
      <c r="R2782">
        <v>0</v>
      </c>
      <c r="S2782">
        <v>-3657954</v>
      </c>
      <c r="T2782">
        <v>0</v>
      </c>
      <c r="U2782">
        <v>0</v>
      </c>
      <c r="V2782">
        <v>0</v>
      </c>
      <c r="W2782">
        <v>0</v>
      </c>
      <c r="X2782">
        <v>0</v>
      </c>
      <c r="Y2782" t="s">
        <v>47</v>
      </c>
      <c r="AA2782" t="s">
        <v>55</v>
      </c>
      <c r="AB2782" t="s">
        <v>51</v>
      </c>
      <c r="AC2782" t="s">
        <v>51</v>
      </c>
      <c r="AD2782" t="s">
        <v>51</v>
      </c>
      <c r="AE2782" t="s">
        <v>51</v>
      </c>
      <c r="AF2782" t="s">
        <v>106</v>
      </c>
    </row>
    <row r="2783" spans="1:32" ht="14.5" customHeight="1" x14ac:dyDescent="0.35">
      <c r="A2783" t="s">
        <v>498</v>
      </c>
      <c r="B2783" t="s">
        <v>2082</v>
      </c>
      <c r="C2783" t="s">
        <v>47</v>
      </c>
      <c r="D2783">
        <v>3100349</v>
      </c>
      <c r="E2783">
        <v>3100349</v>
      </c>
      <c r="F2783" t="s">
        <v>2083</v>
      </c>
      <c r="G2783" t="s">
        <v>2083</v>
      </c>
      <c r="H2783" t="s">
        <v>54</v>
      </c>
      <c r="I2783">
        <v>6951195</v>
      </c>
      <c r="J2783" s="12">
        <v>46069</v>
      </c>
      <c r="K2783" s="12">
        <v>46069</v>
      </c>
      <c r="L2783" s="12">
        <v>46069</v>
      </c>
      <c r="M2783">
        <v>63</v>
      </c>
      <c r="N2783">
        <v>-573750</v>
      </c>
      <c r="O2783">
        <v>-573750</v>
      </c>
      <c r="P2783">
        <v>0</v>
      </c>
      <c r="Q2783">
        <v>0</v>
      </c>
      <c r="R2783">
        <v>0</v>
      </c>
      <c r="S2783">
        <v>-573750</v>
      </c>
      <c r="T2783">
        <v>0</v>
      </c>
      <c r="U2783">
        <v>0</v>
      </c>
      <c r="V2783">
        <v>0</v>
      </c>
      <c r="W2783">
        <v>0</v>
      </c>
      <c r="X2783">
        <v>0</v>
      </c>
      <c r="Y2783" t="s">
        <v>47</v>
      </c>
      <c r="AA2783" t="s">
        <v>55</v>
      </c>
      <c r="AB2783" t="s">
        <v>51</v>
      </c>
      <c r="AC2783" t="s">
        <v>51</v>
      </c>
      <c r="AD2783" t="s">
        <v>51</v>
      </c>
      <c r="AE2783" t="s">
        <v>51</v>
      </c>
      <c r="AF2783" t="s">
        <v>2090</v>
      </c>
    </row>
    <row r="2784" spans="1:32" ht="14.5" customHeight="1" x14ac:dyDescent="0.35">
      <c r="A2784" t="s">
        <v>498</v>
      </c>
      <c r="B2784" t="s">
        <v>2082</v>
      </c>
      <c r="C2784" t="s">
        <v>47</v>
      </c>
      <c r="D2784">
        <v>3100349</v>
      </c>
      <c r="E2784">
        <v>3100349</v>
      </c>
      <c r="F2784" t="s">
        <v>2083</v>
      </c>
      <c r="G2784" t="s">
        <v>2083</v>
      </c>
      <c r="H2784" t="s">
        <v>140</v>
      </c>
      <c r="I2784">
        <v>9904621</v>
      </c>
      <c r="J2784" s="12">
        <v>46069</v>
      </c>
      <c r="K2784" s="12">
        <v>46069</v>
      </c>
      <c r="L2784" s="12">
        <v>46114</v>
      </c>
      <c r="M2784">
        <v>18</v>
      </c>
      <c r="N2784">
        <v>38388</v>
      </c>
      <c r="O2784">
        <v>0</v>
      </c>
      <c r="P2784">
        <v>0</v>
      </c>
      <c r="Q2784">
        <v>38388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 t="s">
        <v>47</v>
      </c>
      <c r="AA2784" t="s">
        <v>55</v>
      </c>
      <c r="AB2784" t="s">
        <v>51</v>
      </c>
      <c r="AC2784" t="s">
        <v>51</v>
      </c>
      <c r="AD2784" t="s">
        <v>51</v>
      </c>
      <c r="AE2784" t="s">
        <v>51</v>
      </c>
      <c r="AF2784" t="s">
        <v>341</v>
      </c>
    </row>
    <row r="2785" spans="1:32" ht="14.5" customHeight="1" x14ac:dyDescent="0.35">
      <c r="A2785" t="s">
        <v>498</v>
      </c>
      <c r="B2785" t="s">
        <v>2082</v>
      </c>
      <c r="C2785" t="s">
        <v>929</v>
      </c>
      <c r="D2785">
        <v>3100383</v>
      </c>
      <c r="E2785">
        <v>3100635</v>
      </c>
      <c r="F2785" t="s">
        <v>2091</v>
      </c>
      <c r="G2785" t="s">
        <v>2091</v>
      </c>
      <c r="H2785" t="s">
        <v>111</v>
      </c>
      <c r="I2785">
        <v>6957498</v>
      </c>
      <c r="J2785" s="12">
        <v>46107</v>
      </c>
      <c r="K2785" s="12">
        <v>46107</v>
      </c>
      <c r="L2785" s="12">
        <v>46107</v>
      </c>
      <c r="M2785">
        <v>25</v>
      </c>
      <c r="N2785">
        <v>-3672244</v>
      </c>
      <c r="O2785">
        <v>-3672244</v>
      </c>
      <c r="P2785">
        <v>0</v>
      </c>
      <c r="Q2785">
        <v>-3672244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 t="s">
        <v>929</v>
      </c>
      <c r="AA2785" t="s">
        <v>501</v>
      </c>
      <c r="AB2785" t="s">
        <v>51</v>
      </c>
      <c r="AC2785" t="s">
        <v>51</v>
      </c>
      <c r="AD2785" t="s">
        <v>51</v>
      </c>
      <c r="AE2785" t="s">
        <v>51</v>
      </c>
      <c r="AF2785" t="s">
        <v>1771</v>
      </c>
    </row>
    <row r="2786" spans="1:32" ht="14.5" customHeight="1" x14ac:dyDescent="0.35">
      <c r="A2786" t="s">
        <v>498</v>
      </c>
      <c r="B2786" t="s">
        <v>2082</v>
      </c>
      <c r="C2786" t="s">
        <v>929</v>
      </c>
      <c r="D2786">
        <v>3100383</v>
      </c>
      <c r="E2786">
        <v>3100635</v>
      </c>
      <c r="F2786" t="s">
        <v>2091</v>
      </c>
      <c r="G2786" t="s">
        <v>2091</v>
      </c>
      <c r="H2786" t="s">
        <v>111</v>
      </c>
      <c r="I2786">
        <v>6957661</v>
      </c>
      <c r="J2786" s="12">
        <v>46111</v>
      </c>
      <c r="K2786" s="12">
        <v>46111</v>
      </c>
      <c r="L2786" s="12">
        <v>46111</v>
      </c>
      <c r="M2786">
        <v>21</v>
      </c>
      <c r="N2786">
        <v>-983123</v>
      </c>
      <c r="O2786">
        <v>-983123</v>
      </c>
      <c r="P2786">
        <v>0</v>
      </c>
      <c r="Q2786">
        <v>-983123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 t="s">
        <v>929</v>
      </c>
      <c r="AA2786" t="s">
        <v>501</v>
      </c>
      <c r="AB2786" t="s">
        <v>51</v>
      </c>
      <c r="AC2786" t="s">
        <v>51</v>
      </c>
      <c r="AD2786" t="s">
        <v>51</v>
      </c>
      <c r="AE2786" t="s">
        <v>51</v>
      </c>
      <c r="AF2786" t="s">
        <v>2092</v>
      </c>
    </row>
    <row r="2787" spans="1:32" ht="14.5" customHeight="1" x14ac:dyDescent="0.35">
      <c r="A2787" t="s">
        <v>498</v>
      </c>
      <c r="B2787" t="s">
        <v>2082</v>
      </c>
      <c r="C2787" t="s">
        <v>929</v>
      </c>
      <c r="D2787">
        <v>3100383</v>
      </c>
      <c r="E2787">
        <v>3100635</v>
      </c>
      <c r="F2787" t="s">
        <v>2091</v>
      </c>
      <c r="G2787" t="s">
        <v>2091</v>
      </c>
      <c r="H2787" t="s">
        <v>111</v>
      </c>
      <c r="I2787">
        <v>6957909</v>
      </c>
      <c r="J2787" s="12">
        <v>46116</v>
      </c>
      <c r="K2787" s="12">
        <v>46116</v>
      </c>
      <c r="L2787" s="12">
        <v>46116</v>
      </c>
      <c r="M2787">
        <v>16</v>
      </c>
      <c r="N2787">
        <v>-815131</v>
      </c>
      <c r="O2787">
        <v>-815131</v>
      </c>
      <c r="P2787">
        <v>0</v>
      </c>
      <c r="Q2787">
        <v>-815131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 t="s">
        <v>929</v>
      </c>
      <c r="AA2787" t="s">
        <v>501</v>
      </c>
      <c r="AB2787" t="s">
        <v>51</v>
      </c>
      <c r="AC2787" t="s">
        <v>51</v>
      </c>
      <c r="AD2787" t="s">
        <v>51</v>
      </c>
      <c r="AE2787" t="s">
        <v>51</v>
      </c>
      <c r="AF2787" t="s">
        <v>487</v>
      </c>
    </row>
    <row r="2788" spans="1:32" ht="14.5" customHeight="1" x14ac:dyDescent="0.35">
      <c r="A2788" t="s">
        <v>498</v>
      </c>
      <c r="B2788" t="s">
        <v>2082</v>
      </c>
      <c r="C2788" t="s">
        <v>929</v>
      </c>
      <c r="D2788">
        <v>3100383</v>
      </c>
      <c r="E2788">
        <v>3100635</v>
      </c>
      <c r="F2788" t="s">
        <v>2091</v>
      </c>
      <c r="G2788" t="s">
        <v>2091</v>
      </c>
      <c r="H2788" t="s">
        <v>111</v>
      </c>
      <c r="I2788">
        <v>6958099</v>
      </c>
      <c r="J2788" s="12">
        <v>46119</v>
      </c>
      <c r="K2788" s="12">
        <v>46119</v>
      </c>
      <c r="L2788" s="12">
        <v>46119</v>
      </c>
      <c r="M2788">
        <v>13</v>
      </c>
      <c r="N2788">
        <v>-1985872</v>
      </c>
      <c r="O2788">
        <v>-1985872</v>
      </c>
      <c r="P2788">
        <v>0</v>
      </c>
      <c r="Q2788">
        <v>-1985872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 t="s">
        <v>929</v>
      </c>
      <c r="AA2788" t="s">
        <v>501</v>
      </c>
      <c r="AB2788" t="s">
        <v>51</v>
      </c>
      <c r="AC2788" t="s">
        <v>51</v>
      </c>
      <c r="AD2788" t="s">
        <v>51</v>
      </c>
      <c r="AE2788" t="s">
        <v>51</v>
      </c>
      <c r="AF2788" t="s">
        <v>1590</v>
      </c>
    </row>
    <row r="2789" spans="1:32" ht="14.5" customHeight="1" x14ac:dyDescent="0.35">
      <c r="A2789" t="s">
        <v>498</v>
      </c>
      <c r="B2789" t="s">
        <v>2082</v>
      </c>
      <c r="C2789" t="s">
        <v>47</v>
      </c>
      <c r="D2789">
        <v>3100383</v>
      </c>
      <c r="E2789">
        <v>3100383</v>
      </c>
      <c r="F2789" t="s">
        <v>2091</v>
      </c>
      <c r="G2789" t="s">
        <v>2091</v>
      </c>
      <c r="H2789" t="s">
        <v>54</v>
      </c>
      <c r="I2789">
        <v>6958484</v>
      </c>
      <c r="J2789" s="12">
        <v>46121</v>
      </c>
      <c r="K2789" s="12">
        <v>46121</v>
      </c>
      <c r="L2789" s="12">
        <v>46121</v>
      </c>
      <c r="M2789">
        <v>11</v>
      </c>
      <c r="N2789">
        <v>-7749004</v>
      </c>
      <c r="O2789">
        <v>-7749004</v>
      </c>
      <c r="P2789">
        <v>0</v>
      </c>
      <c r="Q2789">
        <v>-7749004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 t="s">
        <v>47</v>
      </c>
      <c r="AA2789" t="s">
        <v>501</v>
      </c>
      <c r="AB2789" t="s">
        <v>51</v>
      </c>
      <c r="AC2789" t="s">
        <v>51</v>
      </c>
      <c r="AD2789" t="s">
        <v>51</v>
      </c>
      <c r="AE2789" t="s">
        <v>51</v>
      </c>
      <c r="AF2789" t="s">
        <v>946</v>
      </c>
    </row>
    <row r="2790" spans="1:32" ht="14.5" customHeight="1" x14ac:dyDescent="0.35">
      <c r="A2790" t="s">
        <v>498</v>
      </c>
      <c r="B2790" t="s">
        <v>2082</v>
      </c>
      <c r="C2790" t="s">
        <v>929</v>
      </c>
      <c r="D2790">
        <v>3100383</v>
      </c>
      <c r="E2790">
        <v>3100635</v>
      </c>
      <c r="F2790" t="s">
        <v>2091</v>
      </c>
      <c r="G2790" t="s">
        <v>2091</v>
      </c>
      <c r="H2790" t="s">
        <v>111</v>
      </c>
      <c r="I2790">
        <v>6958908</v>
      </c>
      <c r="J2790" s="12">
        <v>46125</v>
      </c>
      <c r="K2790" s="12">
        <v>46125</v>
      </c>
      <c r="L2790" s="12">
        <v>46125</v>
      </c>
      <c r="M2790">
        <v>7</v>
      </c>
      <c r="N2790">
        <v>-257183</v>
      </c>
      <c r="O2790">
        <v>-257183</v>
      </c>
      <c r="P2790">
        <v>0</v>
      </c>
      <c r="Q2790">
        <v>-257183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 t="s">
        <v>929</v>
      </c>
      <c r="AA2790" t="s">
        <v>501</v>
      </c>
      <c r="AB2790" t="s">
        <v>51</v>
      </c>
      <c r="AC2790" t="s">
        <v>51</v>
      </c>
      <c r="AD2790" t="s">
        <v>51</v>
      </c>
      <c r="AE2790" t="s">
        <v>51</v>
      </c>
      <c r="AF2790" t="s">
        <v>865</v>
      </c>
    </row>
    <row r="2791" spans="1:32" ht="14.5" customHeight="1" x14ac:dyDescent="0.35">
      <c r="A2791" t="s">
        <v>498</v>
      </c>
      <c r="B2791" t="s">
        <v>2082</v>
      </c>
      <c r="C2791" t="s">
        <v>47</v>
      </c>
      <c r="D2791">
        <v>3100383</v>
      </c>
      <c r="E2791">
        <v>3100383</v>
      </c>
      <c r="F2791" t="s">
        <v>2091</v>
      </c>
      <c r="G2791" t="s">
        <v>2091</v>
      </c>
      <c r="H2791" t="s">
        <v>54</v>
      </c>
      <c r="I2791">
        <v>6960080</v>
      </c>
      <c r="J2791" s="12">
        <v>46130</v>
      </c>
      <c r="K2791" s="12">
        <v>46130</v>
      </c>
      <c r="L2791" s="12">
        <v>46130</v>
      </c>
      <c r="M2791">
        <v>2</v>
      </c>
      <c r="N2791">
        <v>-143474349</v>
      </c>
      <c r="O2791">
        <v>-143474349</v>
      </c>
      <c r="P2791">
        <v>0</v>
      </c>
      <c r="Q2791">
        <v>-143474349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 t="s">
        <v>47</v>
      </c>
      <c r="AA2791" t="s">
        <v>501</v>
      </c>
      <c r="AB2791" t="s">
        <v>51</v>
      </c>
      <c r="AC2791" t="s">
        <v>51</v>
      </c>
      <c r="AD2791" t="s">
        <v>51</v>
      </c>
      <c r="AE2791" t="s">
        <v>51</v>
      </c>
      <c r="AF2791" t="s">
        <v>56</v>
      </c>
    </row>
    <row r="2792" spans="1:32" ht="14.5" customHeight="1" x14ac:dyDescent="0.35">
      <c r="A2792" t="s">
        <v>498</v>
      </c>
      <c r="B2792" t="s">
        <v>2082</v>
      </c>
      <c r="C2792" t="s">
        <v>47</v>
      </c>
      <c r="D2792">
        <v>3100383</v>
      </c>
      <c r="E2792">
        <v>3100383</v>
      </c>
      <c r="F2792" t="s">
        <v>2091</v>
      </c>
      <c r="G2792" t="s">
        <v>2091</v>
      </c>
      <c r="H2792" t="s">
        <v>54</v>
      </c>
      <c r="I2792">
        <v>9910808</v>
      </c>
      <c r="J2792" s="12">
        <v>46084</v>
      </c>
      <c r="K2792" s="12">
        <v>46084</v>
      </c>
      <c r="L2792" s="12">
        <v>46148</v>
      </c>
      <c r="M2792">
        <v>-16</v>
      </c>
      <c r="N2792">
        <v>114677981</v>
      </c>
      <c r="O2792">
        <v>0</v>
      </c>
      <c r="P2792">
        <v>114677981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 t="s">
        <v>47</v>
      </c>
      <c r="Z2792" s="12">
        <v>46118</v>
      </c>
      <c r="AA2792" t="s">
        <v>501</v>
      </c>
      <c r="AB2792" t="s">
        <v>51</v>
      </c>
      <c r="AC2792" t="s">
        <v>51</v>
      </c>
      <c r="AD2792" t="s">
        <v>51</v>
      </c>
      <c r="AE2792" t="s">
        <v>2093</v>
      </c>
      <c r="AF2792" t="s">
        <v>752</v>
      </c>
    </row>
    <row r="2793" spans="1:32" ht="14.5" customHeight="1" x14ac:dyDescent="0.35">
      <c r="A2793" t="s">
        <v>498</v>
      </c>
      <c r="B2793" t="s">
        <v>2082</v>
      </c>
      <c r="C2793" t="s">
        <v>47</v>
      </c>
      <c r="D2793">
        <v>3100383</v>
      </c>
      <c r="E2793">
        <v>3100383</v>
      </c>
      <c r="F2793" t="s">
        <v>2091</v>
      </c>
      <c r="G2793" t="s">
        <v>2091</v>
      </c>
      <c r="H2793" t="s">
        <v>54</v>
      </c>
      <c r="I2793">
        <v>9910809</v>
      </c>
      <c r="J2793" s="12">
        <v>46084</v>
      </c>
      <c r="K2793" s="12">
        <v>46084</v>
      </c>
      <c r="L2793" s="12">
        <v>46148</v>
      </c>
      <c r="M2793">
        <v>-16</v>
      </c>
      <c r="N2793">
        <v>408943953</v>
      </c>
      <c r="O2793">
        <v>0</v>
      </c>
      <c r="P2793">
        <v>408943953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 t="s">
        <v>47</v>
      </c>
      <c r="Z2793" s="12">
        <v>46118</v>
      </c>
      <c r="AA2793" t="s">
        <v>501</v>
      </c>
      <c r="AB2793" t="s">
        <v>51</v>
      </c>
      <c r="AC2793" t="s">
        <v>51</v>
      </c>
      <c r="AD2793" t="s">
        <v>51</v>
      </c>
      <c r="AE2793" t="s">
        <v>2094</v>
      </c>
      <c r="AF2793" t="s">
        <v>62</v>
      </c>
    </row>
    <row r="2794" spans="1:32" ht="14.5" customHeight="1" x14ac:dyDescent="0.35">
      <c r="A2794" t="s">
        <v>498</v>
      </c>
      <c r="B2794" t="s">
        <v>2082</v>
      </c>
      <c r="C2794" t="s">
        <v>929</v>
      </c>
      <c r="D2794">
        <v>3100383</v>
      </c>
      <c r="E2794">
        <v>3100635</v>
      </c>
      <c r="F2794" t="s">
        <v>2091</v>
      </c>
      <c r="G2794" t="s">
        <v>2091</v>
      </c>
      <c r="H2794" t="s">
        <v>54</v>
      </c>
      <c r="I2794">
        <v>9917301</v>
      </c>
      <c r="J2794" s="12">
        <v>46105</v>
      </c>
      <c r="K2794" s="12">
        <v>46105</v>
      </c>
      <c r="L2794" s="12">
        <v>46135</v>
      </c>
      <c r="M2794">
        <v>-3</v>
      </c>
      <c r="N2794">
        <v>142771266</v>
      </c>
      <c r="O2794">
        <v>0</v>
      </c>
      <c r="P2794">
        <v>142771266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 t="s">
        <v>929</v>
      </c>
      <c r="Z2794" s="12">
        <v>46105</v>
      </c>
      <c r="AA2794" t="s">
        <v>501</v>
      </c>
      <c r="AB2794" t="s">
        <v>51</v>
      </c>
      <c r="AC2794" t="s">
        <v>2095</v>
      </c>
      <c r="AD2794" t="s">
        <v>51</v>
      </c>
      <c r="AE2794" t="s">
        <v>51</v>
      </c>
      <c r="AF2794" t="s">
        <v>788</v>
      </c>
    </row>
    <row r="2795" spans="1:32" ht="14.5" customHeight="1" x14ac:dyDescent="0.35">
      <c r="A2795" t="s">
        <v>498</v>
      </c>
      <c r="B2795" t="s">
        <v>2082</v>
      </c>
      <c r="C2795" t="s">
        <v>929</v>
      </c>
      <c r="D2795">
        <v>3100383</v>
      </c>
      <c r="E2795">
        <v>3100635</v>
      </c>
      <c r="F2795" t="s">
        <v>2091</v>
      </c>
      <c r="G2795" t="s">
        <v>2091</v>
      </c>
      <c r="H2795" t="s">
        <v>54</v>
      </c>
      <c r="I2795">
        <v>9921106</v>
      </c>
      <c r="J2795" s="12">
        <v>46112</v>
      </c>
      <c r="K2795" s="12">
        <v>46112</v>
      </c>
      <c r="L2795" s="12">
        <v>46143</v>
      </c>
      <c r="M2795">
        <v>-11</v>
      </c>
      <c r="N2795">
        <v>258414161</v>
      </c>
      <c r="O2795">
        <v>0</v>
      </c>
      <c r="P2795">
        <v>258414161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 t="s">
        <v>929</v>
      </c>
      <c r="Z2795" s="12">
        <v>46113</v>
      </c>
      <c r="AA2795" t="s">
        <v>501</v>
      </c>
      <c r="AB2795" t="s">
        <v>51</v>
      </c>
      <c r="AC2795" t="s">
        <v>51</v>
      </c>
      <c r="AD2795" t="s">
        <v>2096</v>
      </c>
      <c r="AE2795" t="s">
        <v>51</v>
      </c>
      <c r="AF2795" t="s">
        <v>920</v>
      </c>
    </row>
    <row r="2796" spans="1:32" ht="14.5" customHeight="1" x14ac:dyDescent="0.35">
      <c r="A2796" t="s">
        <v>498</v>
      </c>
      <c r="B2796" t="s">
        <v>2082</v>
      </c>
      <c r="C2796" t="s">
        <v>929</v>
      </c>
      <c r="D2796">
        <v>3100383</v>
      </c>
      <c r="E2796">
        <v>3100635</v>
      </c>
      <c r="F2796" t="s">
        <v>2091</v>
      </c>
      <c r="G2796" t="s">
        <v>2091</v>
      </c>
      <c r="H2796" t="s">
        <v>54</v>
      </c>
      <c r="I2796">
        <v>9923503</v>
      </c>
      <c r="J2796" s="12">
        <v>46122</v>
      </c>
      <c r="K2796" s="12">
        <v>46122</v>
      </c>
      <c r="L2796" s="12">
        <v>46153</v>
      </c>
      <c r="M2796">
        <v>-21</v>
      </c>
      <c r="N2796">
        <v>485678722</v>
      </c>
      <c r="O2796">
        <v>0</v>
      </c>
      <c r="P2796">
        <v>485678722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 t="s">
        <v>929</v>
      </c>
      <c r="Z2796" s="12">
        <v>46123</v>
      </c>
      <c r="AA2796" t="s">
        <v>501</v>
      </c>
      <c r="AB2796" t="s">
        <v>51</v>
      </c>
      <c r="AC2796" t="s">
        <v>51</v>
      </c>
      <c r="AD2796" t="s">
        <v>51</v>
      </c>
      <c r="AE2796" t="s">
        <v>2097</v>
      </c>
      <c r="AF2796" t="s">
        <v>69</v>
      </c>
    </row>
    <row r="2797" spans="1:32" ht="14.5" customHeight="1" x14ac:dyDescent="0.35">
      <c r="A2797" t="s">
        <v>498</v>
      </c>
      <c r="B2797" t="s">
        <v>2082</v>
      </c>
      <c r="C2797" t="s">
        <v>929</v>
      </c>
      <c r="D2797">
        <v>3100383</v>
      </c>
      <c r="E2797">
        <v>3100635</v>
      </c>
      <c r="F2797" t="s">
        <v>2091</v>
      </c>
      <c r="G2797" t="s">
        <v>2091</v>
      </c>
      <c r="H2797" t="s">
        <v>54</v>
      </c>
      <c r="I2797">
        <v>9925584</v>
      </c>
      <c r="J2797" s="12">
        <v>46127</v>
      </c>
      <c r="K2797" s="12">
        <v>46127</v>
      </c>
      <c r="L2797" s="12">
        <v>46158</v>
      </c>
      <c r="M2797">
        <v>-26</v>
      </c>
      <c r="N2797">
        <v>149493051</v>
      </c>
      <c r="O2797">
        <v>0</v>
      </c>
      <c r="P2797">
        <v>149493051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 t="s">
        <v>929</v>
      </c>
      <c r="AA2797" t="s">
        <v>501</v>
      </c>
      <c r="AB2797" t="s">
        <v>51</v>
      </c>
      <c r="AC2797" t="s">
        <v>51</v>
      </c>
      <c r="AD2797" t="s">
        <v>51</v>
      </c>
      <c r="AE2797" t="s">
        <v>2098</v>
      </c>
      <c r="AF2797" t="s">
        <v>752</v>
      </c>
    </row>
    <row r="2798" spans="1:32" ht="14.5" customHeight="1" x14ac:dyDescent="0.35">
      <c r="A2798" t="s">
        <v>1593</v>
      </c>
      <c r="B2798" t="s">
        <v>2099</v>
      </c>
      <c r="C2798" t="s">
        <v>47</v>
      </c>
      <c r="D2798">
        <v>3100399</v>
      </c>
      <c r="E2798">
        <v>3100399</v>
      </c>
      <c r="F2798" t="s">
        <v>1677</v>
      </c>
      <c r="G2798" t="s">
        <v>1677</v>
      </c>
      <c r="H2798" t="s">
        <v>54</v>
      </c>
      <c r="I2798">
        <v>6959711</v>
      </c>
      <c r="J2798" s="12">
        <v>46127</v>
      </c>
      <c r="K2798" s="12">
        <v>46127</v>
      </c>
      <c r="L2798" s="12">
        <v>46127</v>
      </c>
      <c r="M2798">
        <v>5</v>
      </c>
      <c r="N2798">
        <v>-6698620</v>
      </c>
      <c r="O2798">
        <v>-6698620</v>
      </c>
      <c r="P2798">
        <v>0</v>
      </c>
      <c r="Q2798">
        <v>-6698620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 t="s">
        <v>47</v>
      </c>
      <c r="AA2798" t="s">
        <v>501</v>
      </c>
      <c r="AB2798" t="s">
        <v>51</v>
      </c>
      <c r="AC2798" t="s">
        <v>51</v>
      </c>
      <c r="AD2798" t="s">
        <v>51</v>
      </c>
      <c r="AE2798" t="s">
        <v>51</v>
      </c>
      <c r="AF2798" t="s">
        <v>2100</v>
      </c>
    </row>
    <row r="2799" spans="1:32" ht="14.5" customHeight="1" x14ac:dyDescent="0.35">
      <c r="A2799" t="s">
        <v>1593</v>
      </c>
      <c r="B2799" t="s">
        <v>2099</v>
      </c>
      <c r="C2799" t="s">
        <v>47</v>
      </c>
      <c r="D2799">
        <v>3100399</v>
      </c>
      <c r="E2799">
        <v>3100399</v>
      </c>
      <c r="F2799" t="s">
        <v>1677</v>
      </c>
      <c r="G2799" t="s">
        <v>1677</v>
      </c>
      <c r="H2799" t="s">
        <v>54</v>
      </c>
      <c r="I2799">
        <v>6959712</v>
      </c>
      <c r="J2799" s="12">
        <v>46127</v>
      </c>
      <c r="K2799" s="12">
        <v>46127</v>
      </c>
      <c r="L2799" s="12">
        <v>46127</v>
      </c>
      <c r="M2799">
        <v>5</v>
      </c>
      <c r="N2799">
        <v>-187927</v>
      </c>
      <c r="O2799">
        <v>-187927</v>
      </c>
      <c r="P2799">
        <v>0</v>
      </c>
      <c r="Q2799">
        <v>-187927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 t="s">
        <v>47</v>
      </c>
      <c r="AA2799" t="s">
        <v>501</v>
      </c>
      <c r="AB2799" t="s">
        <v>51</v>
      </c>
      <c r="AC2799" t="s">
        <v>51</v>
      </c>
      <c r="AD2799" t="s">
        <v>51</v>
      </c>
      <c r="AE2799" t="s">
        <v>51</v>
      </c>
      <c r="AF2799" t="s">
        <v>2100</v>
      </c>
    </row>
    <row r="2800" spans="1:32" ht="14.5" customHeight="1" x14ac:dyDescent="0.35">
      <c r="A2800" t="s">
        <v>1593</v>
      </c>
      <c r="B2800" t="s">
        <v>2099</v>
      </c>
      <c r="C2800" t="s">
        <v>47</v>
      </c>
      <c r="D2800">
        <v>3100399</v>
      </c>
      <c r="E2800">
        <v>3100399</v>
      </c>
      <c r="F2800" t="s">
        <v>1677</v>
      </c>
      <c r="G2800" t="s">
        <v>1677</v>
      </c>
      <c r="H2800" t="s">
        <v>54</v>
      </c>
      <c r="I2800">
        <v>6959713</v>
      </c>
      <c r="J2800" s="12">
        <v>46127</v>
      </c>
      <c r="K2800" s="12">
        <v>46127</v>
      </c>
      <c r="L2800" s="12">
        <v>46127</v>
      </c>
      <c r="M2800">
        <v>5</v>
      </c>
      <c r="N2800">
        <v>-1308000</v>
      </c>
      <c r="O2800">
        <v>-1308000</v>
      </c>
      <c r="P2800">
        <v>0</v>
      </c>
      <c r="Q2800">
        <v>-1308000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 t="s">
        <v>47</v>
      </c>
      <c r="AA2800" t="s">
        <v>501</v>
      </c>
      <c r="AB2800" t="s">
        <v>51</v>
      </c>
      <c r="AC2800" t="s">
        <v>51</v>
      </c>
      <c r="AD2800" t="s">
        <v>51</v>
      </c>
      <c r="AE2800" t="s">
        <v>51</v>
      </c>
      <c r="AF2800" t="s">
        <v>2101</v>
      </c>
    </row>
    <row r="2801" spans="1:32" ht="14.5" customHeight="1" x14ac:dyDescent="0.35">
      <c r="A2801" t="s">
        <v>1593</v>
      </c>
      <c r="B2801" t="s">
        <v>2099</v>
      </c>
      <c r="C2801" t="s">
        <v>60</v>
      </c>
      <c r="D2801">
        <v>3100399</v>
      </c>
      <c r="E2801">
        <v>3100522</v>
      </c>
      <c r="F2801" t="s">
        <v>1677</v>
      </c>
      <c r="G2801" t="s">
        <v>1677</v>
      </c>
      <c r="H2801" t="s">
        <v>111</v>
      </c>
      <c r="I2801">
        <v>6959790</v>
      </c>
      <c r="J2801" s="12">
        <v>46128</v>
      </c>
      <c r="K2801" s="12">
        <v>46128</v>
      </c>
      <c r="L2801" s="12">
        <v>46128</v>
      </c>
      <c r="M2801">
        <v>4</v>
      </c>
      <c r="N2801">
        <v>-1301737</v>
      </c>
      <c r="O2801">
        <v>-1301737</v>
      </c>
      <c r="P2801">
        <v>0</v>
      </c>
      <c r="Q2801">
        <v>-1301737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 t="s">
        <v>60</v>
      </c>
      <c r="AA2801" t="s">
        <v>501</v>
      </c>
      <c r="AB2801" t="s">
        <v>51</v>
      </c>
      <c r="AC2801" t="s">
        <v>51</v>
      </c>
      <c r="AD2801" t="s">
        <v>51</v>
      </c>
      <c r="AE2801" t="s">
        <v>51</v>
      </c>
      <c r="AF2801" t="s">
        <v>334</v>
      </c>
    </row>
    <row r="2802" spans="1:32" ht="14.5" customHeight="1" x14ac:dyDescent="0.35">
      <c r="A2802" t="s">
        <v>1593</v>
      </c>
      <c r="B2802" t="s">
        <v>2099</v>
      </c>
      <c r="C2802" t="s">
        <v>47</v>
      </c>
      <c r="D2802">
        <v>3100399</v>
      </c>
      <c r="E2802">
        <v>3100404</v>
      </c>
      <c r="F2802" t="s">
        <v>1677</v>
      </c>
      <c r="G2802" t="s">
        <v>1677</v>
      </c>
      <c r="H2802" t="s">
        <v>54</v>
      </c>
      <c r="I2802">
        <v>9912798</v>
      </c>
      <c r="J2802" s="12">
        <v>46090</v>
      </c>
      <c r="K2802" s="12">
        <v>46090</v>
      </c>
      <c r="L2802" s="12">
        <v>46125</v>
      </c>
      <c r="M2802">
        <v>7</v>
      </c>
      <c r="N2802">
        <v>149895129</v>
      </c>
      <c r="O2802">
        <v>0</v>
      </c>
      <c r="P2802">
        <v>0</v>
      </c>
      <c r="Q2802">
        <v>149895129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 t="s">
        <v>47</v>
      </c>
      <c r="AA2802" t="s">
        <v>501</v>
      </c>
      <c r="AB2802" t="s">
        <v>51</v>
      </c>
      <c r="AC2802" t="s">
        <v>51</v>
      </c>
      <c r="AD2802" t="s">
        <v>51</v>
      </c>
      <c r="AE2802" t="s">
        <v>51</v>
      </c>
      <c r="AF2802" t="s">
        <v>167</v>
      </c>
    </row>
    <row r="2803" spans="1:32" ht="14.5" customHeight="1" x14ac:dyDescent="0.35">
      <c r="A2803" t="s">
        <v>1593</v>
      </c>
      <c r="B2803" t="s">
        <v>2099</v>
      </c>
      <c r="C2803" t="s">
        <v>47</v>
      </c>
      <c r="D2803">
        <v>3100399</v>
      </c>
      <c r="E2803">
        <v>3100405</v>
      </c>
      <c r="F2803" t="s">
        <v>1677</v>
      </c>
      <c r="G2803" t="s">
        <v>1677</v>
      </c>
      <c r="H2803" t="s">
        <v>54</v>
      </c>
      <c r="I2803">
        <v>9913318</v>
      </c>
      <c r="J2803" s="12">
        <v>46091</v>
      </c>
      <c r="K2803" s="12">
        <v>46091</v>
      </c>
      <c r="L2803" s="12">
        <v>46126</v>
      </c>
      <c r="M2803">
        <v>6</v>
      </c>
      <c r="N2803">
        <v>521849597</v>
      </c>
      <c r="O2803">
        <v>0</v>
      </c>
      <c r="P2803">
        <v>0</v>
      </c>
      <c r="Q2803">
        <v>521849597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 t="s">
        <v>47</v>
      </c>
      <c r="AA2803" t="s">
        <v>501</v>
      </c>
      <c r="AB2803" t="s">
        <v>51</v>
      </c>
      <c r="AC2803" t="s">
        <v>51</v>
      </c>
      <c r="AD2803" t="s">
        <v>51</v>
      </c>
      <c r="AE2803" t="s">
        <v>51</v>
      </c>
      <c r="AF2803" t="s">
        <v>69</v>
      </c>
    </row>
    <row r="2804" spans="1:32" ht="14.5" customHeight="1" x14ac:dyDescent="0.35">
      <c r="A2804" t="s">
        <v>1593</v>
      </c>
      <c r="B2804" t="s">
        <v>2099</v>
      </c>
      <c r="C2804" t="s">
        <v>47</v>
      </c>
      <c r="D2804">
        <v>3100399</v>
      </c>
      <c r="E2804">
        <v>3100399</v>
      </c>
      <c r="F2804" t="s">
        <v>1677</v>
      </c>
      <c r="G2804" t="s">
        <v>1677</v>
      </c>
      <c r="H2804" t="s">
        <v>54</v>
      </c>
      <c r="I2804">
        <v>9913342</v>
      </c>
      <c r="J2804" s="12">
        <v>46091</v>
      </c>
      <c r="K2804" s="12">
        <v>46091</v>
      </c>
      <c r="L2804" s="12">
        <v>46126</v>
      </c>
      <c r="M2804">
        <v>6</v>
      </c>
      <c r="N2804">
        <v>881610901</v>
      </c>
      <c r="O2804">
        <v>0</v>
      </c>
      <c r="P2804">
        <v>0</v>
      </c>
      <c r="Q2804">
        <v>881610901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 t="s">
        <v>47</v>
      </c>
      <c r="AA2804" t="s">
        <v>501</v>
      </c>
      <c r="AB2804" t="s">
        <v>51</v>
      </c>
      <c r="AC2804" t="s">
        <v>51</v>
      </c>
      <c r="AD2804" t="s">
        <v>51</v>
      </c>
      <c r="AE2804" t="s">
        <v>51</v>
      </c>
      <c r="AF2804" t="s">
        <v>62</v>
      </c>
    </row>
    <row r="2805" spans="1:32" ht="14.5" customHeight="1" x14ac:dyDescent="0.35">
      <c r="A2805" t="s">
        <v>1593</v>
      </c>
      <c r="B2805" t="s">
        <v>2099</v>
      </c>
      <c r="C2805" t="s">
        <v>47</v>
      </c>
      <c r="D2805">
        <v>3100399</v>
      </c>
      <c r="E2805">
        <v>3100399</v>
      </c>
      <c r="F2805" t="s">
        <v>1677</v>
      </c>
      <c r="G2805" t="s">
        <v>1677</v>
      </c>
      <c r="H2805" t="s">
        <v>54</v>
      </c>
      <c r="I2805">
        <v>9915605</v>
      </c>
      <c r="J2805" s="12">
        <v>46096</v>
      </c>
      <c r="K2805" s="12">
        <v>46096</v>
      </c>
      <c r="L2805" s="12">
        <v>46131</v>
      </c>
      <c r="M2805">
        <v>1</v>
      </c>
      <c r="N2805">
        <v>450833938</v>
      </c>
      <c r="O2805">
        <v>0</v>
      </c>
      <c r="P2805">
        <v>0</v>
      </c>
      <c r="Q2805">
        <v>450833938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 t="s">
        <v>47</v>
      </c>
      <c r="AA2805" t="s">
        <v>501</v>
      </c>
      <c r="AB2805" t="s">
        <v>51</v>
      </c>
      <c r="AC2805" t="s">
        <v>51</v>
      </c>
      <c r="AD2805" t="s">
        <v>51</v>
      </c>
      <c r="AE2805" t="s">
        <v>51</v>
      </c>
      <c r="AF2805" t="s">
        <v>1273</v>
      </c>
    </row>
    <row r="2806" spans="1:32" ht="14.5" customHeight="1" x14ac:dyDescent="0.35">
      <c r="A2806" t="s">
        <v>1593</v>
      </c>
      <c r="B2806" t="s">
        <v>2099</v>
      </c>
      <c r="C2806" t="s">
        <v>47</v>
      </c>
      <c r="D2806">
        <v>3100399</v>
      </c>
      <c r="E2806">
        <v>3100399</v>
      </c>
      <c r="F2806" t="s">
        <v>1677</v>
      </c>
      <c r="G2806" t="s">
        <v>1677</v>
      </c>
      <c r="H2806" t="s">
        <v>54</v>
      </c>
      <c r="I2806">
        <v>9915606</v>
      </c>
      <c r="J2806" s="12">
        <v>46096</v>
      </c>
      <c r="K2806" s="12">
        <v>46096</v>
      </c>
      <c r="L2806" s="12">
        <v>46131</v>
      </c>
      <c r="M2806">
        <v>1</v>
      </c>
      <c r="N2806">
        <v>1588170</v>
      </c>
      <c r="O2806">
        <v>0</v>
      </c>
      <c r="P2806">
        <v>0</v>
      </c>
      <c r="Q2806">
        <v>1588170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 t="s">
        <v>47</v>
      </c>
      <c r="AA2806" t="s">
        <v>501</v>
      </c>
      <c r="AB2806" t="s">
        <v>51</v>
      </c>
      <c r="AC2806" t="s">
        <v>51</v>
      </c>
      <c r="AD2806" t="s">
        <v>51</v>
      </c>
      <c r="AE2806" t="s">
        <v>51</v>
      </c>
      <c r="AF2806" t="s">
        <v>155</v>
      </c>
    </row>
    <row r="2807" spans="1:32" ht="14.5" customHeight="1" x14ac:dyDescent="0.35">
      <c r="A2807" t="s">
        <v>1593</v>
      </c>
      <c r="B2807" t="s">
        <v>2099</v>
      </c>
      <c r="C2807" t="s">
        <v>47</v>
      </c>
      <c r="D2807">
        <v>3100399</v>
      </c>
      <c r="E2807">
        <v>3100405</v>
      </c>
      <c r="F2807" t="s">
        <v>1677</v>
      </c>
      <c r="G2807" t="s">
        <v>1677</v>
      </c>
      <c r="H2807" t="s">
        <v>54</v>
      </c>
      <c r="I2807">
        <v>9915607</v>
      </c>
      <c r="J2807" s="12">
        <v>46096</v>
      </c>
      <c r="K2807" s="12">
        <v>46096</v>
      </c>
      <c r="L2807" s="12">
        <v>46131</v>
      </c>
      <c r="M2807">
        <v>1</v>
      </c>
      <c r="N2807">
        <v>237758295</v>
      </c>
      <c r="O2807">
        <v>0</v>
      </c>
      <c r="P2807">
        <v>0</v>
      </c>
      <c r="Q2807">
        <v>237758295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 t="s">
        <v>47</v>
      </c>
      <c r="AA2807" t="s">
        <v>501</v>
      </c>
      <c r="AB2807" t="s">
        <v>51</v>
      </c>
      <c r="AC2807" t="s">
        <v>51</v>
      </c>
      <c r="AD2807" t="s">
        <v>51</v>
      </c>
      <c r="AE2807" t="s">
        <v>51</v>
      </c>
      <c r="AF2807" t="s">
        <v>167</v>
      </c>
    </row>
    <row r="2808" spans="1:32" ht="14.5" customHeight="1" x14ac:dyDescent="0.35">
      <c r="A2808" t="s">
        <v>1593</v>
      </c>
      <c r="B2808" t="s">
        <v>2099</v>
      </c>
      <c r="C2808" t="s">
        <v>47</v>
      </c>
      <c r="D2808">
        <v>3100399</v>
      </c>
      <c r="E2808">
        <v>3100404</v>
      </c>
      <c r="F2808" t="s">
        <v>1677</v>
      </c>
      <c r="G2808" t="s">
        <v>1677</v>
      </c>
      <c r="H2808" t="s">
        <v>54</v>
      </c>
      <c r="I2808">
        <v>9919844</v>
      </c>
      <c r="J2808" s="12">
        <v>46110</v>
      </c>
      <c r="K2808" s="12">
        <v>46110</v>
      </c>
      <c r="L2808" s="12">
        <v>46145</v>
      </c>
      <c r="M2808">
        <v>-13</v>
      </c>
      <c r="N2808">
        <v>105301027</v>
      </c>
      <c r="O2808">
        <v>0</v>
      </c>
      <c r="P2808">
        <v>105301027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 t="s">
        <v>47</v>
      </c>
      <c r="AA2808" t="s">
        <v>501</v>
      </c>
      <c r="AB2808" t="s">
        <v>51</v>
      </c>
      <c r="AC2808" t="s">
        <v>51</v>
      </c>
      <c r="AD2808" t="s">
        <v>2102</v>
      </c>
      <c r="AE2808" t="s">
        <v>51</v>
      </c>
      <c r="AF2808" t="s">
        <v>183</v>
      </c>
    </row>
    <row r="2809" spans="1:32" ht="14.5" customHeight="1" x14ac:dyDescent="0.35">
      <c r="A2809" t="s">
        <v>1593</v>
      </c>
      <c r="B2809" t="s">
        <v>2099</v>
      </c>
      <c r="C2809" t="s">
        <v>47</v>
      </c>
      <c r="D2809">
        <v>3100399</v>
      </c>
      <c r="E2809">
        <v>3100405</v>
      </c>
      <c r="F2809" t="s">
        <v>1677</v>
      </c>
      <c r="G2809" t="s">
        <v>1677</v>
      </c>
      <c r="H2809" t="s">
        <v>54</v>
      </c>
      <c r="I2809">
        <v>9920320</v>
      </c>
      <c r="J2809" s="12">
        <v>46111</v>
      </c>
      <c r="K2809" s="12">
        <v>46111</v>
      </c>
      <c r="L2809" s="12">
        <v>46146</v>
      </c>
      <c r="M2809">
        <v>-14</v>
      </c>
      <c r="N2809">
        <v>206752153</v>
      </c>
      <c r="O2809">
        <v>0</v>
      </c>
      <c r="P2809">
        <v>206752153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 t="s">
        <v>47</v>
      </c>
      <c r="AA2809" t="s">
        <v>501</v>
      </c>
      <c r="AB2809" t="s">
        <v>51</v>
      </c>
      <c r="AC2809" t="s">
        <v>51</v>
      </c>
      <c r="AD2809" t="s">
        <v>2103</v>
      </c>
      <c r="AE2809" t="s">
        <v>51</v>
      </c>
      <c r="AF2809" t="s">
        <v>195</v>
      </c>
    </row>
    <row r="2810" spans="1:32" ht="14.5" customHeight="1" x14ac:dyDescent="0.35">
      <c r="A2810" t="s">
        <v>1593</v>
      </c>
      <c r="B2810" t="s">
        <v>2099</v>
      </c>
      <c r="C2810" t="s">
        <v>47</v>
      </c>
      <c r="D2810">
        <v>3100399</v>
      </c>
      <c r="E2810">
        <v>3100399</v>
      </c>
      <c r="F2810" t="s">
        <v>1677</v>
      </c>
      <c r="G2810" t="s">
        <v>1677</v>
      </c>
      <c r="H2810" t="s">
        <v>54</v>
      </c>
      <c r="I2810">
        <v>9921136</v>
      </c>
      <c r="J2810" s="12">
        <v>46112</v>
      </c>
      <c r="K2810" s="12">
        <v>46112</v>
      </c>
      <c r="L2810" s="12">
        <v>46147</v>
      </c>
      <c r="M2810">
        <v>-15</v>
      </c>
      <c r="N2810">
        <v>593675488</v>
      </c>
      <c r="O2810">
        <v>0</v>
      </c>
      <c r="P2810">
        <v>593675488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 t="s">
        <v>47</v>
      </c>
      <c r="AA2810" t="s">
        <v>501</v>
      </c>
      <c r="AB2810" t="s">
        <v>51</v>
      </c>
      <c r="AC2810" t="s">
        <v>51</v>
      </c>
      <c r="AD2810" t="s">
        <v>51</v>
      </c>
      <c r="AE2810" t="s">
        <v>2104</v>
      </c>
      <c r="AF2810" t="s">
        <v>468</v>
      </c>
    </row>
    <row r="2811" spans="1:32" ht="14.5" customHeight="1" x14ac:dyDescent="0.35">
      <c r="A2811" t="s">
        <v>1593</v>
      </c>
      <c r="B2811" t="s">
        <v>2099</v>
      </c>
      <c r="C2811" t="s">
        <v>60</v>
      </c>
      <c r="D2811">
        <v>3100399</v>
      </c>
      <c r="E2811">
        <v>3100522</v>
      </c>
      <c r="F2811" t="s">
        <v>1677</v>
      </c>
      <c r="G2811" t="s">
        <v>1677</v>
      </c>
      <c r="H2811" t="s">
        <v>54</v>
      </c>
      <c r="I2811">
        <v>9923317</v>
      </c>
      <c r="J2811" s="12">
        <v>46121</v>
      </c>
      <c r="K2811" s="12">
        <v>46121</v>
      </c>
      <c r="L2811" s="12">
        <v>46152</v>
      </c>
      <c r="M2811">
        <v>-20</v>
      </c>
      <c r="N2811">
        <v>94777603</v>
      </c>
      <c r="O2811">
        <v>0</v>
      </c>
      <c r="P2811">
        <v>94777603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 t="s">
        <v>60</v>
      </c>
      <c r="AA2811" t="s">
        <v>501</v>
      </c>
      <c r="AB2811" t="s">
        <v>51</v>
      </c>
      <c r="AC2811" t="s">
        <v>51</v>
      </c>
      <c r="AD2811" t="s">
        <v>51</v>
      </c>
      <c r="AE2811" t="s">
        <v>2105</v>
      </c>
      <c r="AF2811" t="s">
        <v>1692</v>
      </c>
    </row>
    <row r="2812" spans="1:32" ht="14.5" customHeight="1" x14ac:dyDescent="0.35">
      <c r="A2812" t="s">
        <v>1593</v>
      </c>
      <c r="B2812" t="s">
        <v>2099</v>
      </c>
      <c r="C2812" t="s">
        <v>60</v>
      </c>
      <c r="D2812">
        <v>3100399</v>
      </c>
      <c r="E2812">
        <v>3100523</v>
      </c>
      <c r="F2812" t="s">
        <v>1677</v>
      </c>
      <c r="G2812" t="s">
        <v>1677</v>
      </c>
      <c r="H2812" t="s">
        <v>54</v>
      </c>
      <c r="I2812">
        <v>9923321</v>
      </c>
      <c r="J2812" s="12">
        <v>46121</v>
      </c>
      <c r="K2812" s="12">
        <v>46121</v>
      </c>
      <c r="L2812" s="12">
        <v>46152</v>
      </c>
      <c r="M2812">
        <v>-20</v>
      </c>
      <c r="N2812">
        <v>57293296</v>
      </c>
      <c r="O2812">
        <v>0</v>
      </c>
      <c r="P2812">
        <v>57293296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 t="s">
        <v>60</v>
      </c>
      <c r="AA2812" t="s">
        <v>501</v>
      </c>
      <c r="AB2812" t="s">
        <v>51</v>
      </c>
      <c r="AC2812" t="s">
        <v>51</v>
      </c>
      <c r="AD2812" t="s">
        <v>51</v>
      </c>
      <c r="AE2812" t="s">
        <v>2106</v>
      </c>
      <c r="AF2812" t="s">
        <v>169</v>
      </c>
    </row>
    <row r="2813" spans="1:32" ht="14.5" customHeight="1" x14ac:dyDescent="0.35">
      <c r="A2813" t="s">
        <v>1593</v>
      </c>
      <c r="B2813" t="s">
        <v>2099</v>
      </c>
      <c r="C2813" t="s">
        <v>60</v>
      </c>
      <c r="D2813">
        <v>3100399</v>
      </c>
      <c r="E2813">
        <v>3100522</v>
      </c>
      <c r="F2813" t="s">
        <v>1677</v>
      </c>
      <c r="G2813" t="s">
        <v>1677</v>
      </c>
      <c r="H2813" t="s">
        <v>54</v>
      </c>
      <c r="I2813">
        <v>9925617</v>
      </c>
      <c r="J2813" s="12">
        <v>46127</v>
      </c>
      <c r="K2813" s="12">
        <v>46127</v>
      </c>
      <c r="L2813" s="12">
        <v>46158</v>
      </c>
      <c r="M2813">
        <v>-26</v>
      </c>
      <c r="N2813">
        <v>83311165</v>
      </c>
      <c r="O2813">
        <v>0</v>
      </c>
      <c r="P2813">
        <v>83311165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 t="s">
        <v>60</v>
      </c>
      <c r="AA2813" t="s">
        <v>501</v>
      </c>
      <c r="AB2813" t="s">
        <v>51</v>
      </c>
      <c r="AC2813" t="s">
        <v>51</v>
      </c>
      <c r="AD2813" t="s">
        <v>51</v>
      </c>
      <c r="AE2813" t="s">
        <v>2107</v>
      </c>
      <c r="AF2813" t="s">
        <v>334</v>
      </c>
    </row>
    <row r="2814" spans="1:32" ht="14.5" customHeight="1" x14ac:dyDescent="0.35">
      <c r="A2814" t="s">
        <v>1593</v>
      </c>
      <c r="B2814" t="s">
        <v>2099</v>
      </c>
      <c r="C2814" t="s">
        <v>60</v>
      </c>
      <c r="D2814">
        <v>3100399</v>
      </c>
      <c r="E2814">
        <v>3100524</v>
      </c>
      <c r="F2814" t="s">
        <v>1677</v>
      </c>
      <c r="G2814" t="s">
        <v>1677</v>
      </c>
      <c r="H2814" t="s">
        <v>54</v>
      </c>
      <c r="I2814">
        <v>9925618</v>
      </c>
      <c r="J2814" s="12">
        <v>46127</v>
      </c>
      <c r="K2814" s="12">
        <v>46127</v>
      </c>
      <c r="L2814" s="12">
        <v>46158</v>
      </c>
      <c r="M2814">
        <v>-26</v>
      </c>
      <c r="N2814">
        <v>116208979</v>
      </c>
      <c r="O2814">
        <v>0</v>
      </c>
      <c r="P2814">
        <v>116208979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 t="s">
        <v>60</v>
      </c>
      <c r="AA2814" t="s">
        <v>501</v>
      </c>
      <c r="AB2814" t="s">
        <v>51</v>
      </c>
      <c r="AC2814" t="s">
        <v>51</v>
      </c>
      <c r="AD2814" t="s">
        <v>51</v>
      </c>
      <c r="AE2814" t="s">
        <v>2108</v>
      </c>
      <c r="AF2814" t="s">
        <v>56</v>
      </c>
    </row>
    <row r="2815" spans="1:32" ht="14.5" customHeight="1" x14ac:dyDescent="0.35">
      <c r="A2815" t="s">
        <v>1593</v>
      </c>
      <c r="B2815" t="s">
        <v>2099</v>
      </c>
      <c r="C2815" t="s">
        <v>60</v>
      </c>
      <c r="D2815">
        <v>3100399</v>
      </c>
      <c r="E2815">
        <v>3100523</v>
      </c>
      <c r="F2815" t="s">
        <v>1677</v>
      </c>
      <c r="G2815" t="s">
        <v>1677</v>
      </c>
      <c r="H2815" t="s">
        <v>54</v>
      </c>
      <c r="I2815">
        <v>9925744</v>
      </c>
      <c r="J2815" s="12">
        <v>46127</v>
      </c>
      <c r="K2815" s="12">
        <v>46127</v>
      </c>
      <c r="L2815" s="12">
        <v>46158</v>
      </c>
      <c r="M2815">
        <v>-26</v>
      </c>
      <c r="N2815">
        <v>1588170</v>
      </c>
      <c r="O2815">
        <v>0</v>
      </c>
      <c r="P2815">
        <v>1588170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 t="s">
        <v>60</v>
      </c>
      <c r="AA2815" t="s">
        <v>501</v>
      </c>
      <c r="AB2815" t="s">
        <v>51</v>
      </c>
      <c r="AC2815" t="s">
        <v>51</v>
      </c>
      <c r="AD2815" t="s">
        <v>51</v>
      </c>
      <c r="AE2815" t="s">
        <v>416</v>
      </c>
      <c r="AF2815" t="s">
        <v>320</v>
      </c>
    </row>
    <row r="2816" spans="1:32" ht="14.5" customHeight="1" x14ac:dyDescent="0.35">
      <c r="A2816" t="s">
        <v>1593</v>
      </c>
      <c r="B2816" t="s">
        <v>2099</v>
      </c>
      <c r="C2816" t="s">
        <v>47</v>
      </c>
      <c r="D2816">
        <v>3100399</v>
      </c>
      <c r="E2816">
        <v>3100399</v>
      </c>
      <c r="F2816" t="s">
        <v>1677</v>
      </c>
      <c r="G2816" t="s">
        <v>1677</v>
      </c>
      <c r="H2816" t="s">
        <v>54</v>
      </c>
      <c r="I2816">
        <v>9927416</v>
      </c>
      <c r="J2816" s="12">
        <v>46130</v>
      </c>
      <c r="K2816" s="12">
        <v>46130</v>
      </c>
      <c r="L2816" s="12">
        <v>46165</v>
      </c>
      <c r="M2816">
        <v>-33</v>
      </c>
      <c r="N2816">
        <v>769277032</v>
      </c>
      <c r="O2816">
        <v>0</v>
      </c>
      <c r="P2816">
        <v>769277032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 t="s">
        <v>47</v>
      </c>
      <c r="AA2816" t="s">
        <v>501</v>
      </c>
      <c r="AB2816" t="s">
        <v>51</v>
      </c>
      <c r="AC2816" t="s">
        <v>51</v>
      </c>
      <c r="AD2816" t="s">
        <v>51</v>
      </c>
      <c r="AE2816" t="s">
        <v>2109</v>
      </c>
      <c r="AF2816" t="s">
        <v>2038</v>
      </c>
    </row>
    <row r="2817" spans="1:32" ht="14.5" customHeight="1" x14ac:dyDescent="0.35">
      <c r="A2817" t="s">
        <v>1593</v>
      </c>
      <c r="B2817" t="s">
        <v>2099</v>
      </c>
      <c r="C2817" t="s">
        <v>47</v>
      </c>
      <c r="D2817">
        <v>3100399</v>
      </c>
      <c r="E2817">
        <v>3100405</v>
      </c>
      <c r="F2817" t="s">
        <v>1677</v>
      </c>
      <c r="G2817" t="s">
        <v>1677</v>
      </c>
      <c r="H2817" t="s">
        <v>54</v>
      </c>
      <c r="I2817">
        <v>9927484</v>
      </c>
      <c r="J2817" s="12">
        <v>46130</v>
      </c>
      <c r="K2817" s="12">
        <v>46130</v>
      </c>
      <c r="L2817" s="12">
        <v>46165</v>
      </c>
      <c r="M2817">
        <v>-33</v>
      </c>
      <c r="N2817">
        <v>394383041</v>
      </c>
      <c r="O2817">
        <v>0</v>
      </c>
      <c r="P2817">
        <v>394383041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 t="s">
        <v>47</v>
      </c>
      <c r="AA2817" t="s">
        <v>501</v>
      </c>
      <c r="AB2817" t="s">
        <v>51</v>
      </c>
      <c r="AC2817" t="s">
        <v>51</v>
      </c>
      <c r="AD2817" t="s">
        <v>51</v>
      </c>
      <c r="AE2817" t="s">
        <v>2110</v>
      </c>
      <c r="AF2817" t="s">
        <v>1864</v>
      </c>
    </row>
    <row r="2818" spans="1:32" ht="14.5" customHeight="1" x14ac:dyDescent="0.35">
      <c r="A2818" t="s">
        <v>1593</v>
      </c>
      <c r="B2818" t="s">
        <v>2099</v>
      </c>
      <c r="C2818" t="s">
        <v>47</v>
      </c>
      <c r="D2818">
        <v>3100399</v>
      </c>
      <c r="E2818">
        <v>3100404</v>
      </c>
      <c r="F2818" t="s">
        <v>1677</v>
      </c>
      <c r="G2818" t="s">
        <v>1677</v>
      </c>
      <c r="H2818" t="s">
        <v>54</v>
      </c>
      <c r="I2818">
        <v>9927491</v>
      </c>
      <c r="J2818" s="12">
        <v>46130</v>
      </c>
      <c r="K2818" s="12">
        <v>46130</v>
      </c>
      <c r="L2818" s="12">
        <v>46165</v>
      </c>
      <c r="M2818">
        <v>-33</v>
      </c>
      <c r="N2818">
        <v>80813803</v>
      </c>
      <c r="O2818">
        <v>0</v>
      </c>
      <c r="P2818">
        <v>80813803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 t="s">
        <v>47</v>
      </c>
      <c r="AA2818" t="s">
        <v>501</v>
      </c>
      <c r="AB2818" t="s">
        <v>51</v>
      </c>
      <c r="AC2818" t="s">
        <v>51</v>
      </c>
      <c r="AD2818" t="s">
        <v>51</v>
      </c>
      <c r="AE2818" t="s">
        <v>2111</v>
      </c>
      <c r="AF2818" t="s">
        <v>153</v>
      </c>
    </row>
    <row r="2819" spans="1:32" ht="14.5" customHeight="1" x14ac:dyDescent="0.35">
      <c r="A2819" t="s">
        <v>498</v>
      </c>
      <c r="B2819" t="s">
        <v>546</v>
      </c>
      <c r="C2819" t="s">
        <v>47</v>
      </c>
      <c r="D2819">
        <v>3100440</v>
      </c>
      <c r="E2819">
        <v>3100441</v>
      </c>
      <c r="F2819" t="s">
        <v>2112</v>
      </c>
      <c r="G2819" t="s">
        <v>2112</v>
      </c>
      <c r="H2819" t="s">
        <v>54</v>
      </c>
      <c r="I2819">
        <v>6930345</v>
      </c>
      <c r="J2819" s="12">
        <v>45938</v>
      </c>
      <c r="K2819" s="12">
        <v>45938</v>
      </c>
      <c r="L2819" s="12">
        <v>45938</v>
      </c>
      <c r="M2819">
        <v>194</v>
      </c>
      <c r="N2819">
        <v>-6348930</v>
      </c>
      <c r="O2819">
        <v>-6348930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-6348930</v>
      </c>
      <c r="V2819">
        <v>0</v>
      </c>
      <c r="W2819">
        <v>0</v>
      </c>
      <c r="X2819">
        <v>0</v>
      </c>
      <c r="Y2819" t="s">
        <v>846</v>
      </c>
      <c r="AA2819" t="s">
        <v>2113</v>
      </c>
      <c r="AB2819" t="s">
        <v>51</v>
      </c>
      <c r="AC2819" t="s">
        <v>51</v>
      </c>
      <c r="AD2819" t="s">
        <v>51</v>
      </c>
      <c r="AE2819" t="s">
        <v>51</v>
      </c>
      <c r="AF2819" t="s">
        <v>1047</v>
      </c>
    </row>
    <row r="2820" spans="1:32" ht="14.5" customHeight="1" x14ac:dyDescent="0.35">
      <c r="A2820" t="s">
        <v>498</v>
      </c>
      <c r="B2820" t="s">
        <v>546</v>
      </c>
      <c r="C2820" t="s">
        <v>47</v>
      </c>
      <c r="D2820">
        <v>3100440</v>
      </c>
      <c r="E2820">
        <v>3100441</v>
      </c>
      <c r="F2820" t="s">
        <v>2112</v>
      </c>
      <c r="G2820" t="s">
        <v>2112</v>
      </c>
      <c r="H2820" t="s">
        <v>54</v>
      </c>
      <c r="I2820">
        <v>6930953</v>
      </c>
      <c r="J2820" s="12">
        <v>45940</v>
      </c>
      <c r="K2820" s="12">
        <v>45940</v>
      </c>
      <c r="L2820" s="12">
        <v>45940</v>
      </c>
      <c r="M2820">
        <v>192</v>
      </c>
      <c r="N2820">
        <v>-2422500</v>
      </c>
      <c r="O2820">
        <v>-2422500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-2422500</v>
      </c>
      <c r="V2820">
        <v>0</v>
      </c>
      <c r="W2820">
        <v>0</v>
      </c>
      <c r="X2820">
        <v>0</v>
      </c>
      <c r="Y2820" t="s">
        <v>846</v>
      </c>
      <c r="AA2820" t="s">
        <v>2113</v>
      </c>
      <c r="AB2820" t="s">
        <v>51</v>
      </c>
      <c r="AC2820" t="s">
        <v>51</v>
      </c>
      <c r="AD2820" t="s">
        <v>51</v>
      </c>
      <c r="AE2820" t="s">
        <v>51</v>
      </c>
      <c r="AF2820" t="s">
        <v>2114</v>
      </c>
    </row>
    <row r="2821" spans="1:32" ht="14.5" customHeight="1" x14ac:dyDescent="0.35">
      <c r="A2821" t="s">
        <v>498</v>
      </c>
      <c r="B2821" t="s">
        <v>546</v>
      </c>
      <c r="C2821" t="s">
        <v>47</v>
      </c>
      <c r="D2821">
        <v>3100440</v>
      </c>
      <c r="E2821">
        <v>3100441</v>
      </c>
      <c r="F2821" t="s">
        <v>2112</v>
      </c>
      <c r="G2821" t="s">
        <v>2112</v>
      </c>
      <c r="H2821" t="s">
        <v>54</v>
      </c>
      <c r="I2821">
        <v>6930954</v>
      </c>
      <c r="J2821" s="12">
        <v>45940</v>
      </c>
      <c r="K2821" s="12">
        <v>45940</v>
      </c>
      <c r="L2821" s="12">
        <v>45940</v>
      </c>
      <c r="M2821">
        <v>192</v>
      </c>
      <c r="N2821">
        <v>-1800000</v>
      </c>
      <c r="O2821">
        <v>-1800000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-1800000</v>
      </c>
      <c r="V2821">
        <v>0</v>
      </c>
      <c r="W2821">
        <v>0</v>
      </c>
      <c r="X2821">
        <v>0</v>
      </c>
      <c r="Y2821" t="s">
        <v>846</v>
      </c>
      <c r="AA2821" t="s">
        <v>2113</v>
      </c>
      <c r="AB2821" t="s">
        <v>51</v>
      </c>
      <c r="AC2821" t="s">
        <v>51</v>
      </c>
      <c r="AD2821" t="s">
        <v>51</v>
      </c>
      <c r="AE2821" t="s">
        <v>51</v>
      </c>
      <c r="AF2821" t="s">
        <v>2115</v>
      </c>
    </row>
    <row r="2822" spans="1:32" ht="14.5" customHeight="1" x14ac:dyDescent="0.35">
      <c r="A2822" t="s">
        <v>498</v>
      </c>
      <c r="B2822" t="s">
        <v>546</v>
      </c>
      <c r="C2822" t="s">
        <v>47</v>
      </c>
      <c r="D2822">
        <v>3100440</v>
      </c>
      <c r="E2822">
        <v>3100441</v>
      </c>
      <c r="F2822" t="s">
        <v>2112</v>
      </c>
      <c r="G2822" t="s">
        <v>2112</v>
      </c>
      <c r="H2822" t="s">
        <v>54</v>
      </c>
      <c r="I2822">
        <v>6930955</v>
      </c>
      <c r="J2822" s="12">
        <v>45940</v>
      </c>
      <c r="K2822" s="12">
        <v>45940</v>
      </c>
      <c r="L2822" s="12">
        <v>45940</v>
      </c>
      <c r="M2822">
        <v>192</v>
      </c>
      <c r="N2822">
        <v>-1350000</v>
      </c>
      <c r="O2822">
        <v>-1350000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-1350000</v>
      </c>
      <c r="V2822">
        <v>0</v>
      </c>
      <c r="W2822">
        <v>0</v>
      </c>
      <c r="X2822">
        <v>0</v>
      </c>
      <c r="Y2822" t="s">
        <v>846</v>
      </c>
      <c r="AA2822" t="s">
        <v>2113</v>
      </c>
      <c r="AB2822" t="s">
        <v>51</v>
      </c>
      <c r="AC2822" t="s">
        <v>51</v>
      </c>
      <c r="AD2822" t="s">
        <v>51</v>
      </c>
      <c r="AE2822" t="s">
        <v>51</v>
      </c>
      <c r="AF2822" t="s">
        <v>2116</v>
      </c>
    </row>
    <row r="2823" spans="1:32" ht="14.5" customHeight="1" x14ac:dyDescent="0.35">
      <c r="A2823" t="s">
        <v>498</v>
      </c>
      <c r="B2823" t="s">
        <v>546</v>
      </c>
      <c r="C2823" t="s">
        <v>47</v>
      </c>
      <c r="D2823">
        <v>3100440</v>
      </c>
      <c r="E2823">
        <v>3100441</v>
      </c>
      <c r="F2823" t="s">
        <v>2112</v>
      </c>
      <c r="G2823" t="s">
        <v>2112</v>
      </c>
      <c r="H2823" t="s">
        <v>54</v>
      </c>
      <c r="I2823">
        <v>6933462</v>
      </c>
      <c r="J2823" s="12">
        <v>45953</v>
      </c>
      <c r="K2823" s="12">
        <v>45953</v>
      </c>
      <c r="L2823" s="12">
        <v>45953</v>
      </c>
      <c r="M2823">
        <v>179</v>
      </c>
      <c r="N2823">
        <v>-7161250</v>
      </c>
      <c r="O2823">
        <v>-7161250</v>
      </c>
      <c r="P2823">
        <v>0</v>
      </c>
      <c r="Q2823">
        <v>0</v>
      </c>
      <c r="R2823">
        <v>0</v>
      </c>
      <c r="S2823">
        <v>0</v>
      </c>
      <c r="T2823">
        <v>-7161250</v>
      </c>
      <c r="U2823">
        <v>0</v>
      </c>
      <c r="V2823">
        <v>0</v>
      </c>
      <c r="W2823">
        <v>0</v>
      </c>
      <c r="X2823">
        <v>0</v>
      </c>
      <c r="Y2823" t="s">
        <v>846</v>
      </c>
      <c r="AA2823" t="s">
        <v>2113</v>
      </c>
      <c r="AB2823" t="s">
        <v>51</v>
      </c>
      <c r="AC2823" t="s">
        <v>51</v>
      </c>
      <c r="AD2823" t="s">
        <v>51</v>
      </c>
      <c r="AE2823" t="s">
        <v>51</v>
      </c>
      <c r="AF2823" t="s">
        <v>2117</v>
      </c>
    </row>
    <row r="2824" spans="1:32" ht="14.5" customHeight="1" x14ac:dyDescent="0.35">
      <c r="A2824" t="s">
        <v>498</v>
      </c>
      <c r="B2824" t="s">
        <v>546</v>
      </c>
      <c r="C2824" t="s">
        <v>47</v>
      </c>
      <c r="D2824">
        <v>3100440</v>
      </c>
      <c r="E2824">
        <v>3100441</v>
      </c>
      <c r="F2824" t="s">
        <v>2112</v>
      </c>
      <c r="G2824" t="s">
        <v>2112</v>
      </c>
      <c r="H2824" t="s">
        <v>54</v>
      </c>
      <c r="I2824">
        <v>6933867</v>
      </c>
      <c r="J2824" s="12">
        <v>45954</v>
      </c>
      <c r="K2824" s="12">
        <v>45954</v>
      </c>
      <c r="L2824" s="12">
        <v>45954</v>
      </c>
      <c r="M2824">
        <v>178</v>
      </c>
      <c r="N2824">
        <v>-10510932</v>
      </c>
      <c r="O2824">
        <v>-10510932</v>
      </c>
      <c r="P2824">
        <v>0</v>
      </c>
      <c r="Q2824">
        <v>0</v>
      </c>
      <c r="R2824">
        <v>0</v>
      </c>
      <c r="S2824">
        <v>0</v>
      </c>
      <c r="T2824">
        <v>-10510932</v>
      </c>
      <c r="U2824">
        <v>0</v>
      </c>
      <c r="V2824">
        <v>0</v>
      </c>
      <c r="W2824">
        <v>0</v>
      </c>
      <c r="X2824">
        <v>0</v>
      </c>
      <c r="Y2824" t="s">
        <v>846</v>
      </c>
      <c r="AA2824" t="s">
        <v>2113</v>
      </c>
      <c r="AB2824" t="s">
        <v>51</v>
      </c>
      <c r="AC2824" t="s">
        <v>51</v>
      </c>
      <c r="AD2824" t="s">
        <v>51</v>
      </c>
      <c r="AE2824" t="s">
        <v>51</v>
      </c>
      <c r="AF2824" t="s">
        <v>945</v>
      </c>
    </row>
    <row r="2825" spans="1:32" ht="14.5" customHeight="1" x14ac:dyDescent="0.35">
      <c r="A2825" t="s">
        <v>498</v>
      </c>
      <c r="B2825" t="s">
        <v>546</v>
      </c>
      <c r="C2825" t="s">
        <v>47</v>
      </c>
      <c r="D2825">
        <v>3100440</v>
      </c>
      <c r="E2825">
        <v>3100441</v>
      </c>
      <c r="F2825" t="s">
        <v>2112</v>
      </c>
      <c r="G2825" t="s">
        <v>2112</v>
      </c>
      <c r="H2825" t="s">
        <v>54</v>
      </c>
      <c r="I2825">
        <v>6936272</v>
      </c>
      <c r="J2825" s="12">
        <v>45974</v>
      </c>
      <c r="K2825" s="12">
        <v>45974</v>
      </c>
      <c r="L2825" s="12">
        <v>45974</v>
      </c>
      <c r="M2825">
        <v>158</v>
      </c>
      <c r="N2825">
        <v>-4256905</v>
      </c>
      <c r="O2825">
        <v>-4256905</v>
      </c>
      <c r="P2825">
        <v>0</v>
      </c>
      <c r="Q2825">
        <v>0</v>
      </c>
      <c r="R2825">
        <v>0</v>
      </c>
      <c r="S2825">
        <v>0</v>
      </c>
      <c r="T2825">
        <v>-4256905</v>
      </c>
      <c r="U2825">
        <v>0</v>
      </c>
      <c r="V2825">
        <v>0</v>
      </c>
      <c r="W2825">
        <v>0</v>
      </c>
      <c r="X2825">
        <v>0</v>
      </c>
      <c r="Y2825" t="s">
        <v>846</v>
      </c>
      <c r="AA2825" t="s">
        <v>2113</v>
      </c>
      <c r="AB2825" t="s">
        <v>51</v>
      </c>
      <c r="AC2825" t="s">
        <v>51</v>
      </c>
      <c r="AD2825" t="s">
        <v>51</v>
      </c>
      <c r="AE2825" t="s">
        <v>51</v>
      </c>
      <c r="AF2825" t="s">
        <v>2118</v>
      </c>
    </row>
    <row r="2826" spans="1:32" ht="14.5" customHeight="1" x14ac:dyDescent="0.35">
      <c r="A2826" t="s">
        <v>498</v>
      </c>
      <c r="B2826" t="s">
        <v>546</v>
      </c>
      <c r="C2826" t="s">
        <v>47</v>
      </c>
      <c r="D2826">
        <v>3100440</v>
      </c>
      <c r="E2826">
        <v>3100441</v>
      </c>
      <c r="F2826" t="s">
        <v>2112</v>
      </c>
      <c r="G2826" t="s">
        <v>2112</v>
      </c>
      <c r="H2826" t="s">
        <v>54</v>
      </c>
      <c r="I2826">
        <v>6936273</v>
      </c>
      <c r="J2826" s="12">
        <v>45974</v>
      </c>
      <c r="K2826" s="12">
        <v>45974</v>
      </c>
      <c r="L2826" s="12">
        <v>45974</v>
      </c>
      <c r="M2826">
        <v>158</v>
      </c>
      <c r="N2826">
        <v>-4256905</v>
      </c>
      <c r="O2826">
        <v>-4256905</v>
      </c>
      <c r="P2826">
        <v>0</v>
      </c>
      <c r="Q2826">
        <v>0</v>
      </c>
      <c r="R2826">
        <v>0</v>
      </c>
      <c r="S2826">
        <v>0</v>
      </c>
      <c r="T2826">
        <v>-4256905</v>
      </c>
      <c r="U2826">
        <v>0</v>
      </c>
      <c r="V2826">
        <v>0</v>
      </c>
      <c r="W2826">
        <v>0</v>
      </c>
      <c r="X2826">
        <v>0</v>
      </c>
      <c r="Y2826" t="s">
        <v>846</v>
      </c>
      <c r="AA2826" t="s">
        <v>2113</v>
      </c>
      <c r="AB2826" t="s">
        <v>51</v>
      </c>
      <c r="AC2826" t="s">
        <v>51</v>
      </c>
      <c r="AD2826" t="s">
        <v>51</v>
      </c>
      <c r="AE2826" t="s">
        <v>51</v>
      </c>
      <c r="AF2826" t="s">
        <v>2119</v>
      </c>
    </row>
    <row r="2827" spans="1:32" ht="14.5" customHeight="1" x14ac:dyDescent="0.35">
      <c r="A2827" t="s">
        <v>498</v>
      </c>
      <c r="B2827" t="s">
        <v>546</v>
      </c>
      <c r="C2827" t="s">
        <v>47</v>
      </c>
      <c r="D2827">
        <v>3100440</v>
      </c>
      <c r="E2827">
        <v>3100441</v>
      </c>
      <c r="F2827" t="s">
        <v>2112</v>
      </c>
      <c r="G2827" t="s">
        <v>2112</v>
      </c>
      <c r="H2827" t="s">
        <v>54</v>
      </c>
      <c r="I2827">
        <v>6937161</v>
      </c>
      <c r="J2827" s="12">
        <v>45980</v>
      </c>
      <c r="K2827" s="12">
        <v>45980</v>
      </c>
      <c r="L2827" s="12">
        <v>45980</v>
      </c>
      <c r="M2827">
        <v>152</v>
      </c>
      <c r="N2827">
        <v>-2159000</v>
      </c>
      <c r="O2827">
        <v>-2159000</v>
      </c>
      <c r="P2827">
        <v>0</v>
      </c>
      <c r="Q2827">
        <v>0</v>
      </c>
      <c r="R2827">
        <v>0</v>
      </c>
      <c r="S2827">
        <v>0</v>
      </c>
      <c r="T2827">
        <v>-2159000</v>
      </c>
      <c r="U2827">
        <v>0</v>
      </c>
      <c r="V2827">
        <v>0</v>
      </c>
      <c r="W2827">
        <v>0</v>
      </c>
      <c r="X2827">
        <v>0</v>
      </c>
      <c r="Y2827" t="s">
        <v>846</v>
      </c>
      <c r="AA2827" t="s">
        <v>2113</v>
      </c>
      <c r="AB2827" t="s">
        <v>51</v>
      </c>
      <c r="AC2827" t="s">
        <v>51</v>
      </c>
      <c r="AD2827" t="s">
        <v>51</v>
      </c>
      <c r="AE2827" t="s">
        <v>51</v>
      </c>
      <c r="AF2827" t="s">
        <v>2120</v>
      </c>
    </row>
    <row r="2828" spans="1:32" ht="14.5" customHeight="1" x14ac:dyDescent="0.35">
      <c r="A2828" t="s">
        <v>498</v>
      </c>
      <c r="B2828" t="s">
        <v>546</v>
      </c>
      <c r="C2828" t="s">
        <v>47</v>
      </c>
      <c r="D2828">
        <v>3100440</v>
      </c>
      <c r="E2828">
        <v>3100441</v>
      </c>
      <c r="F2828" t="s">
        <v>2112</v>
      </c>
      <c r="G2828" t="s">
        <v>2112</v>
      </c>
      <c r="H2828" t="s">
        <v>54</v>
      </c>
      <c r="I2828">
        <v>6937162</v>
      </c>
      <c r="J2828" s="12">
        <v>45980</v>
      </c>
      <c r="K2828" s="12">
        <v>45980</v>
      </c>
      <c r="L2828" s="12">
        <v>45980</v>
      </c>
      <c r="M2828">
        <v>152</v>
      </c>
      <c r="N2828">
        <v>-5176500</v>
      </c>
      <c r="O2828">
        <v>-5176500</v>
      </c>
      <c r="P2828">
        <v>0</v>
      </c>
      <c r="Q2828">
        <v>0</v>
      </c>
      <c r="R2828">
        <v>0</v>
      </c>
      <c r="S2828">
        <v>0</v>
      </c>
      <c r="T2828">
        <v>-5176500</v>
      </c>
      <c r="U2828">
        <v>0</v>
      </c>
      <c r="V2828">
        <v>0</v>
      </c>
      <c r="W2828">
        <v>0</v>
      </c>
      <c r="X2828">
        <v>0</v>
      </c>
      <c r="Y2828" t="s">
        <v>846</v>
      </c>
      <c r="AA2828" t="s">
        <v>2113</v>
      </c>
      <c r="AB2828" t="s">
        <v>51</v>
      </c>
      <c r="AC2828" t="s">
        <v>51</v>
      </c>
      <c r="AD2828" t="s">
        <v>51</v>
      </c>
      <c r="AE2828" t="s">
        <v>51</v>
      </c>
      <c r="AF2828" t="s">
        <v>2121</v>
      </c>
    </row>
    <row r="2829" spans="1:32" ht="14.5" customHeight="1" x14ac:dyDescent="0.35">
      <c r="A2829" t="s">
        <v>498</v>
      </c>
      <c r="B2829" t="s">
        <v>546</v>
      </c>
      <c r="C2829" t="s">
        <v>47</v>
      </c>
      <c r="D2829">
        <v>3100440</v>
      </c>
      <c r="E2829">
        <v>3100441</v>
      </c>
      <c r="F2829" t="s">
        <v>2112</v>
      </c>
      <c r="G2829" t="s">
        <v>2112</v>
      </c>
      <c r="H2829" t="s">
        <v>54</v>
      </c>
      <c r="I2829">
        <v>6937298</v>
      </c>
      <c r="J2829" s="12">
        <v>45981</v>
      </c>
      <c r="K2829" s="12">
        <v>45981</v>
      </c>
      <c r="L2829" s="12">
        <v>45981</v>
      </c>
      <c r="M2829">
        <v>151</v>
      </c>
      <c r="N2829">
        <v>-9238269</v>
      </c>
      <c r="O2829">
        <v>-9238269</v>
      </c>
      <c r="P2829">
        <v>0</v>
      </c>
      <c r="Q2829">
        <v>0</v>
      </c>
      <c r="R2829">
        <v>0</v>
      </c>
      <c r="S2829">
        <v>0</v>
      </c>
      <c r="T2829">
        <v>-9238269</v>
      </c>
      <c r="U2829">
        <v>0</v>
      </c>
      <c r="V2829">
        <v>0</v>
      </c>
      <c r="W2829">
        <v>0</v>
      </c>
      <c r="X2829">
        <v>0</v>
      </c>
      <c r="Y2829" t="s">
        <v>846</v>
      </c>
      <c r="AA2829" t="s">
        <v>2113</v>
      </c>
      <c r="AB2829" t="s">
        <v>51</v>
      </c>
      <c r="AC2829" t="s">
        <v>51</v>
      </c>
      <c r="AD2829" t="s">
        <v>51</v>
      </c>
      <c r="AE2829" t="s">
        <v>51</v>
      </c>
      <c r="AF2829" t="s">
        <v>1587</v>
      </c>
    </row>
    <row r="2830" spans="1:32" ht="14.5" customHeight="1" x14ac:dyDescent="0.35">
      <c r="A2830" t="s">
        <v>498</v>
      </c>
      <c r="B2830" t="s">
        <v>546</v>
      </c>
      <c r="C2830" t="s">
        <v>47</v>
      </c>
      <c r="D2830">
        <v>3100440</v>
      </c>
      <c r="E2830">
        <v>3100441</v>
      </c>
      <c r="F2830" t="s">
        <v>2112</v>
      </c>
      <c r="G2830" t="s">
        <v>2112</v>
      </c>
      <c r="H2830" t="s">
        <v>54</v>
      </c>
      <c r="I2830">
        <v>6937398</v>
      </c>
      <c r="J2830" s="12">
        <v>45981</v>
      </c>
      <c r="K2830" s="12">
        <v>45981</v>
      </c>
      <c r="L2830" s="12">
        <v>45981</v>
      </c>
      <c r="M2830">
        <v>151</v>
      </c>
      <c r="N2830">
        <v>-544000</v>
      </c>
      <c r="O2830">
        <v>-544000</v>
      </c>
      <c r="P2830">
        <v>0</v>
      </c>
      <c r="Q2830">
        <v>0</v>
      </c>
      <c r="R2830">
        <v>0</v>
      </c>
      <c r="S2830">
        <v>0</v>
      </c>
      <c r="T2830">
        <v>-544000</v>
      </c>
      <c r="U2830">
        <v>0</v>
      </c>
      <c r="V2830">
        <v>0</v>
      </c>
      <c r="W2830">
        <v>0</v>
      </c>
      <c r="X2830">
        <v>0</v>
      </c>
      <c r="Y2830" t="s">
        <v>846</v>
      </c>
      <c r="AA2830" t="s">
        <v>2113</v>
      </c>
      <c r="AB2830" t="s">
        <v>51</v>
      </c>
      <c r="AC2830" t="s">
        <v>51</v>
      </c>
      <c r="AD2830" t="s">
        <v>51</v>
      </c>
      <c r="AE2830" t="s">
        <v>51</v>
      </c>
      <c r="AF2830" t="s">
        <v>2122</v>
      </c>
    </row>
    <row r="2831" spans="1:32" ht="14.5" customHeight="1" x14ac:dyDescent="0.35">
      <c r="A2831" t="s">
        <v>498</v>
      </c>
      <c r="B2831" t="s">
        <v>546</v>
      </c>
      <c r="C2831" t="s">
        <v>47</v>
      </c>
      <c r="D2831">
        <v>3100440</v>
      </c>
      <c r="E2831">
        <v>3100441</v>
      </c>
      <c r="F2831" t="s">
        <v>2112</v>
      </c>
      <c r="G2831" t="s">
        <v>2112</v>
      </c>
      <c r="H2831" t="s">
        <v>54</v>
      </c>
      <c r="I2831">
        <v>6938267</v>
      </c>
      <c r="J2831" s="12">
        <v>45985</v>
      </c>
      <c r="K2831" s="12">
        <v>45985</v>
      </c>
      <c r="L2831" s="12">
        <v>45985</v>
      </c>
      <c r="M2831">
        <v>147</v>
      </c>
      <c r="N2831">
        <v>-4226905</v>
      </c>
      <c r="O2831">
        <v>-4226905</v>
      </c>
      <c r="P2831">
        <v>0</v>
      </c>
      <c r="Q2831">
        <v>0</v>
      </c>
      <c r="R2831">
        <v>0</v>
      </c>
      <c r="S2831">
        <v>0</v>
      </c>
      <c r="T2831">
        <v>-4226905</v>
      </c>
      <c r="U2831">
        <v>0</v>
      </c>
      <c r="V2831">
        <v>0</v>
      </c>
      <c r="W2831">
        <v>0</v>
      </c>
      <c r="X2831">
        <v>0</v>
      </c>
      <c r="Y2831" t="s">
        <v>846</v>
      </c>
      <c r="AA2831" t="s">
        <v>2113</v>
      </c>
      <c r="AB2831" t="s">
        <v>51</v>
      </c>
      <c r="AC2831" t="s">
        <v>51</v>
      </c>
      <c r="AD2831" t="s">
        <v>51</v>
      </c>
      <c r="AE2831" t="s">
        <v>51</v>
      </c>
      <c r="AF2831" t="s">
        <v>2123</v>
      </c>
    </row>
    <row r="2832" spans="1:32" ht="14.5" customHeight="1" x14ac:dyDescent="0.35">
      <c r="A2832" t="s">
        <v>498</v>
      </c>
      <c r="B2832" t="s">
        <v>546</v>
      </c>
      <c r="C2832" t="s">
        <v>47</v>
      </c>
      <c r="D2832">
        <v>3100440</v>
      </c>
      <c r="E2832">
        <v>3100441</v>
      </c>
      <c r="F2832" t="s">
        <v>2112</v>
      </c>
      <c r="G2832" t="s">
        <v>2112</v>
      </c>
      <c r="H2832" t="s">
        <v>54</v>
      </c>
      <c r="I2832">
        <v>6940780</v>
      </c>
      <c r="J2832" s="12">
        <v>46002</v>
      </c>
      <c r="K2832" s="12">
        <v>46002</v>
      </c>
      <c r="L2832" s="12">
        <v>46002</v>
      </c>
      <c r="M2832">
        <v>130</v>
      </c>
      <c r="N2832">
        <v>-5610000</v>
      </c>
      <c r="O2832">
        <v>-5610000</v>
      </c>
      <c r="P2832">
        <v>0</v>
      </c>
      <c r="Q2832">
        <v>0</v>
      </c>
      <c r="R2832">
        <v>0</v>
      </c>
      <c r="S2832">
        <v>0</v>
      </c>
      <c r="T2832">
        <v>-5610000</v>
      </c>
      <c r="U2832">
        <v>0</v>
      </c>
      <c r="V2832">
        <v>0</v>
      </c>
      <c r="W2832">
        <v>0</v>
      </c>
      <c r="X2832">
        <v>0</v>
      </c>
      <c r="Y2832" t="s">
        <v>846</v>
      </c>
      <c r="AA2832" t="s">
        <v>2113</v>
      </c>
      <c r="AB2832" t="s">
        <v>51</v>
      </c>
      <c r="AC2832" t="s">
        <v>51</v>
      </c>
      <c r="AD2832" t="s">
        <v>51</v>
      </c>
      <c r="AE2832" t="s">
        <v>51</v>
      </c>
      <c r="AF2832" t="s">
        <v>2124</v>
      </c>
    </row>
    <row r="2833" spans="1:32" ht="14.5" customHeight="1" x14ac:dyDescent="0.35">
      <c r="A2833" t="s">
        <v>498</v>
      </c>
      <c r="B2833" t="s">
        <v>546</v>
      </c>
      <c r="C2833" t="s">
        <v>929</v>
      </c>
      <c r="D2833">
        <v>3100440</v>
      </c>
      <c r="E2833">
        <v>3100441</v>
      </c>
      <c r="F2833" t="s">
        <v>2112</v>
      </c>
      <c r="G2833" t="s">
        <v>2112</v>
      </c>
      <c r="H2833" t="s">
        <v>111</v>
      </c>
      <c r="I2833">
        <v>6941203</v>
      </c>
      <c r="J2833" s="12">
        <v>46006</v>
      </c>
      <c r="K2833" s="12">
        <v>46006</v>
      </c>
      <c r="L2833" s="12">
        <v>46006</v>
      </c>
      <c r="M2833">
        <v>126</v>
      </c>
      <c r="N2833">
        <v>-7147193</v>
      </c>
      <c r="O2833">
        <v>-7147193</v>
      </c>
      <c r="P2833">
        <v>0</v>
      </c>
      <c r="Q2833">
        <v>0</v>
      </c>
      <c r="R2833">
        <v>0</v>
      </c>
      <c r="S2833">
        <v>0</v>
      </c>
      <c r="T2833">
        <v>-7147193</v>
      </c>
      <c r="U2833">
        <v>0</v>
      </c>
      <c r="V2833">
        <v>0</v>
      </c>
      <c r="W2833">
        <v>0</v>
      </c>
      <c r="X2833">
        <v>0</v>
      </c>
      <c r="Y2833" t="s">
        <v>846</v>
      </c>
      <c r="AA2833" t="s">
        <v>2113</v>
      </c>
      <c r="AB2833" t="s">
        <v>51</v>
      </c>
      <c r="AC2833" t="s">
        <v>51</v>
      </c>
      <c r="AD2833" t="s">
        <v>51</v>
      </c>
      <c r="AE2833" t="s">
        <v>51</v>
      </c>
      <c r="AF2833" t="s">
        <v>528</v>
      </c>
    </row>
    <row r="2834" spans="1:32" ht="14.5" customHeight="1" x14ac:dyDescent="0.35">
      <c r="A2834" t="s">
        <v>498</v>
      </c>
      <c r="B2834" t="s">
        <v>546</v>
      </c>
      <c r="C2834" t="s">
        <v>929</v>
      </c>
      <c r="D2834">
        <v>3100440</v>
      </c>
      <c r="E2834">
        <v>3100441</v>
      </c>
      <c r="F2834" t="s">
        <v>2112</v>
      </c>
      <c r="G2834" t="s">
        <v>2112</v>
      </c>
      <c r="H2834" t="s">
        <v>111</v>
      </c>
      <c r="I2834">
        <v>6941204</v>
      </c>
      <c r="J2834" s="12">
        <v>46006</v>
      </c>
      <c r="K2834" s="12">
        <v>46006</v>
      </c>
      <c r="L2834" s="12">
        <v>46006</v>
      </c>
      <c r="M2834">
        <v>126</v>
      </c>
      <c r="N2834">
        <v>-734399</v>
      </c>
      <c r="O2834">
        <v>-734399</v>
      </c>
      <c r="P2834">
        <v>0</v>
      </c>
      <c r="Q2834">
        <v>0</v>
      </c>
      <c r="R2834">
        <v>0</v>
      </c>
      <c r="S2834">
        <v>0</v>
      </c>
      <c r="T2834">
        <v>-734399</v>
      </c>
      <c r="U2834">
        <v>0</v>
      </c>
      <c r="V2834">
        <v>0</v>
      </c>
      <c r="W2834">
        <v>0</v>
      </c>
      <c r="X2834">
        <v>0</v>
      </c>
      <c r="Y2834" t="s">
        <v>846</v>
      </c>
      <c r="AA2834" t="s">
        <v>2113</v>
      </c>
      <c r="AB2834" t="s">
        <v>51</v>
      </c>
      <c r="AC2834" t="s">
        <v>51</v>
      </c>
      <c r="AD2834" t="s">
        <v>51</v>
      </c>
      <c r="AE2834" t="s">
        <v>51</v>
      </c>
      <c r="AF2834" t="s">
        <v>2125</v>
      </c>
    </row>
    <row r="2835" spans="1:32" ht="14.5" customHeight="1" x14ac:dyDescent="0.35">
      <c r="A2835" t="s">
        <v>498</v>
      </c>
      <c r="B2835" t="s">
        <v>546</v>
      </c>
      <c r="C2835" t="s">
        <v>929</v>
      </c>
      <c r="D2835">
        <v>3100440</v>
      </c>
      <c r="E2835">
        <v>3100441</v>
      </c>
      <c r="F2835" t="s">
        <v>2112</v>
      </c>
      <c r="G2835" t="s">
        <v>2112</v>
      </c>
      <c r="H2835" t="s">
        <v>111</v>
      </c>
      <c r="I2835">
        <v>6941205</v>
      </c>
      <c r="J2835" s="12">
        <v>46006</v>
      </c>
      <c r="K2835" s="12">
        <v>46006</v>
      </c>
      <c r="L2835" s="12">
        <v>46006</v>
      </c>
      <c r="M2835">
        <v>126</v>
      </c>
      <c r="N2835">
        <v>-10821629</v>
      </c>
      <c r="O2835">
        <v>-10821629</v>
      </c>
      <c r="P2835">
        <v>0</v>
      </c>
      <c r="Q2835">
        <v>0</v>
      </c>
      <c r="R2835">
        <v>0</v>
      </c>
      <c r="S2835">
        <v>0</v>
      </c>
      <c r="T2835">
        <v>-10821629</v>
      </c>
      <c r="U2835">
        <v>0</v>
      </c>
      <c r="V2835">
        <v>0</v>
      </c>
      <c r="W2835">
        <v>0</v>
      </c>
      <c r="X2835">
        <v>0</v>
      </c>
      <c r="Y2835" t="s">
        <v>846</v>
      </c>
      <c r="AA2835" t="s">
        <v>2113</v>
      </c>
      <c r="AB2835" t="s">
        <v>51</v>
      </c>
      <c r="AC2835" t="s">
        <v>51</v>
      </c>
      <c r="AD2835" t="s">
        <v>51</v>
      </c>
      <c r="AE2835" t="s">
        <v>51</v>
      </c>
      <c r="AF2835" t="s">
        <v>794</v>
      </c>
    </row>
    <row r="2836" spans="1:32" ht="14.5" customHeight="1" x14ac:dyDescent="0.35">
      <c r="A2836" t="s">
        <v>498</v>
      </c>
      <c r="B2836" t="s">
        <v>546</v>
      </c>
      <c r="C2836" t="s">
        <v>929</v>
      </c>
      <c r="D2836">
        <v>3100440</v>
      </c>
      <c r="E2836">
        <v>3100441</v>
      </c>
      <c r="F2836" t="s">
        <v>2112</v>
      </c>
      <c r="G2836" t="s">
        <v>2112</v>
      </c>
      <c r="H2836" t="s">
        <v>111</v>
      </c>
      <c r="I2836">
        <v>6941206</v>
      </c>
      <c r="J2836" s="12">
        <v>46006</v>
      </c>
      <c r="K2836" s="12">
        <v>46006</v>
      </c>
      <c r="L2836" s="12">
        <v>46006</v>
      </c>
      <c r="M2836">
        <v>126</v>
      </c>
      <c r="N2836">
        <v>-46683897</v>
      </c>
      <c r="O2836">
        <v>-46683897</v>
      </c>
      <c r="P2836">
        <v>0</v>
      </c>
      <c r="Q2836">
        <v>0</v>
      </c>
      <c r="R2836">
        <v>0</v>
      </c>
      <c r="S2836">
        <v>0</v>
      </c>
      <c r="T2836">
        <v>-46683897</v>
      </c>
      <c r="U2836">
        <v>0</v>
      </c>
      <c r="V2836">
        <v>0</v>
      </c>
      <c r="W2836">
        <v>0</v>
      </c>
      <c r="X2836">
        <v>0</v>
      </c>
      <c r="Y2836" t="s">
        <v>846</v>
      </c>
      <c r="AA2836" t="s">
        <v>2113</v>
      </c>
      <c r="AB2836" t="s">
        <v>51</v>
      </c>
      <c r="AC2836" t="s">
        <v>51</v>
      </c>
      <c r="AD2836" t="s">
        <v>51</v>
      </c>
      <c r="AE2836" t="s">
        <v>51</v>
      </c>
      <c r="AF2836" t="s">
        <v>944</v>
      </c>
    </row>
    <row r="2837" spans="1:32" ht="14.5" customHeight="1" x14ac:dyDescent="0.35">
      <c r="A2837" t="s">
        <v>498</v>
      </c>
      <c r="B2837" t="s">
        <v>546</v>
      </c>
      <c r="C2837" t="s">
        <v>929</v>
      </c>
      <c r="D2837">
        <v>3100440</v>
      </c>
      <c r="E2837">
        <v>3100441</v>
      </c>
      <c r="F2837" t="s">
        <v>2112</v>
      </c>
      <c r="G2837" t="s">
        <v>2112</v>
      </c>
      <c r="H2837" t="s">
        <v>111</v>
      </c>
      <c r="I2837">
        <v>6941207</v>
      </c>
      <c r="J2837" s="12">
        <v>46006</v>
      </c>
      <c r="K2837" s="12">
        <v>46006</v>
      </c>
      <c r="L2837" s="12">
        <v>46006</v>
      </c>
      <c r="M2837">
        <v>126</v>
      </c>
      <c r="N2837">
        <v>-21652937</v>
      </c>
      <c r="O2837">
        <v>-21652937</v>
      </c>
      <c r="P2837">
        <v>0</v>
      </c>
      <c r="Q2837">
        <v>0</v>
      </c>
      <c r="R2837">
        <v>0</v>
      </c>
      <c r="S2837">
        <v>0</v>
      </c>
      <c r="T2837">
        <v>-21652937</v>
      </c>
      <c r="U2837">
        <v>0</v>
      </c>
      <c r="V2837">
        <v>0</v>
      </c>
      <c r="W2837">
        <v>0</v>
      </c>
      <c r="X2837">
        <v>0</v>
      </c>
      <c r="Y2837" t="s">
        <v>846</v>
      </c>
      <c r="AA2837" t="s">
        <v>2113</v>
      </c>
      <c r="AB2837" t="s">
        <v>51</v>
      </c>
      <c r="AC2837" t="s">
        <v>51</v>
      </c>
      <c r="AD2837" t="s">
        <v>51</v>
      </c>
      <c r="AE2837" t="s">
        <v>51</v>
      </c>
      <c r="AF2837" t="s">
        <v>267</v>
      </c>
    </row>
    <row r="2838" spans="1:32" ht="14.5" customHeight="1" x14ac:dyDescent="0.35">
      <c r="A2838" t="s">
        <v>498</v>
      </c>
      <c r="B2838" t="s">
        <v>546</v>
      </c>
      <c r="C2838" t="s">
        <v>929</v>
      </c>
      <c r="D2838">
        <v>3100440</v>
      </c>
      <c r="E2838">
        <v>3100441</v>
      </c>
      <c r="F2838" t="s">
        <v>2112</v>
      </c>
      <c r="G2838" t="s">
        <v>2112</v>
      </c>
      <c r="H2838" t="s">
        <v>111</v>
      </c>
      <c r="I2838">
        <v>6941208</v>
      </c>
      <c r="J2838" s="12">
        <v>46006</v>
      </c>
      <c r="K2838" s="12">
        <v>46006</v>
      </c>
      <c r="L2838" s="12">
        <v>46006</v>
      </c>
      <c r="M2838">
        <v>126</v>
      </c>
      <c r="N2838">
        <v>-6383230</v>
      </c>
      <c r="O2838">
        <v>-6383230</v>
      </c>
      <c r="P2838">
        <v>0</v>
      </c>
      <c r="Q2838">
        <v>0</v>
      </c>
      <c r="R2838">
        <v>0</v>
      </c>
      <c r="S2838">
        <v>0</v>
      </c>
      <c r="T2838">
        <v>-6383230</v>
      </c>
      <c r="U2838">
        <v>0</v>
      </c>
      <c r="V2838">
        <v>0</v>
      </c>
      <c r="W2838">
        <v>0</v>
      </c>
      <c r="X2838">
        <v>0</v>
      </c>
      <c r="Y2838" t="s">
        <v>846</v>
      </c>
      <c r="AA2838" t="s">
        <v>2113</v>
      </c>
      <c r="AB2838" t="s">
        <v>51</v>
      </c>
      <c r="AC2838" t="s">
        <v>51</v>
      </c>
      <c r="AD2838" t="s">
        <v>51</v>
      </c>
      <c r="AE2838" t="s">
        <v>51</v>
      </c>
      <c r="AF2838" t="s">
        <v>821</v>
      </c>
    </row>
    <row r="2839" spans="1:32" ht="14.5" customHeight="1" x14ac:dyDescent="0.35">
      <c r="A2839" t="s">
        <v>498</v>
      </c>
      <c r="B2839" t="s">
        <v>546</v>
      </c>
      <c r="C2839" t="s">
        <v>929</v>
      </c>
      <c r="D2839">
        <v>3100440</v>
      </c>
      <c r="E2839">
        <v>3100441</v>
      </c>
      <c r="F2839" t="s">
        <v>2112</v>
      </c>
      <c r="G2839" t="s">
        <v>2112</v>
      </c>
      <c r="H2839" t="s">
        <v>111</v>
      </c>
      <c r="I2839">
        <v>6941209</v>
      </c>
      <c r="J2839" s="12">
        <v>46006</v>
      </c>
      <c r="K2839" s="12">
        <v>46006</v>
      </c>
      <c r="L2839" s="12">
        <v>46006</v>
      </c>
      <c r="M2839">
        <v>126</v>
      </c>
      <c r="N2839">
        <v>-2934248</v>
      </c>
      <c r="O2839">
        <v>-2934248</v>
      </c>
      <c r="P2839">
        <v>0</v>
      </c>
      <c r="Q2839">
        <v>0</v>
      </c>
      <c r="R2839">
        <v>0</v>
      </c>
      <c r="S2839">
        <v>0</v>
      </c>
      <c r="T2839">
        <v>-2934248</v>
      </c>
      <c r="U2839">
        <v>0</v>
      </c>
      <c r="V2839">
        <v>0</v>
      </c>
      <c r="W2839">
        <v>0</v>
      </c>
      <c r="X2839">
        <v>0</v>
      </c>
      <c r="Y2839" t="s">
        <v>846</v>
      </c>
      <c r="AA2839" t="s">
        <v>2113</v>
      </c>
      <c r="AB2839" t="s">
        <v>51</v>
      </c>
      <c r="AC2839" t="s">
        <v>51</v>
      </c>
      <c r="AD2839" t="s">
        <v>51</v>
      </c>
      <c r="AE2839" t="s">
        <v>51</v>
      </c>
      <c r="AF2839" t="s">
        <v>434</v>
      </c>
    </row>
    <row r="2840" spans="1:32" ht="14.5" customHeight="1" x14ac:dyDescent="0.35">
      <c r="A2840" t="s">
        <v>498</v>
      </c>
      <c r="B2840" t="s">
        <v>546</v>
      </c>
      <c r="C2840" t="s">
        <v>929</v>
      </c>
      <c r="D2840">
        <v>3100440</v>
      </c>
      <c r="E2840">
        <v>3100721</v>
      </c>
      <c r="F2840" t="s">
        <v>2112</v>
      </c>
      <c r="G2840" t="s">
        <v>2126</v>
      </c>
      <c r="H2840" t="s">
        <v>111</v>
      </c>
      <c r="I2840">
        <v>6941210</v>
      </c>
      <c r="J2840" s="12">
        <v>46006</v>
      </c>
      <c r="K2840" s="12">
        <v>46006</v>
      </c>
      <c r="L2840" s="12">
        <v>46006</v>
      </c>
      <c r="M2840">
        <v>126</v>
      </c>
      <c r="N2840">
        <v>-1768798</v>
      </c>
      <c r="O2840">
        <v>-1768798</v>
      </c>
      <c r="P2840">
        <v>0</v>
      </c>
      <c r="Q2840">
        <v>0</v>
      </c>
      <c r="R2840">
        <v>0</v>
      </c>
      <c r="S2840">
        <v>0</v>
      </c>
      <c r="T2840">
        <v>-1768798</v>
      </c>
      <c r="U2840">
        <v>0</v>
      </c>
      <c r="V2840">
        <v>0</v>
      </c>
      <c r="W2840">
        <v>0</v>
      </c>
      <c r="X2840">
        <v>0</v>
      </c>
      <c r="Y2840" t="s">
        <v>929</v>
      </c>
      <c r="AA2840" t="s">
        <v>2113</v>
      </c>
      <c r="AB2840" t="s">
        <v>51</v>
      </c>
      <c r="AC2840" t="s">
        <v>51</v>
      </c>
      <c r="AD2840" t="s">
        <v>51</v>
      </c>
      <c r="AE2840" t="s">
        <v>51</v>
      </c>
      <c r="AF2840" t="s">
        <v>305</v>
      </c>
    </row>
    <row r="2841" spans="1:32" ht="14.5" customHeight="1" x14ac:dyDescent="0.35">
      <c r="A2841" t="s">
        <v>498</v>
      </c>
      <c r="B2841" t="s">
        <v>546</v>
      </c>
      <c r="C2841" t="s">
        <v>929</v>
      </c>
      <c r="D2841">
        <v>3100440</v>
      </c>
      <c r="E2841">
        <v>3100721</v>
      </c>
      <c r="F2841" t="s">
        <v>2112</v>
      </c>
      <c r="G2841" t="s">
        <v>2126</v>
      </c>
      <c r="H2841" t="s">
        <v>111</v>
      </c>
      <c r="I2841">
        <v>6941211</v>
      </c>
      <c r="J2841" s="12">
        <v>46006</v>
      </c>
      <c r="K2841" s="12">
        <v>46006</v>
      </c>
      <c r="L2841" s="12">
        <v>46006</v>
      </c>
      <c r="M2841">
        <v>126</v>
      </c>
      <c r="N2841">
        <v>-26044206</v>
      </c>
      <c r="O2841">
        <v>-26044206</v>
      </c>
      <c r="P2841">
        <v>0</v>
      </c>
      <c r="Q2841">
        <v>0</v>
      </c>
      <c r="R2841">
        <v>0</v>
      </c>
      <c r="S2841">
        <v>0</v>
      </c>
      <c r="T2841">
        <v>-26044206</v>
      </c>
      <c r="U2841">
        <v>0</v>
      </c>
      <c r="V2841">
        <v>0</v>
      </c>
      <c r="W2841">
        <v>0</v>
      </c>
      <c r="X2841">
        <v>0</v>
      </c>
      <c r="Y2841" t="s">
        <v>929</v>
      </c>
      <c r="AA2841" t="s">
        <v>2113</v>
      </c>
      <c r="AB2841" t="s">
        <v>51</v>
      </c>
      <c r="AC2841" t="s">
        <v>51</v>
      </c>
      <c r="AD2841" t="s">
        <v>51</v>
      </c>
      <c r="AE2841" t="s">
        <v>51</v>
      </c>
      <c r="AF2841" t="s">
        <v>2127</v>
      </c>
    </row>
    <row r="2842" spans="1:32" ht="14.5" customHeight="1" x14ac:dyDescent="0.35">
      <c r="A2842" t="s">
        <v>498</v>
      </c>
      <c r="B2842" t="s">
        <v>546</v>
      </c>
      <c r="C2842" t="s">
        <v>929</v>
      </c>
      <c r="D2842">
        <v>3100440</v>
      </c>
      <c r="E2842">
        <v>3100721</v>
      </c>
      <c r="F2842" t="s">
        <v>2112</v>
      </c>
      <c r="G2842" t="s">
        <v>2126</v>
      </c>
      <c r="H2842" t="s">
        <v>111</v>
      </c>
      <c r="I2842">
        <v>6941212</v>
      </c>
      <c r="J2842" s="12">
        <v>46006</v>
      </c>
      <c r="K2842" s="12">
        <v>46006</v>
      </c>
      <c r="L2842" s="12">
        <v>46006</v>
      </c>
      <c r="M2842">
        <v>126</v>
      </c>
      <c r="N2842">
        <v>-104252047</v>
      </c>
      <c r="O2842">
        <v>-104252047</v>
      </c>
      <c r="P2842">
        <v>0</v>
      </c>
      <c r="Q2842">
        <v>0</v>
      </c>
      <c r="R2842">
        <v>0</v>
      </c>
      <c r="S2842">
        <v>0</v>
      </c>
      <c r="T2842">
        <v>-104252047</v>
      </c>
      <c r="U2842">
        <v>0</v>
      </c>
      <c r="V2842">
        <v>0</v>
      </c>
      <c r="W2842">
        <v>0</v>
      </c>
      <c r="X2842">
        <v>0</v>
      </c>
      <c r="Y2842" t="s">
        <v>929</v>
      </c>
      <c r="AA2842" t="s">
        <v>2113</v>
      </c>
      <c r="AB2842" t="s">
        <v>51</v>
      </c>
      <c r="AC2842" t="s">
        <v>51</v>
      </c>
      <c r="AD2842" t="s">
        <v>51</v>
      </c>
      <c r="AE2842" t="s">
        <v>51</v>
      </c>
      <c r="AF2842" t="s">
        <v>2128</v>
      </c>
    </row>
    <row r="2843" spans="1:32" ht="14.5" customHeight="1" x14ac:dyDescent="0.35">
      <c r="A2843" t="s">
        <v>498</v>
      </c>
      <c r="B2843" t="s">
        <v>546</v>
      </c>
      <c r="C2843" t="s">
        <v>929</v>
      </c>
      <c r="D2843">
        <v>3100440</v>
      </c>
      <c r="E2843">
        <v>3100441</v>
      </c>
      <c r="F2843" t="s">
        <v>2112</v>
      </c>
      <c r="G2843" t="s">
        <v>2112</v>
      </c>
      <c r="H2843" t="s">
        <v>111</v>
      </c>
      <c r="I2843">
        <v>6941213</v>
      </c>
      <c r="J2843" s="12">
        <v>46006</v>
      </c>
      <c r="K2843" s="12">
        <v>46006</v>
      </c>
      <c r="L2843" s="12">
        <v>46006</v>
      </c>
      <c r="M2843">
        <v>126</v>
      </c>
      <c r="N2843">
        <v>-783700</v>
      </c>
      <c r="O2843">
        <v>-783700</v>
      </c>
      <c r="P2843">
        <v>0</v>
      </c>
      <c r="Q2843">
        <v>0</v>
      </c>
      <c r="R2843">
        <v>0</v>
      </c>
      <c r="S2843">
        <v>0</v>
      </c>
      <c r="T2843">
        <v>-783700</v>
      </c>
      <c r="U2843">
        <v>0</v>
      </c>
      <c r="V2843">
        <v>0</v>
      </c>
      <c r="W2843">
        <v>0</v>
      </c>
      <c r="X2843">
        <v>0</v>
      </c>
      <c r="Y2843" t="s">
        <v>846</v>
      </c>
      <c r="AA2843" t="s">
        <v>2113</v>
      </c>
      <c r="AB2843" t="s">
        <v>51</v>
      </c>
      <c r="AC2843" t="s">
        <v>51</v>
      </c>
      <c r="AD2843" t="s">
        <v>51</v>
      </c>
      <c r="AE2843" t="s">
        <v>51</v>
      </c>
      <c r="AF2843" t="s">
        <v>528</v>
      </c>
    </row>
    <row r="2844" spans="1:32" ht="14.5" customHeight="1" x14ac:dyDescent="0.35">
      <c r="A2844" t="s">
        <v>498</v>
      </c>
      <c r="B2844" t="s">
        <v>546</v>
      </c>
      <c r="C2844" t="s">
        <v>929</v>
      </c>
      <c r="D2844">
        <v>3100440</v>
      </c>
      <c r="E2844">
        <v>3100441</v>
      </c>
      <c r="F2844" t="s">
        <v>2112</v>
      </c>
      <c r="G2844" t="s">
        <v>2112</v>
      </c>
      <c r="H2844" t="s">
        <v>111</v>
      </c>
      <c r="I2844">
        <v>6941214</v>
      </c>
      <c r="J2844" s="12">
        <v>46006</v>
      </c>
      <c r="K2844" s="12">
        <v>46006</v>
      </c>
      <c r="L2844" s="12">
        <v>46006</v>
      </c>
      <c r="M2844">
        <v>126</v>
      </c>
      <c r="N2844">
        <v>-206999</v>
      </c>
      <c r="O2844">
        <v>-206999</v>
      </c>
      <c r="P2844">
        <v>0</v>
      </c>
      <c r="Q2844">
        <v>0</v>
      </c>
      <c r="R2844">
        <v>0</v>
      </c>
      <c r="S2844">
        <v>0</v>
      </c>
      <c r="T2844">
        <v>-206999</v>
      </c>
      <c r="U2844">
        <v>0</v>
      </c>
      <c r="V2844">
        <v>0</v>
      </c>
      <c r="W2844">
        <v>0</v>
      </c>
      <c r="X2844">
        <v>0</v>
      </c>
      <c r="Y2844" t="s">
        <v>846</v>
      </c>
      <c r="AA2844" t="s">
        <v>2113</v>
      </c>
      <c r="AB2844" t="s">
        <v>51</v>
      </c>
      <c r="AC2844" t="s">
        <v>51</v>
      </c>
      <c r="AD2844" t="s">
        <v>51</v>
      </c>
      <c r="AE2844" t="s">
        <v>51</v>
      </c>
      <c r="AF2844" t="s">
        <v>1694</v>
      </c>
    </row>
    <row r="2845" spans="1:32" ht="14.5" customHeight="1" x14ac:dyDescent="0.35">
      <c r="A2845" t="s">
        <v>498</v>
      </c>
      <c r="B2845" t="s">
        <v>546</v>
      </c>
      <c r="C2845" t="s">
        <v>929</v>
      </c>
      <c r="D2845">
        <v>3100440</v>
      </c>
      <c r="E2845">
        <v>3100441</v>
      </c>
      <c r="F2845" t="s">
        <v>2112</v>
      </c>
      <c r="G2845" t="s">
        <v>2112</v>
      </c>
      <c r="H2845" t="s">
        <v>111</v>
      </c>
      <c r="I2845">
        <v>6941215</v>
      </c>
      <c r="J2845" s="12">
        <v>46006</v>
      </c>
      <c r="K2845" s="12">
        <v>46006</v>
      </c>
      <c r="L2845" s="12">
        <v>46006</v>
      </c>
      <c r="M2845">
        <v>126</v>
      </c>
      <c r="N2845">
        <v>-637500</v>
      </c>
      <c r="O2845">
        <v>-637500</v>
      </c>
      <c r="P2845">
        <v>0</v>
      </c>
      <c r="Q2845">
        <v>0</v>
      </c>
      <c r="R2845">
        <v>0</v>
      </c>
      <c r="S2845">
        <v>0</v>
      </c>
      <c r="T2845">
        <v>-637500</v>
      </c>
      <c r="U2845">
        <v>0</v>
      </c>
      <c r="V2845">
        <v>0</v>
      </c>
      <c r="W2845">
        <v>0</v>
      </c>
      <c r="X2845">
        <v>0</v>
      </c>
      <c r="Y2845" t="s">
        <v>846</v>
      </c>
      <c r="AA2845" t="s">
        <v>2113</v>
      </c>
      <c r="AB2845" t="s">
        <v>51</v>
      </c>
      <c r="AC2845" t="s">
        <v>51</v>
      </c>
      <c r="AD2845" t="s">
        <v>51</v>
      </c>
      <c r="AE2845" t="s">
        <v>51</v>
      </c>
      <c r="AF2845" t="s">
        <v>2125</v>
      </c>
    </row>
    <row r="2846" spans="1:32" ht="14.5" customHeight="1" x14ac:dyDescent="0.35">
      <c r="A2846" t="s">
        <v>498</v>
      </c>
      <c r="B2846" t="s">
        <v>546</v>
      </c>
      <c r="C2846" t="s">
        <v>929</v>
      </c>
      <c r="D2846">
        <v>3100440</v>
      </c>
      <c r="E2846">
        <v>3100441</v>
      </c>
      <c r="F2846" t="s">
        <v>2112</v>
      </c>
      <c r="G2846" t="s">
        <v>2112</v>
      </c>
      <c r="H2846" t="s">
        <v>111</v>
      </c>
      <c r="I2846">
        <v>6941216</v>
      </c>
      <c r="J2846" s="12">
        <v>46006</v>
      </c>
      <c r="K2846" s="12">
        <v>46006</v>
      </c>
      <c r="L2846" s="12">
        <v>46006</v>
      </c>
      <c r="M2846">
        <v>126</v>
      </c>
      <c r="N2846">
        <v>-1015810</v>
      </c>
      <c r="O2846">
        <v>-1015810</v>
      </c>
      <c r="P2846">
        <v>0</v>
      </c>
      <c r="Q2846">
        <v>0</v>
      </c>
      <c r="R2846">
        <v>0</v>
      </c>
      <c r="S2846">
        <v>0</v>
      </c>
      <c r="T2846">
        <v>-1015810</v>
      </c>
      <c r="U2846">
        <v>0</v>
      </c>
      <c r="V2846">
        <v>0</v>
      </c>
      <c r="W2846">
        <v>0</v>
      </c>
      <c r="X2846">
        <v>0</v>
      </c>
      <c r="Y2846" t="s">
        <v>846</v>
      </c>
      <c r="AA2846" t="s">
        <v>2113</v>
      </c>
      <c r="AB2846" t="s">
        <v>51</v>
      </c>
      <c r="AC2846" t="s">
        <v>51</v>
      </c>
      <c r="AD2846" t="s">
        <v>51</v>
      </c>
      <c r="AE2846" t="s">
        <v>51</v>
      </c>
      <c r="AF2846" t="s">
        <v>299</v>
      </c>
    </row>
    <row r="2847" spans="1:32" ht="14.5" customHeight="1" x14ac:dyDescent="0.35">
      <c r="A2847" t="s">
        <v>498</v>
      </c>
      <c r="B2847" t="s">
        <v>546</v>
      </c>
      <c r="C2847" t="s">
        <v>929</v>
      </c>
      <c r="D2847">
        <v>3100440</v>
      </c>
      <c r="E2847">
        <v>3100441</v>
      </c>
      <c r="F2847" t="s">
        <v>2112</v>
      </c>
      <c r="G2847" t="s">
        <v>2112</v>
      </c>
      <c r="H2847" t="s">
        <v>111</v>
      </c>
      <c r="I2847">
        <v>6941217</v>
      </c>
      <c r="J2847" s="12">
        <v>46006</v>
      </c>
      <c r="K2847" s="12">
        <v>46006</v>
      </c>
      <c r="L2847" s="12">
        <v>46006</v>
      </c>
      <c r="M2847">
        <v>126</v>
      </c>
      <c r="N2847">
        <v>-5233496</v>
      </c>
      <c r="O2847">
        <v>-5233496</v>
      </c>
      <c r="P2847">
        <v>0</v>
      </c>
      <c r="Q2847">
        <v>0</v>
      </c>
      <c r="R2847">
        <v>0</v>
      </c>
      <c r="S2847">
        <v>0</v>
      </c>
      <c r="T2847">
        <v>-5233496</v>
      </c>
      <c r="U2847">
        <v>0</v>
      </c>
      <c r="V2847">
        <v>0</v>
      </c>
      <c r="W2847">
        <v>0</v>
      </c>
      <c r="X2847">
        <v>0</v>
      </c>
      <c r="Y2847" t="s">
        <v>846</v>
      </c>
      <c r="AA2847" t="s">
        <v>2113</v>
      </c>
      <c r="AB2847" t="s">
        <v>51</v>
      </c>
      <c r="AC2847" t="s">
        <v>51</v>
      </c>
      <c r="AD2847" t="s">
        <v>51</v>
      </c>
      <c r="AE2847" t="s">
        <v>51</v>
      </c>
      <c r="AF2847" t="s">
        <v>1568</v>
      </c>
    </row>
    <row r="2848" spans="1:32" ht="14.5" customHeight="1" x14ac:dyDescent="0.35">
      <c r="A2848" t="s">
        <v>498</v>
      </c>
      <c r="B2848" t="s">
        <v>546</v>
      </c>
      <c r="C2848" t="s">
        <v>929</v>
      </c>
      <c r="D2848">
        <v>3100440</v>
      </c>
      <c r="E2848">
        <v>3100441</v>
      </c>
      <c r="F2848" t="s">
        <v>2112</v>
      </c>
      <c r="G2848" t="s">
        <v>2112</v>
      </c>
      <c r="H2848" t="s">
        <v>111</v>
      </c>
      <c r="I2848">
        <v>6941228</v>
      </c>
      <c r="J2848" s="12">
        <v>46006</v>
      </c>
      <c r="K2848" s="12">
        <v>46006</v>
      </c>
      <c r="L2848" s="12">
        <v>46006</v>
      </c>
      <c r="M2848">
        <v>126</v>
      </c>
      <c r="N2848">
        <v>-2389697</v>
      </c>
      <c r="O2848">
        <v>-2389697</v>
      </c>
      <c r="P2848">
        <v>0</v>
      </c>
      <c r="Q2848">
        <v>0</v>
      </c>
      <c r="R2848">
        <v>0</v>
      </c>
      <c r="S2848">
        <v>0</v>
      </c>
      <c r="T2848">
        <v>-2389697</v>
      </c>
      <c r="U2848">
        <v>0</v>
      </c>
      <c r="V2848">
        <v>0</v>
      </c>
      <c r="W2848">
        <v>0</v>
      </c>
      <c r="X2848">
        <v>0</v>
      </c>
      <c r="Y2848" t="s">
        <v>846</v>
      </c>
      <c r="AA2848" t="s">
        <v>2113</v>
      </c>
      <c r="AB2848" t="s">
        <v>51</v>
      </c>
      <c r="AC2848" t="s">
        <v>51</v>
      </c>
      <c r="AD2848" t="s">
        <v>51</v>
      </c>
      <c r="AE2848" t="s">
        <v>51</v>
      </c>
      <c r="AF2848" t="s">
        <v>2129</v>
      </c>
    </row>
    <row r="2849" spans="1:32" ht="14.5" customHeight="1" x14ac:dyDescent="0.35">
      <c r="A2849" t="s">
        <v>498</v>
      </c>
      <c r="B2849" t="s">
        <v>546</v>
      </c>
      <c r="C2849" t="s">
        <v>929</v>
      </c>
      <c r="D2849">
        <v>3100440</v>
      </c>
      <c r="E2849">
        <v>3100441</v>
      </c>
      <c r="F2849" t="s">
        <v>2112</v>
      </c>
      <c r="G2849" t="s">
        <v>2112</v>
      </c>
      <c r="H2849" t="s">
        <v>111</v>
      </c>
      <c r="I2849">
        <v>6941230</v>
      </c>
      <c r="J2849" s="12">
        <v>46006</v>
      </c>
      <c r="K2849" s="12">
        <v>46006</v>
      </c>
      <c r="L2849" s="12">
        <v>46006</v>
      </c>
      <c r="M2849">
        <v>126</v>
      </c>
      <c r="N2849">
        <v>-1278141</v>
      </c>
      <c r="O2849">
        <v>-1278141</v>
      </c>
      <c r="P2849">
        <v>0</v>
      </c>
      <c r="Q2849">
        <v>0</v>
      </c>
      <c r="R2849">
        <v>0</v>
      </c>
      <c r="S2849">
        <v>0</v>
      </c>
      <c r="T2849">
        <v>-1278141</v>
      </c>
      <c r="U2849">
        <v>0</v>
      </c>
      <c r="V2849">
        <v>0</v>
      </c>
      <c r="W2849">
        <v>0</v>
      </c>
      <c r="X2849">
        <v>0</v>
      </c>
      <c r="Y2849" t="s">
        <v>846</v>
      </c>
      <c r="AA2849" t="s">
        <v>2113</v>
      </c>
      <c r="AB2849" t="s">
        <v>51</v>
      </c>
      <c r="AC2849" t="s">
        <v>51</v>
      </c>
      <c r="AD2849" t="s">
        <v>51</v>
      </c>
      <c r="AE2849" t="s">
        <v>51</v>
      </c>
      <c r="AF2849" t="s">
        <v>821</v>
      </c>
    </row>
    <row r="2850" spans="1:32" ht="14.5" customHeight="1" x14ac:dyDescent="0.35">
      <c r="A2850" t="s">
        <v>498</v>
      </c>
      <c r="B2850" t="s">
        <v>546</v>
      </c>
      <c r="C2850" t="s">
        <v>929</v>
      </c>
      <c r="D2850">
        <v>3100440</v>
      </c>
      <c r="E2850">
        <v>3100441</v>
      </c>
      <c r="F2850" t="s">
        <v>2112</v>
      </c>
      <c r="G2850" t="s">
        <v>2112</v>
      </c>
      <c r="H2850" t="s">
        <v>111</v>
      </c>
      <c r="I2850">
        <v>6941231</v>
      </c>
      <c r="J2850" s="12">
        <v>46006</v>
      </c>
      <c r="K2850" s="12">
        <v>46006</v>
      </c>
      <c r="L2850" s="12">
        <v>46006</v>
      </c>
      <c r="M2850">
        <v>126</v>
      </c>
      <c r="N2850">
        <v>-1876048</v>
      </c>
      <c r="O2850">
        <v>-1876048</v>
      </c>
      <c r="P2850">
        <v>0</v>
      </c>
      <c r="Q2850">
        <v>0</v>
      </c>
      <c r="R2850">
        <v>0</v>
      </c>
      <c r="S2850">
        <v>0</v>
      </c>
      <c r="T2850">
        <v>-1876048</v>
      </c>
      <c r="U2850">
        <v>0</v>
      </c>
      <c r="V2850">
        <v>0</v>
      </c>
      <c r="W2850">
        <v>0</v>
      </c>
      <c r="X2850">
        <v>0</v>
      </c>
      <c r="Y2850" t="s">
        <v>846</v>
      </c>
      <c r="AA2850" t="s">
        <v>2113</v>
      </c>
      <c r="AB2850" t="s">
        <v>51</v>
      </c>
      <c r="AC2850" t="s">
        <v>51</v>
      </c>
      <c r="AD2850" t="s">
        <v>51</v>
      </c>
      <c r="AE2850" t="s">
        <v>51</v>
      </c>
      <c r="AF2850" t="s">
        <v>1809</v>
      </c>
    </row>
    <row r="2851" spans="1:32" ht="14.5" customHeight="1" x14ac:dyDescent="0.35">
      <c r="A2851" t="s">
        <v>498</v>
      </c>
      <c r="B2851" t="s">
        <v>546</v>
      </c>
      <c r="C2851" t="s">
        <v>929</v>
      </c>
      <c r="D2851">
        <v>3100440</v>
      </c>
      <c r="E2851">
        <v>3100721</v>
      </c>
      <c r="F2851" t="s">
        <v>2112</v>
      </c>
      <c r="G2851" t="s">
        <v>2126</v>
      </c>
      <c r="H2851" t="s">
        <v>111</v>
      </c>
      <c r="I2851">
        <v>6941232</v>
      </c>
      <c r="J2851" s="12">
        <v>46006</v>
      </c>
      <c r="K2851" s="12">
        <v>46006</v>
      </c>
      <c r="L2851" s="12">
        <v>46006</v>
      </c>
      <c r="M2851">
        <v>126</v>
      </c>
      <c r="N2851">
        <v>-2464188</v>
      </c>
      <c r="O2851">
        <v>-2464188</v>
      </c>
      <c r="P2851">
        <v>0</v>
      </c>
      <c r="Q2851">
        <v>0</v>
      </c>
      <c r="R2851">
        <v>0</v>
      </c>
      <c r="S2851">
        <v>0</v>
      </c>
      <c r="T2851">
        <v>-2464188</v>
      </c>
      <c r="U2851">
        <v>0</v>
      </c>
      <c r="V2851">
        <v>0</v>
      </c>
      <c r="W2851">
        <v>0</v>
      </c>
      <c r="X2851">
        <v>0</v>
      </c>
      <c r="Y2851" t="s">
        <v>929</v>
      </c>
      <c r="AA2851" t="s">
        <v>2113</v>
      </c>
      <c r="AB2851" t="s">
        <v>51</v>
      </c>
      <c r="AC2851" t="s">
        <v>51</v>
      </c>
      <c r="AD2851" t="s">
        <v>51</v>
      </c>
      <c r="AE2851" t="s">
        <v>51</v>
      </c>
      <c r="AF2851" t="s">
        <v>174</v>
      </c>
    </row>
    <row r="2852" spans="1:32" ht="14.5" customHeight="1" x14ac:dyDescent="0.35">
      <c r="A2852" t="s">
        <v>498</v>
      </c>
      <c r="B2852" t="s">
        <v>546</v>
      </c>
      <c r="C2852" t="s">
        <v>929</v>
      </c>
      <c r="D2852">
        <v>3100440</v>
      </c>
      <c r="E2852">
        <v>3100721</v>
      </c>
      <c r="F2852" t="s">
        <v>2112</v>
      </c>
      <c r="G2852" t="s">
        <v>2126</v>
      </c>
      <c r="H2852" t="s">
        <v>111</v>
      </c>
      <c r="I2852">
        <v>6941233</v>
      </c>
      <c r="J2852" s="12">
        <v>46006</v>
      </c>
      <c r="K2852" s="12">
        <v>46006</v>
      </c>
      <c r="L2852" s="12">
        <v>46006</v>
      </c>
      <c r="M2852">
        <v>126</v>
      </c>
      <c r="N2852">
        <v>-10004104</v>
      </c>
      <c r="O2852">
        <v>-10004104</v>
      </c>
      <c r="P2852">
        <v>0</v>
      </c>
      <c r="Q2852">
        <v>0</v>
      </c>
      <c r="R2852">
        <v>0</v>
      </c>
      <c r="S2852">
        <v>0</v>
      </c>
      <c r="T2852">
        <v>-10004104</v>
      </c>
      <c r="U2852">
        <v>0</v>
      </c>
      <c r="V2852">
        <v>0</v>
      </c>
      <c r="W2852">
        <v>0</v>
      </c>
      <c r="X2852">
        <v>0</v>
      </c>
      <c r="Y2852" t="s">
        <v>929</v>
      </c>
      <c r="AA2852" t="s">
        <v>2113</v>
      </c>
      <c r="AB2852" t="s">
        <v>51</v>
      </c>
      <c r="AC2852" t="s">
        <v>51</v>
      </c>
      <c r="AD2852" t="s">
        <v>51</v>
      </c>
      <c r="AE2852" t="s">
        <v>51</v>
      </c>
      <c r="AF2852" t="s">
        <v>960</v>
      </c>
    </row>
    <row r="2853" spans="1:32" ht="14.5" customHeight="1" x14ac:dyDescent="0.35">
      <c r="A2853" t="s">
        <v>498</v>
      </c>
      <c r="B2853" t="s">
        <v>546</v>
      </c>
      <c r="C2853" t="s">
        <v>929</v>
      </c>
      <c r="D2853">
        <v>3100440</v>
      </c>
      <c r="E2853">
        <v>3100721</v>
      </c>
      <c r="F2853" t="s">
        <v>2112</v>
      </c>
      <c r="G2853" t="s">
        <v>2126</v>
      </c>
      <c r="H2853" t="s">
        <v>111</v>
      </c>
      <c r="I2853">
        <v>6941234</v>
      </c>
      <c r="J2853" s="12">
        <v>46006</v>
      </c>
      <c r="K2853" s="12">
        <v>46006</v>
      </c>
      <c r="L2853" s="12">
        <v>46006</v>
      </c>
      <c r="M2853">
        <v>126</v>
      </c>
      <c r="N2853">
        <v>-7272698</v>
      </c>
      <c r="O2853">
        <v>-7272698</v>
      </c>
      <c r="P2853">
        <v>0</v>
      </c>
      <c r="Q2853">
        <v>0</v>
      </c>
      <c r="R2853">
        <v>0</v>
      </c>
      <c r="S2853">
        <v>0</v>
      </c>
      <c r="T2853">
        <v>-7272698</v>
      </c>
      <c r="U2853">
        <v>0</v>
      </c>
      <c r="V2853">
        <v>0</v>
      </c>
      <c r="W2853">
        <v>0</v>
      </c>
      <c r="X2853">
        <v>0</v>
      </c>
      <c r="Y2853" t="s">
        <v>929</v>
      </c>
      <c r="AA2853" t="s">
        <v>2113</v>
      </c>
      <c r="AB2853" t="s">
        <v>51</v>
      </c>
      <c r="AC2853" t="s">
        <v>51</v>
      </c>
      <c r="AD2853" t="s">
        <v>51</v>
      </c>
      <c r="AE2853" t="s">
        <v>51</v>
      </c>
      <c r="AF2853" t="s">
        <v>165</v>
      </c>
    </row>
    <row r="2854" spans="1:32" ht="14.5" customHeight="1" x14ac:dyDescent="0.35">
      <c r="A2854" t="s">
        <v>498</v>
      </c>
      <c r="B2854" t="s">
        <v>546</v>
      </c>
      <c r="C2854" t="s">
        <v>929</v>
      </c>
      <c r="D2854">
        <v>3100440</v>
      </c>
      <c r="E2854">
        <v>3100721</v>
      </c>
      <c r="F2854" t="s">
        <v>2112</v>
      </c>
      <c r="G2854" t="s">
        <v>2126</v>
      </c>
      <c r="H2854" t="s">
        <v>111</v>
      </c>
      <c r="I2854">
        <v>6941235</v>
      </c>
      <c r="J2854" s="12">
        <v>46006</v>
      </c>
      <c r="K2854" s="12">
        <v>46006</v>
      </c>
      <c r="L2854" s="12">
        <v>46006</v>
      </c>
      <c r="M2854">
        <v>126</v>
      </c>
      <c r="N2854">
        <v>-588659</v>
      </c>
      <c r="O2854">
        <v>-588659</v>
      </c>
      <c r="P2854">
        <v>0</v>
      </c>
      <c r="Q2854">
        <v>0</v>
      </c>
      <c r="R2854">
        <v>0</v>
      </c>
      <c r="S2854">
        <v>0</v>
      </c>
      <c r="T2854">
        <v>-588659</v>
      </c>
      <c r="U2854">
        <v>0</v>
      </c>
      <c r="V2854">
        <v>0</v>
      </c>
      <c r="W2854">
        <v>0</v>
      </c>
      <c r="X2854">
        <v>0</v>
      </c>
      <c r="Y2854" t="s">
        <v>929</v>
      </c>
      <c r="AA2854" t="s">
        <v>2113</v>
      </c>
      <c r="AB2854" t="s">
        <v>51</v>
      </c>
      <c r="AC2854" t="s">
        <v>51</v>
      </c>
      <c r="AD2854" t="s">
        <v>51</v>
      </c>
      <c r="AE2854" t="s">
        <v>51</v>
      </c>
      <c r="AF2854" t="s">
        <v>2130</v>
      </c>
    </row>
    <row r="2855" spans="1:32" ht="14.5" customHeight="1" x14ac:dyDescent="0.35">
      <c r="A2855" t="s">
        <v>498</v>
      </c>
      <c r="B2855" t="s">
        <v>546</v>
      </c>
      <c r="C2855" t="s">
        <v>47</v>
      </c>
      <c r="D2855">
        <v>3100440</v>
      </c>
      <c r="E2855">
        <v>3100441</v>
      </c>
      <c r="F2855" t="s">
        <v>2112</v>
      </c>
      <c r="G2855" t="s">
        <v>2112</v>
      </c>
      <c r="H2855" t="s">
        <v>54</v>
      </c>
      <c r="I2855">
        <v>6941414</v>
      </c>
      <c r="J2855" s="12">
        <v>46007</v>
      </c>
      <c r="K2855" s="12">
        <v>46007</v>
      </c>
      <c r="L2855" s="12">
        <v>46007</v>
      </c>
      <c r="M2855">
        <v>125</v>
      </c>
      <c r="N2855">
        <v>-6052000</v>
      </c>
      <c r="O2855">
        <v>-6052000</v>
      </c>
      <c r="P2855">
        <v>0</v>
      </c>
      <c r="Q2855">
        <v>0</v>
      </c>
      <c r="R2855">
        <v>0</v>
      </c>
      <c r="S2855">
        <v>0</v>
      </c>
      <c r="T2855">
        <v>-6052000</v>
      </c>
      <c r="U2855">
        <v>0</v>
      </c>
      <c r="V2855">
        <v>0</v>
      </c>
      <c r="W2855">
        <v>0</v>
      </c>
      <c r="X2855">
        <v>0</v>
      </c>
      <c r="Y2855" t="s">
        <v>846</v>
      </c>
      <c r="AA2855" t="s">
        <v>2113</v>
      </c>
      <c r="AB2855" t="s">
        <v>51</v>
      </c>
      <c r="AC2855" t="s">
        <v>51</v>
      </c>
      <c r="AD2855" t="s">
        <v>51</v>
      </c>
      <c r="AE2855" t="s">
        <v>51</v>
      </c>
      <c r="AF2855" t="s">
        <v>2131</v>
      </c>
    </row>
    <row r="2856" spans="1:32" ht="14.5" customHeight="1" x14ac:dyDescent="0.35">
      <c r="A2856" t="s">
        <v>498</v>
      </c>
      <c r="B2856" t="s">
        <v>546</v>
      </c>
      <c r="C2856" t="s">
        <v>47</v>
      </c>
      <c r="D2856">
        <v>3100440</v>
      </c>
      <c r="E2856">
        <v>3100441</v>
      </c>
      <c r="F2856" t="s">
        <v>2112</v>
      </c>
      <c r="G2856" t="s">
        <v>2112</v>
      </c>
      <c r="H2856" t="s">
        <v>54</v>
      </c>
      <c r="I2856">
        <v>6941415</v>
      </c>
      <c r="J2856" s="12">
        <v>46007</v>
      </c>
      <c r="K2856" s="12">
        <v>46007</v>
      </c>
      <c r="L2856" s="12">
        <v>46007</v>
      </c>
      <c r="M2856">
        <v>125</v>
      </c>
      <c r="N2856">
        <v>-2329000</v>
      </c>
      <c r="O2856">
        <v>-2329000</v>
      </c>
      <c r="P2856">
        <v>0</v>
      </c>
      <c r="Q2856">
        <v>0</v>
      </c>
      <c r="R2856">
        <v>0</v>
      </c>
      <c r="S2856">
        <v>0</v>
      </c>
      <c r="T2856">
        <v>-2329000</v>
      </c>
      <c r="U2856">
        <v>0</v>
      </c>
      <c r="V2856">
        <v>0</v>
      </c>
      <c r="W2856">
        <v>0</v>
      </c>
      <c r="X2856">
        <v>0</v>
      </c>
      <c r="Y2856" t="s">
        <v>846</v>
      </c>
      <c r="AA2856" t="s">
        <v>2113</v>
      </c>
      <c r="AB2856" t="s">
        <v>51</v>
      </c>
      <c r="AC2856" t="s">
        <v>51</v>
      </c>
      <c r="AD2856" t="s">
        <v>51</v>
      </c>
      <c r="AE2856" t="s">
        <v>51</v>
      </c>
      <c r="AF2856" t="s">
        <v>2132</v>
      </c>
    </row>
    <row r="2857" spans="1:32" ht="14.5" customHeight="1" x14ac:dyDescent="0.35">
      <c r="A2857" t="s">
        <v>498</v>
      </c>
      <c r="B2857" t="s">
        <v>546</v>
      </c>
      <c r="C2857" t="s">
        <v>47</v>
      </c>
      <c r="D2857">
        <v>3100440</v>
      </c>
      <c r="E2857">
        <v>3100441</v>
      </c>
      <c r="F2857" t="s">
        <v>2112</v>
      </c>
      <c r="G2857" t="s">
        <v>2112</v>
      </c>
      <c r="H2857" t="s">
        <v>54</v>
      </c>
      <c r="I2857">
        <v>6941796</v>
      </c>
      <c r="J2857" s="12">
        <v>46009</v>
      </c>
      <c r="K2857" s="12">
        <v>46009</v>
      </c>
      <c r="L2857" s="12">
        <v>46009</v>
      </c>
      <c r="M2857">
        <v>123</v>
      </c>
      <c r="N2857">
        <v>-4313750</v>
      </c>
      <c r="O2857">
        <v>-4313750</v>
      </c>
      <c r="P2857">
        <v>0</v>
      </c>
      <c r="Q2857">
        <v>0</v>
      </c>
      <c r="R2857">
        <v>0</v>
      </c>
      <c r="S2857">
        <v>0</v>
      </c>
      <c r="T2857">
        <v>-4313750</v>
      </c>
      <c r="U2857">
        <v>0</v>
      </c>
      <c r="V2857">
        <v>0</v>
      </c>
      <c r="W2857">
        <v>0</v>
      </c>
      <c r="X2857">
        <v>0</v>
      </c>
      <c r="Y2857" t="s">
        <v>846</v>
      </c>
      <c r="AA2857" t="s">
        <v>2113</v>
      </c>
      <c r="AB2857" t="s">
        <v>51</v>
      </c>
      <c r="AC2857" t="s">
        <v>51</v>
      </c>
      <c r="AD2857" t="s">
        <v>51</v>
      </c>
      <c r="AE2857" t="s">
        <v>51</v>
      </c>
      <c r="AF2857" t="s">
        <v>2133</v>
      </c>
    </row>
    <row r="2858" spans="1:32" ht="14.5" customHeight="1" x14ac:dyDescent="0.35">
      <c r="A2858" t="s">
        <v>498</v>
      </c>
      <c r="B2858" t="s">
        <v>546</v>
      </c>
      <c r="C2858" t="s">
        <v>47</v>
      </c>
      <c r="D2858">
        <v>3100440</v>
      </c>
      <c r="E2858">
        <v>3100441</v>
      </c>
      <c r="F2858" t="s">
        <v>2112</v>
      </c>
      <c r="G2858" t="s">
        <v>2112</v>
      </c>
      <c r="H2858" t="s">
        <v>54</v>
      </c>
      <c r="I2858">
        <v>6941872</v>
      </c>
      <c r="J2858" s="12">
        <v>46010</v>
      </c>
      <c r="K2858" s="12">
        <v>46010</v>
      </c>
      <c r="L2858" s="12">
        <v>46010</v>
      </c>
      <c r="M2858">
        <v>122</v>
      </c>
      <c r="N2858">
        <v>-2699999</v>
      </c>
      <c r="O2858">
        <v>-2699999</v>
      </c>
      <c r="P2858">
        <v>0</v>
      </c>
      <c r="Q2858">
        <v>0</v>
      </c>
      <c r="R2858">
        <v>0</v>
      </c>
      <c r="S2858">
        <v>0</v>
      </c>
      <c r="T2858">
        <v>-2699999</v>
      </c>
      <c r="U2858">
        <v>0</v>
      </c>
      <c r="V2858">
        <v>0</v>
      </c>
      <c r="W2858">
        <v>0</v>
      </c>
      <c r="X2858">
        <v>0</v>
      </c>
      <c r="Y2858" t="s">
        <v>846</v>
      </c>
      <c r="AA2858" t="s">
        <v>2113</v>
      </c>
      <c r="AB2858" t="s">
        <v>51</v>
      </c>
      <c r="AC2858" t="s">
        <v>51</v>
      </c>
      <c r="AD2858" t="s">
        <v>51</v>
      </c>
      <c r="AE2858" t="s">
        <v>51</v>
      </c>
      <c r="AF2858" t="s">
        <v>2134</v>
      </c>
    </row>
    <row r="2859" spans="1:32" ht="14.5" customHeight="1" x14ac:dyDescent="0.35">
      <c r="A2859" t="s">
        <v>498</v>
      </c>
      <c r="B2859" t="s">
        <v>546</v>
      </c>
      <c r="C2859" t="s">
        <v>47</v>
      </c>
      <c r="D2859">
        <v>3100440</v>
      </c>
      <c r="E2859">
        <v>3100441</v>
      </c>
      <c r="F2859" t="s">
        <v>2112</v>
      </c>
      <c r="G2859" t="s">
        <v>2112</v>
      </c>
      <c r="H2859" t="s">
        <v>54</v>
      </c>
      <c r="I2859">
        <v>6942779</v>
      </c>
      <c r="J2859" s="12">
        <v>46013</v>
      </c>
      <c r="K2859" s="12">
        <v>46013</v>
      </c>
      <c r="L2859" s="12">
        <v>46013</v>
      </c>
      <c r="M2859">
        <v>119</v>
      </c>
      <c r="N2859">
        <v>-7354000</v>
      </c>
      <c r="O2859">
        <v>-7354000</v>
      </c>
      <c r="P2859">
        <v>0</v>
      </c>
      <c r="Q2859">
        <v>0</v>
      </c>
      <c r="R2859">
        <v>0</v>
      </c>
      <c r="S2859">
        <v>0</v>
      </c>
      <c r="T2859">
        <v>-7354000</v>
      </c>
      <c r="U2859">
        <v>0</v>
      </c>
      <c r="V2859">
        <v>0</v>
      </c>
      <c r="W2859">
        <v>0</v>
      </c>
      <c r="X2859">
        <v>0</v>
      </c>
      <c r="Y2859" t="s">
        <v>846</v>
      </c>
      <c r="AA2859" t="s">
        <v>2113</v>
      </c>
      <c r="AB2859" t="s">
        <v>51</v>
      </c>
      <c r="AC2859" t="s">
        <v>51</v>
      </c>
      <c r="AD2859" t="s">
        <v>51</v>
      </c>
      <c r="AE2859" t="s">
        <v>51</v>
      </c>
      <c r="AF2859" t="s">
        <v>1587</v>
      </c>
    </row>
    <row r="2860" spans="1:32" ht="14.5" customHeight="1" x14ac:dyDescent="0.35">
      <c r="A2860" t="s">
        <v>498</v>
      </c>
      <c r="B2860" t="s">
        <v>546</v>
      </c>
      <c r="C2860" t="s">
        <v>47</v>
      </c>
      <c r="D2860">
        <v>3100440</v>
      </c>
      <c r="E2860">
        <v>3100441</v>
      </c>
      <c r="F2860" t="s">
        <v>2112</v>
      </c>
      <c r="G2860" t="s">
        <v>2112</v>
      </c>
      <c r="H2860" t="s">
        <v>54</v>
      </c>
      <c r="I2860">
        <v>6949244</v>
      </c>
      <c r="J2860" s="12">
        <v>46056</v>
      </c>
      <c r="K2860" s="12">
        <v>46056</v>
      </c>
      <c r="L2860" s="12">
        <v>46056</v>
      </c>
      <c r="M2860">
        <v>76</v>
      </c>
      <c r="N2860">
        <v>-5873500</v>
      </c>
      <c r="O2860">
        <v>-5873500</v>
      </c>
      <c r="P2860">
        <v>0</v>
      </c>
      <c r="Q2860">
        <v>0</v>
      </c>
      <c r="R2860">
        <v>0</v>
      </c>
      <c r="S2860">
        <v>-5873500</v>
      </c>
      <c r="T2860">
        <v>0</v>
      </c>
      <c r="U2860">
        <v>0</v>
      </c>
      <c r="V2860">
        <v>0</v>
      </c>
      <c r="W2860">
        <v>0</v>
      </c>
      <c r="X2860">
        <v>0</v>
      </c>
      <c r="Y2860" t="s">
        <v>846</v>
      </c>
      <c r="AA2860" t="s">
        <v>2113</v>
      </c>
      <c r="AB2860" t="s">
        <v>51</v>
      </c>
      <c r="AC2860" t="s">
        <v>51</v>
      </c>
      <c r="AD2860" t="s">
        <v>51</v>
      </c>
      <c r="AE2860" t="s">
        <v>51</v>
      </c>
      <c r="AF2860" t="s">
        <v>2135</v>
      </c>
    </row>
    <row r="2861" spans="1:32" ht="14.5" customHeight="1" x14ac:dyDescent="0.35">
      <c r="A2861" t="s">
        <v>498</v>
      </c>
      <c r="B2861" t="s">
        <v>546</v>
      </c>
      <c r="C2861" t="s">
        <v>47</v>
      </c>
      <c r="D2861">
        <v>3100440</v>
      </c>
      <c r="E2861">
        <v>3100441</v>
      </c>
      <c r="F2861" t="s">
        <v>2112</v>
      </c>
      <c r="G2861" t="s">
        <v>2112</v>
      </c>
      <c r="H2861" t="s">
        <v>54</v>
      </c>
      <c r="I2861">
        <v>6949779</v>
      </c>
      <c r="J2861" s="12">
        <v>46062</v>
      </c>
      <c r="K2861" s="12">
        <v>46062</v>
      </c>
      <c r="L2861" s="12">
        <v>46062</v>
      </c>
      <c r="M2861">
        <v>70</v>
      </c>
      <c r="N2861">
        <v>-4166905</v>
      </c>
      <c r="O2861">
        <v>-4166905</v>
      </c>
      <c r="P2861">
        <v>0</v>
      </c>
      <c r="Q2861">
        <v>0</v>
      </c>
      <c r="R2861">
        <v>0</v>
      </c>
      <c r="S2861">
        <v>-4166905</v>
      </c>
      <c r="T2861">
        <v>0</v>
      </c>
      <c r="U2861">
        <v>0</v>
      </c>
      <c r="V2861">
        <v>0</v>
      </c>
      <c r="W2861">
        <v>0</v>
      </c>
      <c r="X2861">
        <v>0</v>
      </c>
      <c r="Y2861" t="s">
        <v>846</v>
      </c>
      <c r="AA2861" t="s">
        <v>2113</v>
      </c>
      <c r="AB2861" t="s">
        <v>51</v>
      </c>
      <c r="AC2861" t="s">
        <v>51</v>
      </c>
      <c r="AD2861" t="s">
        <v>51</v>
      </c>
      <c r="AE2861" t="s">
        <v>51</v>
      </c>
      <c r="AF2861" t="s">
        <v>2136</v>
      </c>
    </row>
    <row r="2862" spans="1:32" ht="14.5" customHeight="1" x14ac:dyDescent="0.35">
      <c r="A2862" t="s">
        <v>498</v>
      </c>
      <c r="B2862" t="s">
        <v>546</v>
      </c>
      <c r="C2862" t="s">
        <v>47</v>
      </c>
      <c r="D2862">
        <v>3100440</v>
      </c>
      <c r="E2862">
        <v>3100441</v>
      </c>
      <c r="F2862" t="s">
        <v>2112</v>
      </c>
      <c r="G2862" t="s">
        <v>2112</v>
      </c>
      <c r="H2862" t="s">
        <v>54</v>
      </c>
      <c r="I2862">
        <v>6949780</v>
      </c>
      <c r="J2862" s="12">
        <v>46062</v>
      </c>
      <c r="K2862" s="12">
        <v>46062</v>
      </c>
      <c r="L2862" s="12">
        <v>46062</v>
      </c>
      <c r="M2862">
        <v>70</v>
      </c>
      <c r="N2862">
        <v>-4166905</v>
      </c>
      <c r="O2862">
        <v>-4166905</v>
      </c>
      <c r="P2862">
        <v>0</v>
      </c>
      <c r="Q2862">
        <v>0</v>
      </c>
      <c r="R2862">
        <v>0</v>
      </c>
      <c r="S2862">
        <v>-4166905</v>
      </c>
      <c r="T2862">
        <v>0</v>
      </c>
      <c r="U2862">
        <v>0</v>
      </c>
      <c r="V2862">
        <v>0</v>
      </c>
      <c r="W2862">
        <v>0</v>
      </c>
      <c r="X2862">
        <v>0</v>
      </c>
      <c r="Y2862" t="s">
        <v>846</v>
      </c>
      <c r="AA2862" t="s">
        <v>2113</v>
      </c>
      <c r="AB2862" t="s">
        <v>51</v>
      </c>
      <c r="AC2862" t="s">
        <v>51</v>
      </c>
      <c r="AD2862" t="s">
        <v>51</v>
      </c>
      <c r="AE2862" t="s">
        <v>51</v>
      </c>
      <c r="AF2862" t="s">
        <v>2137</v>
      </c>
    </row>
    <row r="2863" spans="1:32" ht="14.5" customHeight="1" x14ac:dyDescent="0.35">
      <c r="A2863" t="s">
        <v>498</v>
      </c>
      <c r="B2863" t="s">
        <v>546</v>
      </c>
      <c r="C2863" t="s">
        <v>47</v>
      </c>
      <c r="D2863">
        <v>3100440</v>
      </c>
      <c r="E2863">
        <v>3100440</v>
      </c>
      <c r="F2863" t="s">
        <v>2112</v>
      </c>
      <c r="G2863" t="s">
        <v>2112</v>
      </c>
      <c r="H2863" t="s">
        <v>49</v>
      </c>
      <c r="I2863">
        <v>9102044265</v>
      </c>
      <c r="J2863" s="12">
        <v>45961</v>
      </c>
      <c r="K2863" s="12">
        <v>45961</v>
      </c>
      <c r="L2863" s="12">
        <v>45961</v>
      </c>
      <c r="M2863">
        <v>171</v>
      </c>
      <c r="N2863">
        <v>-5396180</v>
      </c>
      <c r="O2863">
        <v>-5396180</v>
      </c>
      <c r="P2863">
        <v>0</v>
      </c>
      <c r="Q2863">
        <v>0</v>
      </c>
      <c r="R2863">
        <v>0</v>
      </c>
      <c r="S2863">
        <v>0</v>
      </c>
      <c r="T2863">
        <v>-5396180</v>
      </c>
      <c r="U2863">
        <v>0</v>
      </c>
      <c r="V2863">
        <v>0</v>
      </c>
      <c r="W2863">
        <v>0</v>
      </c>
      <c r="X2863">
        <v>0</v>
      </c>
      <c r="Y2863" t="s">
        <v>47</v>
      </c>
      <c r="AA2863" t="s">
        <v>50</v>
      </c>
      <c r="AB2863" t="s">
        <v>51</v>
      </c>
      <c r="AC2863" t="s">
        <v>51</v>
      </c>
      <c r="AD2863" t="s">
        <v>51</v>
      </c>
      <c r="AE2863" t="s">
        <v>51</v>
      </c>
      <c r="AF2863" t="s">
        <v>2138</v>
      </c>
    </row>
    <row r="2864" spans="1:32" ht="14.5" customHeight="1" x14ac:dyDescent="0.35">
      <c r="A2864" t="s">
        <v>774</v>
      </c>
      <c r="B2864" t="s">
        <v>775</v>
      </c>
      <c r="C2864" t="s">
        <v>47</v>
      </c>
      <c r="D2864">
        <v>3100468</v>
      </c>
      <c r="E2864">
        <v>3100468</v>
      </c>
      <c r="F2864" t="s">
        <v>2139</v>
      </c>
      <c r="G2864" t="s">
        <v>2139</v>
      </c>
      <c r="H2864" t="s">
        <v>54</v>
      </c>
      <c r="I2864">
        <v>6957985</v>
      </c>
      <c r="J2864" s="12">
        <v>46118</v>
      </c>
      <c r="K2864" s="12">
        <v>46118</v>
      </c>
      <c r="L2864" s="12">
        <v>46118</v>
      </c>
      <c r="M2864">
        <v>14</v>
      </c>
      <c r="N2864">
        <v>-1223782</v>
      </c>
      <c r="O2864">
        <v>-1223782</v>
      </c>
      <c r="P2864">
        <v>0</v>
      </c>
      <c r="Q2864">
        <v>-1223782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 t="s">
        <v>47</v>
      </c>
      <c r="AA2864" t="s">
        <v>2140</v>
      </c>
      <c r="AB2864" t="s">
        <v>51</v>
      </c>
      <c r="AC2864" t="s">
        <v>51</v>
      </c>
      <c r="AD2864" t="s">
        <v>51</v>
      </c>
      <c r="AE2864" t="s">
        <v>51</v>
      </c>
      <c r="AF2864" t="s">
        <v>2141</v>
      </c>
    </row>
    <row r="2865" spans="1:32" ht="14.5" customHeight="1" x14ac:dyDescent="0.35">
      <c r="A2865" t="s">
        <v>774</v>
      </c>
      <c r="B2865" t="s">
        <v>775</v>
      </c>
      <c r="C2865" t="s">
        <v>47</v>
      </c>
      <c r="D2865">
        <v>3100468</v>
      </c>
      <c r="E2865">
        <v>3100468</v>
      </c>
      <c r="F2865" t="s">
        <v>2139</v>
      </c>
      <c r="G2865" t="s">
        <v>2139</v>
      </c>
      <c r="H2865" t="s">
        <v>54</v>
      </c>
      <c r="I2865">
        <v>6957986</v>
      </c>
      <c r="J2865" s="12">
        <v>46118</v>
      </c>
      <c r="K2865" s="12">
        <v>46118</v>
      </c>
      <c r="L2865" s="12">
        <v>46118</v>
      </c>
      <c r="M2865">
        <v>14</v>
      </c>
      <c r="N2865">
        <v>-15750301</v>
      </c>
      <c r="O2865">
        <v>-15750301</v>
      </c>
      <c r="P2865">
        <v>0</v>
      </c>
      <c r="Q2865">
        <v>-15750301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 t="s">
        <v>47</v>
      </c>
      <c r="AA2865" t="s">
        <v>2140</v>
      </c>
      <c r="AB2865" t="s">
        <v>51</v>
      </c>
      <c r="AC2865" t="s">
        <v>51</v>
      </c>
      <c r="AD2865" t="s">
        <v>51</v>
      </c>
      <c r="AE2865" t="s">
        <v>51</v>
      </c>
      <c r="AF2865" t="s">
        <v>2142</v>
      </c>
    </row>
    <row r="2866" spans="1:32" ht="14.5" customHeight="1" x14ac:dyDescent="0.35">
      <c r="A2866" t="s">
        <v>774</v>
      </c>
      <c r="B2866" t="s">
        <v>775</v>
      </c>
      <c r="C2866" t="s">
        <v>47</v>
      </c>
      <c r="D2866">
        <v>3100468</v>
      </c>
      <c r="E2866">
        <v>3100468</v>
      </c>
      <c r="F2866" t="s">
        <v>2139</v>
      </c>
      <c r="G2866" t="s">
        <v>2139</v>
      </c>
      <c r="H2866" t="s">
        <v>54</v>
      </c>
      <c r="I2866">
        <v>6957987</v>
      </c>
      <c r="J2866" s="12">
        <v>46118</v>
      </c>
      <c r="K2866" s="12">
        <v>46118</v>
      </c>
      <c r="L2866" s="12">
        <v>46118</v>
      </c>
      <c r="M2866">
        <v>14</v>
      </c>
      <c r="N2866">
        <v>-6540000</v>
      </c>
      <c r="O2866">
        <v>-6540000</v>
      </c>
      <c r="P2866">
        <v>0</v>
      </c>
      <c r="Q2866">
        <v>-6540000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 t="s">
        <v>47</v>
      </c>
      <c r="AA2866" t="s">
        <v>2140</v>
      </c>
      <c r="AB2866" t="s">
        <v>51</v>
      </c>
      <c r="AC2866" t="s">
        <v>51</v>
      </c>
      <c r="AD2866" t="s">
        <v>51</v>
      </c>
      <c r="AE2866" t="s">
        <v>51</v>
      </c>
      <c r="AF2866" t="s">
        <v>2143</v>
      </c>
    </row>
    <row r="2867" spans="1:32" ht="14.5" customHeight="1" x14ac:dyDescent="0.35">
      <c r="A2867" t="s">
        <v>774</v>
      </c>
      <c r="B2867" t="s">
        <v>775</v>
      </c>
      <c r="C2867" t="s">
        <v>47</v>
      </c>
      <c r="D2867">
        <v>3100468</v>
      </c>
      <c r="E2867">
        <v>3100468</v>
      </c>
      <c r="F2867" t="s">
        <v>2139</v>
      </c>
      <c r="G2867" t="s">
        <v>2139</v>
      </c>
      <c r="H2867" t="s">
        <v>54</v>
      </c>
      <c r="I2867">
        <v>6958499</v>
      </c>
      <c r="J2867" s="12">
        <v>46121</v>
      </c>
      <c r="K2867" s="12">
        <v>46121</v>
      </c>
      <c r="L2867" s="12">
        <v>46121</v>
      </c>
      <c r="M2867">
        <v>11</v>
      </c>
      <c r="N2867">
        <v>-784800</v>
      </c>
      <c r="O2867">
        <v>-784800</v>
      </c>
      <c r="P2867">
        <v>0</v>
      </c>
      <c r="Q2867">
        <v>-784800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 t="s">
        <v>47</v>
      </c>
      <c r="AA2867" t="s">
        <v>2140</v>
      </c>
      <c r="AB2867" t="s">
        <v>51</v>
      </c>
      <c r="AC2867" t="s">
        <v>51</v>
      </c>
      <c r="AD2867" t="s">
        <v>51</v>
      </c>
      <c r="AE2867" t="s">
        <v>51</v>
      </c>
      <c r="AF2867" t="s">
        <v>2144</v>
      </c>
    </row>
    <row r="2868" spans="1:32" ht="14.5" customHeight="1" x14ac:dyDescent="0.35">
      <c r="A2868" t="s">
        <v>774</v>
      </c>
      <c r="B2868" t="s">
        <v>775</v>
      </c>
      <c r="C2868" t="s">
        <v>47</v>
      </c>
      <c r="D2868">
        <v>3100468</v>
      </c>
      <c r="E2868">
        <v>3100468</v>
      </c>
      <c r="F2868" t="s">
        <v>2139</v>
      </c>
      <c r="G2868" t="s">
        <v>2139</v>
      </c>
      <c r="H2868" t="s">
        <v>54</v>
      </c>
      <c r="I2868">
        <v>6958500</v>
      </c>
      <c r="J2868" s="12">
        <v>46121</v>
      </c>
      <c r="K2868" s="12">
        <v>46121</v>
      </c>
      <c r="L2868" s="12">
        <v>46121</v>
      </c>
      <c r="M2868">
        <v>11</v>
      </c>
      <c r="N2868">
        <v>-196200</v>
      </c>
      <c r="O2868">
        <v>-196200</v>
      </c>
      <c r="P2868">
        <v>0</v>
      </c>
      <c r="Q2868">
        <v>-196200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 t="s">
        <v>47</v>
      </c>
      <c r="AA2868" t="s">
        <v>2140</v>
      </c>
      <c r="AB2868" t="s">
        <v>51</v>
      </c>
      <c r="AC2868" t="s">
        <v>51</v>
      </c>
      <c r="AD2868" t="s">
        <v>51</v>
      </c>
      <c r="AE2868" t="s">
        <v>51</v>
      </c>
      <c r="AF2868" t="s">
        <v>2144</v>
      </c>
    </row>
    <row r="2869" spans="1:32" ht="14.5" customHeight="1" x14ac:dyDescent="0.35">
      <c r="A2869" t="s">
        <v>774</v>
      </c>
      <c r="B2869" t="s">
        <v>775</v>
      </c>
      <c r="C2869" t="s">
        <v>47</v>
      </c>
      <c r="D2869">
        <v>3100468</v>
      </c>
      <c r="E2869">
        <v>3100468</v>
      </c>
      <c r="F2869" t="s">
        <v>2139</v>
      </c>
      <c r="G2869" t="s">
        <v>2139</v>
      </c>
      <c r="H2869" t="s">
        <v>54</v>
      </c>
      <c r="I2869">
        <v>6958968</v>
      </c>
      <c r="J2869" s="12">
        <v>46125</v>
      </c>
      <c r="K2869" s="12">
        <v>46125</v>
      </c>
      <c r="L2869" s="12">
        <v>46125</v>
      </c>
      <c r="M2869">
        <v>7</v>
      </c>
      <c r="N2869">
        <v>-14388000</v>
      </c>
      <c r="O2869">
        <v>-14388000</v>
      </c>
      <c r="P2869">
        <v>0</v>
      </c>
      <c r="Q2869">
        <v>-14388000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 t="s">
        <v>47</v>
      </c>
      <c r="AA2869" t="s">
        <v>2140</v>
      </c>
      <c r="AB2869" t="s">
        <v>51</v>
      </c>
      <c r="AC2869" t="s">
        <v>51</v>
      </c>
      <c r="AD2869" t="s">
        <v>51</v>
      </c>
      <c r="AE2869" t="s">
        <v>51</v>
      </c>
      <c r="AF2869" t="s">
        <v>2145</v>
      </c>
    </row>
    <row r="2870" spans="1:32" ht="14.5" customHeight="1" x14ac:dyDescent="0.35">
      <c r="A2870" t="s">
        <v>774</v>
      </c>
      <c r="B2870" t="s">
        <v>775</v>
      </c>
      <c r="C2870" t="s">
        <v>47</v>
      </c>
      <c r="D2870">
        <v>3100468</v>
      </c>
      <c r="E2870">
        <v>3100468</v>
      </c>
      <c r="F2870" t="s">
        <v>2139</v>
      </c>
      <c r="G2870" t="s">
        <v>2139</v>
      </c>
      <c r="H2870" t="s">
        <v>54</v>
      </c>
      <c r="I2870">
        <v>6958981</v>
      </c>
      <c r="J2870" s="12">
        <v>46125</v>
      </c>
      <c r="K2870" s="12">
        <v>46125</v>
      </c>
      <c r="L2870" s="12">
        <v>46125</v>
      </c>
      <c r="M2870">
        <v>7</v>
      </c>
      <c r="N2870">
        <v>-48464987</v>
      </c>
      <c r="O2870">
        <v>-48464987</v>
      </c>
      <c r="P2870">
        <v>0</v>
      </c>
      <c r="Q2870">
        <v>-48464987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 t="s">
        <v>47</v>
      </c>
      <c r="AA2870" t="s">
        <v>2140</v>
      </c>
      <c r="AB2870" t="s">
        <v>51</v>
      </c>
      <c r="AC2870" t="s">
        <v>51</v>
      </c>
      <c r="AD2870" t="s">
        <v>51</v>
      </c>
      <c r="AE2870" t="s">
        <v>51</v>
      </c>
      <c r="AF2870" t="s">
        <v>2146</v>
      </c>
    </row>
    <row r="2871" spans="1:32" ht="14.5" customHeight="1" x14ac:dyDescent="0.35">
      <c r="A2871" t="s">
        <v>774</v>
      </c>
      <c r="B2871" t="s">
        <v>775</v>
      </c>
      <c r="C2871" t="s">
        <v>47</v>
      </c>
      <c r="D2871">
        <v>3100468</v>
      </c>
      <c r="E2871">
        <v>3100468</v>
      </c>
      <c r="F2871" t="s">
        <v>2139</v>
      </c>
      <c r="G2871" t="s">
        <v>2139</v>
      </c>
      <c r="H2871" t="s">
        <v>54</v>
      </c>
      <c r="I2871">
        <v>6959099</v>
      </c>
      <c r="J2871" s="12">
        <v>46125</v>
      </c>
      <c r="K2871" s="12">
        <v>46125</v>
      </c>
      <c r="L2871" s="12">
        <v>46125</v>
      </c>
      <c r="M2871">
        <v>7</v>
      </c>
      <c r="N2871">
        <v>-863067</v>
      </c>
      <c r="O2871">
        <v>-863067</v>
      </c>
      <c r="P2871">
        <v>0</v>
      </c>
      <c r="Q2871">
        <v>-863067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 t="s">
        <v>47</v>
      </c>
      <c r="AA2871" t="s">
        <v>2140</v>
      </c>
      <c r="AB2871" t="s">
        <v>51</v>
      </c>
      <c r="AC2871" t="s">
        <v>51</v>
      </c>
      <c r="AD2871" t="s">
        <v>51</v>
      </c>
      <c r="AE2871" t="s">
        <v>51</v>
      </c>
      <c r="AF2871" t="s">
        <v>2141</v>
      </c>
    </row>
    <row r="2872" spans="1:32" ht="14.5" customHeight="1" x14ac:dyDescent="0.35">
      <c r="A2872" t="s">
        <v>774</v>
      </c>
      <c r="B2872" t="s">
        <v>775</v>
      </c>
      <c r="C2872" t="s">
        <v>47</v>
      </c>
      <c r="D2872">
        <v>3100468</v>
      </c>
      <c r="E2872">
        <v>3100468</v>
      </c>
      <c r="F2872" t="s">
        <v>2139</v>
      </c>
      <c r="G2872" t="s">
        <v>2139</v>
      </c>
      <c r="H2872" t="s">
        <v>54</v>
      </c>
      <c r="I2872">
        <v>9922186</v>
      </c>
      <c r="J2872" s="12">
        <v>46116</v>
      </c>
      <c r="K2872" s="12">
        <v>46116</v>
      </c>
      <c r="L2872" s="12">
        <v>46138</v>
      </c>
      <c r="M2872">
        <v>-6</v>
      </c>
      <c r="N2872">
        <v>314778993</v>
      </c>
      <c r="O2872">
        <v>0</v>
      </c>
      <c r="P2872">
        <v>314778993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 t="s">
        <v>47</v>
      </c>
      <c r="AA2872" t="s">
        <v>2140</v>
      </c>
      <c r="AB2872" t="s">
        <v>51</v>
      </c>
      <c r="AC2872" t="s">
        <v>2147</v>
      </c>
      <c r="AD2872" t="s">
        <v>51</v>
      </c>
      <c r="AE2872" t="s">
        <v>51</v>
      </c>
      <c r="AF2872" t="s">
        <v>530</v>
      </c>
    </row>
    <row r="2873" spans="1:32" ht="14.5" customHeight="1" x14ac:dyDescent="0.35">
      <c r="A2873" t="s">
        <v>774</v>
      </c>
      <c r="B2873" t="s">
        <v>775</v>
      </c>
      <c r="C2873" t="s">
        <v>47</v>
      </c>
      <c r="D2873">
        <v>3100468</v>
      </c>
      <c r="E2873">
        <v>3100468</v>
      </c>
      <c r="F2873" t="s">
        <v>2139</v>
      </c>
      <c r="G2873" t="s">
        <v>2139</v>
      </c>
      <c r="H2873" t="s">
        <v>54</v>
      </c>
      <c r="I2873">
        <v>9922187</v>
      </c>
      <c r="J2873" s="12">
        <v>46116</v>
      </c>
      <c r="K2873" s="12">
        <v>46116</v>
      </c>
      <c r="L2873" s="12">
        <v>46138</v>
      </c>
      <c r="M2873">
        <v>-6</v>
      </c>
      <c r="N2873">
        <v>3335941</v>
      </c>
      <c r="O2873">
        <v>0</v>
      </c>
      <c r="P2873">
        <v>3335941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 t="s">
        <v>47</v>
      </c>
      <c r="AA2873" t="s">
        <v>2140</v>
      </c>
      <c r="AB2873" t="s">
        <v>51</v>
      </c>
      <c r="AC2873" t="s">
        <v>1541</v>
      </c>
      <c r="AD2873" t="s">
        <v>51</v>
      </c>
      <c r="AE2873" t="s">
        <v>51</v>
      </c>
      <c r="AF2873" t="s">
        <v>158</v>
      </c>
    </row>
    <row r="2874" spans="1:32" ht="14.5" customHeight="1" x14ac:dyDescent="0.35">
      <c r="A2874" t="s">
        <v>774</v>
      </c>
      <c r="B2874" t="s">
        <v>775</v>
      </c>
      <c r="C2874" t="s">
        <v>47</v>
      </c>
      <c r="D2874">
        <v>3100468</v>
      </c>
      <c r="E2874">
        <v>3100468</v>
      </c>
      <c r="F2874" t="s">
        <v>2139</v>
      </c>
      <c r="G2874" t="s">
        <v>2139</v>
      </c>
      <c r="H2874" t="s">
        <v>54</v>
      </c>
      <c r="I2874">
        <v>9924264</v>
      </c>
      <c r="J2874" s="12">
        <v>46123</v>
      </c>
      <c r="K2874" s="12">
        <v>46123</v>
      </c>
      <c r="L2874" s="12">
        <v>46145</v>
      </c>
      <c r="M2874">
        <v>-13</v>
      </c>
      <c r="N2874">
        <v>186217716</v>
      </c>
      <c r="O2874">
        <v>0</v>
      </c>
      <c r="P2874">
        <v>186217716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 t="s">
        <v>47</v>
      </c>
      <c r="AA2874" t="s">
        <v>2140</v>
      </c>
      <c r="AB2874" t="s">
        <v>51</v>
      </c>
      <c r="AC2874" t="s">
        <v>51</v>
      </c>
      <c r="AD2874" t="s">
        <v>2148</v>
      </c>
      <c r="AE2874" t="s">
        <v>51</v>
      </c>
      <c r="AF2874" t="s">
        <v>62</v>
      </c>
    </row>
    <row r="2875" spans="1:32" ht="14.5" customHeight="1" x14ac:dyDescent="0.35">
      <c r="A2875" t="s">
        <v>774</v>
      </c>
      <c r="B2875" t="s">
        <v>775</v>
      </c>
      <c r="C2875" t="s">
        <v>47</v>
      </c>
      <c r="D2875">
        <v>3100468</v>
      </c>
      <c r="E2875">
        <v>3100468</v>
      </c>
      <c r="F2875" t="s">
        <v>2139</v>
      </c>
      <c r="G2875" t="s">
        <v>2139</v>
      </c>
      <c r="H2875" t="s">
        <v>54</v>
      </c>
      <c r="I2875">
        <v>9924276</v>
      </c>
      <c r="J2875" s="12">
        <v>46123</v>
      </c>
      <c r="K2875" s="12">
        <v>46123</v>
      </c>
      <c r="L2875" s="12">
        <v>46145</v>
      </c>
      <c r="M2875">
        <v>-13</v>
      </c>
      <c r="N2875">
        <v>139417476</v>
      </c>
      <c r="O2875">
        <v>0</v>
      </c>
      <c r="P2875">
        <v>139417476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 t="s">
        <v>47</v>
      </c>
      <c r="AA2875" t="s">
        <v>2140</v>
      </c>
      <c r="AB2875" t="s">
        <v>51</v>
      </c>
      <c r="AC2875" t="s">
        <v>51</v>
      </c>
      <c r="AD2875" t="s">
        <v>2149</v>
      </c>
      <c r="AE2875" t="s">
        <v>51</v>
      </c>
      <c r="AF2875" t="s">
        <v>62</v>
      </c>
    </row>
    <row r="2876" spans="1:32" ht="14.5" customHeight="1" x14ac:dyDescent="0.35">
      <c r="A2876" t="s">
        <v>774</v>
      </c>
      <c r="B2876" t="s">
        <v>775</v>
      </c>
      <c r="C2876" t="s">
        <v>47</v>
      </c>
      <c r="D2876">
        <v>3100468</v>
      </c>
      <c r="E2876">
        <v>3100468</v>
      </c>
      <c r="F2876" t="s">
        <v>2139</v>
      </c>
      <c r="G2876" t="s">
        <v>2139</v>
      </c>
      <c r="H2876" t="s">
        <v>54</v>
      </c>
      <c r="I2876">
        <v>9924290</v>
      </c>
      <c r="J2876" s="12">
        <v>46123</v>
      </c>
      <c r="K2876" s="12">
        <v>46123</v>
      </c>
      <c r="L2876" s="12">
        <v>46145</v>
      </c>
      <c r="M2876">
        <v>-13</v>
      </c>
      <c r="N2876">
        <v>21614910</v>
      </c>
      <c r="O2876">
        <v>0</v>
      </c>
      <c r="P2876">
        <v>21614910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 t="s">
        <v>47</v>
      </c>
      <c r="AA2876" t="s">
        <v>2140</v>
      </c>
      <c r="AB2876" t="s">
        <v>51</v>
      </c>
      <c r="AC2876" t="s">
        <v>51</v>
      </c>
      <c r="AD2876" t="s">
        <v>2150</v>
      </c>
      <c r="AE2876" t="s">
        <v>51</v>
      </c>
      <c r="AF2876" t="s">
        <v>1228</v>
      </c>
    </row>
    <row r="2877" spans="1:32" ht="14.5" customHeight="1" x14ac:dyDescent="0.35">
      <c r="A2877" t="s">
        <v>774</v>
      </c>
      <c r="B2877" t="s">
        <v>775</v>
      </c>
      <c r="C2877" t="s">
        <v>47</v>
      </c>
      <c r="D2877">
        <v>3100468</v>
      </c>
      <c r="E2877">
        <v>3100468</v>
      </c>
      <c r="F2877" t="s">
        <v>2139</v>
      </c>
      <c r="G2877" t="s">
        <v>2139</v>
      </c>
      <c r="H2877" t="s">
        <v>54</v>
      </c>
      <c r="I2877">
        <v>9927524</v>
      </c>
      <c r="J2877" s="12">
        <v>46131</v>
      </c>
      <c r="K2877" s="12">
        <v>46131</v>
      </c>
      <c r="L2877" s="12">
        <v>46153</v>
      </c>
      <c r="M2877">
        <v>-21</v>
      </c>
      <c r="N2877">
        <v>257232197</v>
      </c>
      <c r="O2877">
        <v>0</v>
      </c>
      <c r="P2877">
        <v>257232197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 t="s">
        <v>47</v>
      </c>
      <c r="AA2877" t="s">
        <v>2140</v>
      </c>
      <c r="AB2877" t="s">
        <v>51</v>
      </c>
      <c r="AC2877" t="s">
        <v>51</v>
      </c>
      <c r="AD2877" t="s">
        <v>51</v>
      </c>
      <c r="AE2877" t="s">
        <v>2151</v>
      </c>
      <c r="AF2877" t="s">
        <v>354</v>
      </c>
    </row>
    <row r="2878" spans="1:32" ht="14.5" customHeight="1" x14ac:dyDescent="0.35">
      <c r="A2878" t="s">
        <v>175</v>
      </c>
      <c r="B2878" t="s">
        <v>2152</v>
      </c>
      <c r="C2878" t="s">
        <v>47</v>
      </c>
      <c r="D2878">
        <v>3100542</v>
      </c>
      <c r="E2878">
        <v>3100534</v>
      </c>
      <c r="F2878" t="s">
        <v>2153</v>
      </c>
      <c r="G2878" t="s">
        <v>2153</v>
      </c>
      <c r="H2878" t="s">
        <v>54</v>
      </c>
      <c r="I2878">
        <v>6958212</v>
      </c>
      <c r="J2878" s="12">
        <v>46119</v>
      </c>
      <c r="K2878" s="12">
        <v>46119</v>
      </c>
      <c r="L2878" s="12">
        <v>46119</v>
      </c>
      <c r="M2878">
        <v>13</v>
      </c>
      <c r="N2878">
        <v>-137390</v>
      </c>
      <c r="O2878">
        <v>-137390</v>
      </c>
      <c r="P2878">
        <v>0</v>
      </c>
      <c r="Q2878">
        <v>-137390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 t="s">
        <v>47</v>
      </c>
      <c r="AA2878" t="s">
        <v>501</v>
      </c>
      <c r="AB2878" t="s">
        <v>51</v>
      </c>
      <c r="AC2878" t="s">
        <v>51</v>
      </c>
      <c r="AD2878" t="s">
        <v>51</v>
      </c>
      <c r="AE2878" t="s">
        <v>51</v>
      </c>
      <c r="AF2878" t="s">
        <v>2154</v>
      </c>
    </row>
    <row r="2879" spans="1:32" ht="14.5" customHeight="1" x14ac:dyDescent="0.35">
      <c r="A2879" t="s">
        <v>175</v>
      </c>
      <c r="B2879" t="s">
        <v>2152</v>
      </c>
      <c r="C2879" t="s">
        <v>47</v>
      </c>
      <c r="D2879">
        <v>3100542</v>
      </c>
      <c r="E2879">
        <v>3100534</v>
      </c>
      <c r="F2879" t="s">
        <v>2153</v>
      </c>
      <c r="G2879" t="s">
        <v>2153</v>
      </c>
      <c r="H2879" t="s">
        <v>54</v>
      </c>
      <c r="I2879">
        <v>6958257</v>
      </c>
      <c r="J2879" s="12">
        <v>46120</v>
      </c>
      <c r="K2879" s="12">
        <v>46120</v>
      </c>
      <c r="L2879" s="12">
        <v>46120</v>
      </c>
      <c r="M2879">
        <v>12</v>
      </c>
      <c r="N2879">
        <v>-212554</v>
      </c>
      <c r="O2879">
        <v>-212554</v>
      </c>
      <c r="P2879">
        <v>0</v>
      </c>
      <c r="Q2879">
        <v>-212554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 t="s">
        <v>47</v>
      </c>
      <c r="AA2879" t="s">
        <v>501</v>
      </c>
      <c r="AB2879" t="s">
        <v>51</v>
      </c>
      <c r="AC2879" t="s">
        <v>51</v>
      </c>
      <c r="AD2879" t="s">
        <v>51</v>
      </c>
      <c r="AE2879" t="s">
        <v>51</v>
      </c>
      <c r="AF2879" t="s">
        <v>2155</v>
      </c>
    </row>
    <row r="2880" spans="1:32" ht="14.5" customHeight="1" x14ac:dyDescent="0.35">
      <c r="A2880" t="s">
        <v>175</v>
      </c>
      <c r="B2880" t="s">
        <v>2152</v>
      </c>
      <c r="C2880" t="s">
        <v>47</v>
      </c>
      <c r="D2880">
        <v>3100542</v>
      </c>
      <c r="E2880">
        <v>3100534</v>
      </c>
      <c r="F2880" t="s">
        <v>2153</v>
      </c>
      <c r="G2880" t="s">
        <v>2153</v>
      </c>
      <c r="H2880" t="s">
        <v>54</v>
      </c>
      <c r="I2880">
        <v>6958258</v>
      </c>
      <c r="J2880" s="12">
        <v>46120</v>
      </c>
      <c r="K2880" s="12">
        <v>46120</v>
      </c>
      <c r="L2880" s="12">
        <v>46120</v>
      </c>
      <c r="M2880">
        <v>12</v>
      </c>
      <c r="N2880">
        <v>-1020000</v>
      </c>
      <c r="O2880">
        <v>-1020000</v>
      </c>
      <c r="P2880">
        <v>0</v>
      </c>
      <c r="Q2880">
        <v>-1020000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 t="s">
        <v>47</v>
      </c>
      <c r="AA2880" t="s">
        <v>501</v>
      </c>
      <c r="AB2880" t="s">
        <v>51</v>
      </c>
      <c r="AC2880" t="s">
        <v>51</v>
      </c>
      <c r="AD2880" t="s">
        <v>51</v>
      </c>
      <c r="AE2880" t="s">
        <v>51</v>
      </c>
      <c r="AF2880" t="s">
        <v>2156</v>
      </c>
    </row>
    <row r="2881" spans="1:32" ht="14.5" customHeight="1" x14ac:dyDescent="0.35">
      <c r="A2881" t="s">
        <v>175</v>
      </c>
      <c r="B2881" t="s">
        <v>2152</v>
      </c>
      <c r="C2881" t="s">
        <v>47</v>
      </c>
      <c r="D2881">
        <v>3100542</v>
      </c>
      <c r="E2881">
        <v>3100534</v>
      </c>
      <c r="F2881" t="s">
        <v>2153</v>
      </c>
      <c r="G2881" t="s">
        <v>2153</v>
      </c>
      <c r="H2881" t="s">
        <v>54</v>
      </c>
      <c r="I2881">
        <v>6958474</v>
      </c>
      <c r="J2881" s="12">
        <v>46121</v>
      </c>
      <c r="K2881" s="12">
        <v>46121</v>
      </c>
      <c r="L2881" s="12">
        <v>46121</v>
      </c>
      <c r="M2881">
        <v>11</v>
      </c>
      <c r="N2881">
        <v>-4053919</v>
      </c>
      <c r="O2881">
        <v>-4053919</v>
      </c>
      <c r="P2881">
        <v>0</v>
      </c>
      <c r="Q2881">
        <v>-4053919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 t="s">
        <v>47</v>
      </c>
      <c r="AA2881" t="s">
        <v>501</v>
      </c>
      <c r="AB2881" t="s">
        <v>51</v>
      </c>
      <c r="AC2881" t="s">
        <v>51</v>
      </c>
      <c r="AD2881" t="s">
        <v>51</v>
      </c>
      <c r="AE2881" t="s">
        <v>51</v>
      </c>
      <c r="AF2881" t="s">
        <v>395</v>
      </c>
    </row>
    <row r="2882" spans="1:32" ht="14.5" customHeight="1" x14ac:dyDescent="0.35">
      <c r="A2882" t="s">
        <v>175</v>
      </c>
      <c r="B2882" t="s">
        <v>2152</v>
      </c>
      <c r="C2882" t="s">
        <v>47</v>
      </c>
      <c r="D2882">
        <v>3100542</v>
      </c>
      <c r="E2882">
        <v>3100657</v>
      </c>
      <c r="F2882" t="s">
        <v>2153</v>
      </c>
      <c r="G2882" t="s">
        <v>2157</v>
      </c>
      <c r="H2882" t="s">
        <v>54</v>
      </c>
      <c r="I2882">
        <v>6958476</v>
      </c>
      <c r="J2882" s="12">
        <v>46121</v>
      </c>
      <c r="K2882" s="12">
        <v>46121</v>
      </c>
      <c r="L2882" s="12">
        <v>46121</v>
      </c>
      <c r="M2882">
        <v>11</v>
      </c>
      <c r="N2882">
        <v>-6390273</v>
      </c>
      <c r="O2882">
        <v>-6390273</v>
      </c>
      <c r="P2882">
        <v>0</v>
      </c>
      <c r="Q2882">
        <v>-6390273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 t="s">
        <v>47</v>
      </c>
      <c r="AA2882" t="s">
        <v>501</v>
      </c>
      <c r="AB2882" t="s">
        <v>51</v>
      </c>
      <c r="AC2882" t="s">
        <v>51</v>
      </c>
      <c r="AD2882" t="s">
        <v>51</v>
      </c>
      <c r="AE2882" t="s">
        <v>51</v>
      </c>
      <c r="AF2882" t="s">
        <v>395</v>
      </c>
    </row>
    <row r="2883" spans="1:32" ht="14.5" customHeight="1" x14ac:dyDescent="0.35">
      <c r="A2883" t="s">
        <v>175</v>
      </c>
      <c r="B2883" t="s">
        <v>2152</v>
      </c>
      <c r="C2883" t="s">
        <v>47</v>
      </c>
      <c r="D2883">
        <v>3100542</v>
      </c>
      <c r="E2883">
        <v>3100534</v>
      </c>
      <c r="F2883" t="s">
        <v>2153</v>
      </c>
      <c r="G2883" t="s">
        <v>2153</v>
      </c>
      <c r="H2883" t="s">
        <v>54</v>
      </c>
      <c r="I2883">
        <v>6958489</v>
      </c>
      <c r="J2883" s="12">
        <v>46121</v>
      </c>
      <c r="K2883" s="12">
        <v>46121</v>
      </c>
      <c r="L2883" s="12">
        <v>46121</v>
      </c>
      <c r="M2883">
        <v>11</v>
      </c>
      <c r="N2883">
        <v>-398733</v>
      </c>
      <c r="O2883">
        <v>-398733</v>
      </c>
      <c r="P2883">
        <v>0</v>
      </c>
      <c r="Q2883">
        <v>-398733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 t="s">
        <v>47</v>
      </c>
      <c r="AA2883" t="s">
        <v>501</v>
      </c>
      <c r="AB2883" t="s">
        <v>51</v>
      </c>
      <c r="AC2883" t="s">
        <v>51</v>
      </c>
      <c r="AD2883" t="s">
        <v>51</v>
      </c>
      <c r="AE2883" t="s">
        <v>51</v>
      </c>
      <c r="AF2883" t="s">
        <v>2158</v>
      </c>
    </row>
    <row r="2884" spans="1:32" ht="14.5" customHeight="1" x14ac:dyDescent="0.35">
      <c r="A2884" t="s">
        <v>175</v>
      </c>
      <c r="B2884" t="s">
        <v>2152</v>
      </c>
      <c r="C2884" t="s">
        <v>47</v>
      </c>
      <c r="D2884">
        <v>3100542</v>
      </c>
      <c r="E2884">
        <v>3100535</v>
      </c>
      <c r="F2884" t="s">
        <v>2153</v>
      </c>
      <c r="G2884" t="s">
        <v>2153</v>
      </c>
      <c r="H2884" t="s">
        <v>54</v>
      </c>
      <c r="I2884">
        <v>6958490</v>
      </c>
      <c r="J2884" s="12">
        <v>46121</v>
      </c>
      <c r="K2884" s="12">
        <v>46121</v>
      </c>
      <c r="L2884" s="12">
        <v>46121</v>
      </c>
      <c r="M2884">
        <v>11</v>
      </c>
      <c r="N2884">
        <v>-405803</v>
      </c>
      <c r="O2884">
        <v>-405803</v>
      </c>
      <c r="P2884">
        <v>0</v>
      </c>
      <c r="Q2884">
        <v>-405803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 t="s">
        <v>47</v>
      </c>
      <c r="AA2884" t="s">
        <v>501</v>
      </c>
      <c r="AB2884" t="s">
        <v>51</v>
      </c>
      <c r="AC2884" t="s">
        <v>51</v>
      </c>
      <c r="AD2884" t="s">
        <v>51</v>
      </c>
      <c r="AE2884" t="s">
        <v>51</v>
      </c>
      <c r="AF2884" t="s">
        <v>2159</v>
      </c>
    </row>
    <row r="2885" spans="1:32" ht="14.5" customHeight="1" x14ac:dyDescent="0.35">
      <c r="A2885" t="s">
        <v>175</v>
      </c>
      <c r="B2885" t="s">
        <v>2152</v>
      </c>
      <c r="C2885" t="s">
        <v>47</v>
      </c>
      <c r="D2885">
        <v>3100542</v>
      </c>
      <c r="E2885">
        <v>3100657</v>
      </c>
      <c r="F2885" t="s">
        <v>2153</v>
      </c>
      <c r="G2885" t="s">
        <v>2157</v>
      </c>
      <c r="H2885" t="s">
        <v>54</v>
      </c>
      <c r="I2885">
        <v>6958496</v>
      </c>
      <c r="J2885" s="12">
        <v>46121</v>
      </c>
      <c r="K2885" s="12">
        <v>46121</v>
      </c>
      <c r="L2885" s="12">
        <v>46121</v>
      </c>
      <c r="M2885">
        <v>11</v>
      </c>
      <c r="N2885">
        <v>-314140</v>
      </c>
      <c r="O2885">
        <v>-314140</v>
      </c>
      <c r="P2885">
        <v>0</v>
      </c>
      <c r="Q2885">
        <v>-314140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 t="s">
        <v>47</v>
      </c>
      <c r="AA2885" t="s">
        <v>501</v>
      </c>
      <c r="AB2885" t="s">
        <v>51</v>
      </c>
      <c r="AC2885" t="s">
        <v>51</v>
      </c>
      <c r="AD2885" t="s">
        <v>51</v>
      </c>
      <c r="AE2885" t="s">
        <v>51</v>
      </c>
      <c r="AF2885" t="s">
        <v>2160</v>
      </c>
    </row>
    <row r="2886" spans="1:32" ht="14.5" customHeight="1" x14ac:dyDescent="0.35">
      <c r="A2886" t="s">
        <v>175</v>
      </c>
      <c r="B2886" t="s">
        <v>2152</v>
      </c>
      <c r="C2886" t="s">
        <v>47</v>
      </c>
      <c r="D2886">
        <v>3100542</v>
      </c>
      <c r="E2886">
        <v>3100657</v>
      </c>
      <c r="F2886" t="s">
        <v>2153</v>
      </c>
      <c r="G2886" t="s">
        <v>2157</v>
      </c>
      <c r="H2886" t="s">
        <v>54</v>
      </c>
      <c r="I2886">
        <v>6958497</v>
      </c>
      <c r="J2886" s="12">
        <v>46121</v>
      </c>
      <c r="K2886" s="12">
        <v>46121</v>
      </c>
      <c r="L2886" s="12">
        <v>46121</v>
      </c>
      <c r="M2886">
        <v>11</v>
      </c>
      <c r="N2886">
        <v>-847682</v>
      </c>
      <c r="O2886">
        <v>-847682</v>
      </c>
      <c r="P2886">
        <v>0</v>
      </c>
      <c r="Q2886">
        <v>-847682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 t="s">
        <v>47</v>
      </c>
      <c r="AA2886" t="s">
        <v>501</v>
      </c>
      <c r="AB2886" t="s">
        <v>51</v>
      </c>
      <c r="AC2886" t="s">
        <v>51</v>
      </c>
      <c r="AD2886" t="s">
        <v>51</v>
      </c>
      <c r="AE2886" t="s">
        <v>51</v>
      </c>
      <c r="AF2886" t="s">
        <v>2161</v>
      </c>
    </row>
    <row r="2887" spans="1:32" ht="14.5" customHeight="1" x14ac:dyDescent="0.35">
      <c r="A2887" t="s">
        <v>175</v>
      </c>
      <c r="B2887" t="s">
        <v>2152</v>
      </c>
      <c r="C2887" t="s">
        <v>47</v>
      </c>
      <c r="D2887">
        <v>3100542</v>
      </c>
      <c r="E2887">
        <v>3100535</v>
      </c>
      <c r="F2887" t="s">
        <v>2153</v>
      </c>
      <c r="G2887" t="s">
        <v>2153</v>
      </c>
      <c r="H2887" t="s">
        <v>54</v>
      </c>
      <c r="I2887">
        <v>6958503</v>
      </c>
      <c r="J2887" s="12">
        <v>46121</v>
      </c>
      <c r="K2887" s="12">
        <v>46121</v>
      </c>
      <c r="L2887" s="12">
        <v>46121</v>
      </c>
      <c r="M2887">
        <v>11</v>
      </c>
      <c r="N2887">
        <v>-671077</v>
      </c>
      <c r="O2887">
        <v>-671077</v>
      </c>
      <c r="P2887">
        <v>0</v>
      </c>
      <c r="Q2887">
        <v>-671077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 t="s">
        <v>47</v>
      </c>
      <c r="AA2887" t="s">
        <v>501</v>
      </c>
      <c r="AB2887" t="s">
        <v>51</v>
      </c>
      <c r="AC2887" t="s">
        <v>51</v>
      </c>
      <c r="AD2887" t="s">
        <v>51</v>
      </c>
      <c r="AE2887" t="s">
        <v>51</v>
      </c>
      <c r="AF2887" t="s">
        <v>2162</v>
      </c>
    </row>
    <row r="2888" spans="1:32" ht="14.5" customHeight="1" x14ac:dyDescent="0.35">
      <c r="A2888" t="s">
        <v>175</v>
      </c>
      <c r="B2888" t="s">
        <v>2152</v>
      </c>
      <c r="C2888" t="s">
        <v>47</v>
      </c>
      <c r="D2888">
        <v>3100542</v>
      </c>
      <c r="E2888">
        <v>3100657</v>
      </c>
      <c r="F2888" t="s">
        <v>2153</v>
      </c>
      <c r="G2888" t="s">
        <v>2157</v>
      </c>
      <c r="H2888" t="s">
        <v>54</v>
      </c>
      <c r="I2888">
        <v>6958508</v>
      </c>
      <c r="J2888" s="12">
        <v>46121</v>
      </c>
      <c r="K2888" s="12">
        <v>46121</v>
      </c>
      <c r="L2888" s="12">
        <v>46121</v>
      </c>
      <c r="M2888">
        <v>11</v>
      </c>
      <c r="N2888">
        <v>-356978</v>
      </c>
      <c r="O2888">
        <v>-356978</v>
      </c>
      <c r="P2888">
        <v>0</v>
      </c>
      <c r="Q2888">
        <v>-356978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 t="s">
        <v>47</v>
      </c>
      <c r="AA2888" t="s">
        <v>501</v>
      </c>
      <c r="AB2888" t="s">
        <v>51</v>
      </c>
      <c r="AC2888" t="s">
        <v>51</v>
      </c>
      <c r="AD2888" t="s">
        <v>51</v>
      </c>
      <c r="AE2888" t="s">
        <v>51</v>
      </c>
      <c r="AF2888" t="s">
        <v>2160</v>
      </c>
    </row>
    <row r="2889" spans="1:32" ht="14.5" customHeight="1" x14ac:dyDescent="0.35">
      <c r="A2889" t="s">
        <v>175</v>
      </c>
      <c r="B2889" t="s">
        <v>2152</v>
      </c>
      <c r="C2889" t="s">
        <v>47</v>
      </c>
      <c r="D2889">
        <v>3100542</v>
      </c>
      <c r="E2889">
        <v>3100657</v>
      </c>
      <c r="F2889" t="s">
        <v>2153</v>
      </c>
      <c r="G2889" t="s">
        <v>2157</v>
      </c>
      <c r="H2889" t="s">
        <v>54</v>
      </c>
      <c r="I2889">
        <v>6958509</v>
      </c>
      <c r="J2889" s="12">
        <v>46121</v>
      </c>
      <c r="K2889" s="12">
        <v>46121</v>
      </c>
      <c r="L2889" s="12">
        <v>46121</v>
      </c>
      <c r="M2889">
        <v>11</v>
      </c>
      <c r="N2889">
        <v>-963275</v>
      </c>
      <c r="O2889">
        <v>-963275</v>
      </c>
      <c r="P2889">
        <v>0</v>
      </c>
      <c r="Q2889">
        <v>-963275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 t="s">
        <v>47</v>
      </c>
      <c r="AA2889" t="s">
        <v>501</v>
      </c>
      <c r="AB2889" t="s">
        <v>51</v>
      </c>
      <c r="AC2889" t="s">
        <v>51</v>
      </c>
      <c r="AD2889" t="s">
        <v>51</v>
      </c>
      <c r="AE2889" t="s">
        <v>51</v>
      </c>
      <c r="AF2889" t="s">
        <v>2161</v>
      </c>
    </row>
    <row r="2890" spans="1:32" ht="14.5" customHeight="1" x14ac:dyDescent="0.35">
      <c r="A2890" t="s">
        <v>175</v>
      </c>
      <c r="B2890" t="s">
        <v>2152</v>
      </c>
      <c r="C2890" t="s">
        <v>47</v>
      </c>
      <c r="D2890">
        <v>3100542</v>
      </c>
      <c r="E2890">
        <v>3100534</v>
      </c>
      <c r="F2890" t="s">
        <v>2153</v>
      </c>
      <c r="G2890" t="s">
        <v>2153</v>
      </c>
      <c r="H2890" t="s">
        <v>54</v>
      </c>
      <c r="I2890">
        <v>6958740</v>
      </c>
      <c r="J2890" s="12">
        <v>46122</v>
      </c>
      <c r="K2890" s="12">
        <v>46122</v>
      </c>
      <c r="L2890" s="12">
        <v>46122</v>
      </c>
      <c r="M2890">
        <v>10</v>
      </c>
      <c r="N2890">
        <v>-527509</v>
      </c>
      <c r="O2890">
        <v>-527509</v>
      </c>
      <c r="P2890">
        <v>0</v>
      </c>
      <c r="Q2890">
        <v>-527509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 t="s">
        <v>47</v>
      </c>
      <c r="AA2890" t="s">
        <v>501</v>
      </c>
      <c r="AB2890" t="s">
        <v>51</v>
      </c>
      <c r="AC2890" t="s">
        <v>51</v>
      </c>
      <c r="AD2890" t="s">
        <v>51</v>
      </c>
      <c r="AE2890" t="s">
        <v>51</v>
      </c>
      <c r="AF2890" t="s">
        <v>2163</v>
      </c>
    </row>
    <row r="2891" spans="1:32" ht="14.5" customHeight="1" x14ac:dyDescent="0.35">
      <c r="A2891" t="s">
        <v>175</v>
      </c>
      <c r="B2891" t="s">
        <v>2152</v>
      </c>
      <c r="C2891" t="s">
        <v>47</v>
      </c>
      <c r="D2891">
        <v>3100542</v>
      </c>
      <c r="E2891">
        <v>3100535</v>
      </c>
      <c r="F2891" t="s">
        <v>2153</v>
      </c>
      <c r="G2891" t="s">
        <v>2153</v>
      </c>
      <c r="H2891" t="s">
        <v>54</v>
      </c>
      <c r="I2891">
        <v>6959346</v>
      </c>
      <c r="J2891" s="12">
        <v>46126</v>
      </c>
      <c r="K2891" s="12">
        <v>46126</v>
      </c>
      <c r="L2891" s="12">
        <v>46126</v>
      </c>
      <c r="M2891">
        <v>6</v>
      </c>
      <c r="N2891">
        <v>-158548</v>
      </c>
      <c r="O2891">
        <v>-158548</v>
      </c>
      <c r="P2891">
        <v>0</v>
      </c>
      <c r="Q2891">
        <v>-158548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 t="s">
        <v>47</v>
      </c>
      <c r="AA2891" t="s">
        <v>501</v>
      </c>
      <c r="AB2891" t="s">
        <v>51</v>
      </c>
      <c r="AC2891" t="s">
        <v>51</v>
      </c>
      <c r="AD2891" t="s">
        <v>51</v>
      </c>
      <c r="AE2891" t="s">
        <v>51</v>
      </c>
      <c r="AF2891" t="s">
        <v>2164</v>
      </c>
    </row>
    <row r="2892" spans="1:32" ht="14.5" customHeight="1" x14ac:dyDescent="0.35">
      <c r="A2892" t="s">
        <v>175</v>
      </c>
      <c r="B2892" t="s">
        <v>2152</v>
      </c>
      <c r="C2892" t="s">
        <v>47</v>
      </c>
      <c r="D2892">
        <v>3100542</v>
      </c>
      <c r="E2892">
        <v>3100534</v>
      </c>
      <c r="F2892" t="s">
        <v>2153</v>
      </c>
      <c r="G2892" t="s">
        <v>2153</v>
      </c>
      <c r="H2892" t="s">
        <v>54</v>
      </c>
      <c r="I2892">
        <v>6959449</v>
      </c>
      <c r="J2892" s="12">
        <v>46127</v>
      </c>
      <c r="K2892" s="12">
        <v>46127</v>
      </c>
      <c r="L2892" s="12">
        <v>46127</v>
      </c>
      <c r="M2892">
        <v>5</v>
      </c>
      <c r="N2892">
        <v>-750000</v>
      </c>
      <c r="O2892">
        <v>-750000</v>
      </c>
      <c r="P2892">
        <v>0</v>
      </c>
      <c r="Q2892">
        <v>-750000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 t="s">
        <v>47</v>
      </c>
      <c r="AA2892" t="s">
        <v>501</v>
      </c>
      <c r="AB2892" t="s">
        <v>51</v>
      </c>
      <c r="AC2892" t="s">
        <v>51</v>
      </c>
      <c r="AD2892" t="s">
        <v>51</v>
      </c>
      <c r="AE2892" t="s">
        <v>51</v>
      </c>
      <c r="AF2892" t="s">
        <v>2165</v>
      </c>
    </row>
    <row r="2893" spans="1:32" ht="14.5" customHeight="1" x14ac:dyDescent="0.35">
      <c r="A2893" t="s">
        <v>175</v>
      </c>
      <c r="B2893" t="s">
        <v>2152</v>
      </c>
      <c r="C2893" t="s">
        <v>47</v>
      </c>
      <c r="D2893">
        <v>3100542</v>
      </c>
      <c r="E2893">
        <v>3100535</v>
      </c>
      <c r="F2893" t="s">
        <v>2153</v>
      </c>
      <c r="G2893" t="s">
        <v>2153</v>
      </c>
      <c r="H2893" t="s">
        <v>54</v>
      </c>
      <c r="I2893">
        <v>6959510</v>
      </c>
      <c r="J2893" s="12">
        <v>46127</v>
      </c>
      <c r="K2893" s="12">
        <v>46127</v>
      </c>
      <c r="L2893" s="12">
        <v>46127</v>
      </c>
      <c r="M2893">
        <v>5</v>
      </c>
      <c r="N2893">
        <v>-304062</v>
      </c>
      <c r="O2893">
        <v>-304062</v>
      </c>
      <c r="P2893">
        <v>0</v>
      </c>
      <c r="Q2893">
        <v>-304062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 t="s">
        <v>47</v>
      </c>
      <c r="AA2893" t="s">
        <v>501</v>
      </c>
      <c r="AB2893" t="s">
        <v>51</v>
      </c>
      <c r="AC2893" t="s">
        <v>51</v>
      </c>
      <c r="AD2893" t="s">
        <v>51</v>
      </c>
      <c r="AE2893" t="s">
        <v>51</v>
      </c>
      <c r="AF2893" t="s">
        <v>2162</v>
      </c>
    </row>
    <row r="2894" spans="1:32" ht="14.5" customHeight="1" x14ac:dyDescent="0.35">
      <c r="A2894" t="s">
        <v>175</v>
      </c>
      <c r="B2894" t="s">
        <v>2152</v>
      </c>
      <c r="C2894" t="s">
        <v>47</v>
      </c>
      <c r="D2894">
        <v>3100542</v>
      </c>
      <c r="E2894">
        <v>3100534</v>
      </c>
      <c r="F2894" t="s">
        <v>2153</v>
      </c>
      <c r="G2894" t="s">
        <v>2153</v>
      </c>
      <c r="H2894" t="s">
        <v>54</v>
      </c>
      <c r="I2894">
        <v>6959665</v>
      </c>
      <c r="J2894" s="12">
        <v>46127</v>
      </c>
      <c r="K2894" s="12">
        <v>46127</v>
      </c>
      <c r="L2894" s="12">
        <v>46127</v>
      </c>
      <c r="M2894">
        <v>5</v>
      </c>
      <c r="N2894">
        <v>-185607</v>
      </c>
      <c r="O2894">
        <v>-185607</v>
      </c>
      <c r="P2894">
        <v>0</v>
      </c>
      <c r="Q2894">
        <v>-185607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 t="s">
        <v>47</v>
      </c>
      <c r="AA2894" t="s">
        <v>501</v>
      </c>
      <c r="AB2894" t="s">
        <v>51</v>
      </c>
      <c r="AC2894" t="s">
        <v>51</v>
      </c>
      <c r="AD2894" t="s">
        <v>51</v>
      </c>
      <c r="AE2894" t="s">
        <v>51</v>
      </c>
      <c r="AF2894" t="s">
        <v>2166</v>
      </c>
    </row>
    <row r="2895" spans="1:32" ht="14.5" customHeight="1" x14ac:dyDescent="0.35">
      <c r="A2895" t="s">
        <v>175</v>
      </c>
      <c r="B2895" t="s">
        <v>2152</v>
      </c>
      <c r="C2895" t="s">
        <v>2167</v>
      </c>
      <c r="D2895">
        <v>3100542</v>
      </c>
      <c r="E2895">
        <v>3100544</v>
      </c>
      <c r="F2895" t="s">
        <v>2153</v>
      </c>
      <c r="G2895" t="s">
        <v>2153</v>
      </c>
      <c r="H2895" t="s">
        <v>111</v>
      </c>
      <c r="I2895">
        <v>6959855</v>
      </c>
      <c r="J2895" s="12">
        <v>46129</v>
      </c>
      <c r="K2895" s="12">
        <v>46129</v>
      </c>
      <c r="L2895" s="12">
        <v>46129</v>
      </c>
      <c r="M2895">
        <v>3</v>
      </c>
      <c r="N2895">
        <v>-385642</v>
      </c>
      <c r="O2895">
        <v>-385642</v>
      </c>
      <c r="P2895">
        <v>0</v>
      </c>
      <c r="Q2895">
        <v>-385642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 t="s">
        <v>2167</v>
      </c>
      <c r="AA2895" t="s">
        <v>501</v>
      </c>
      <c r="AB2895" t="s">
        <v>51</v>
      </c>
      <c r="AC2895" t="s">
        <v>51</v>
      </c>
      <c r="AD2895" t="s">
        <v>51</v>
      </c>
      <c r="AE2895" t="s">
        <v>51</v>
      </c>
      <c r="AF2895" t="s">
        <v>579</v>
      </c>
    </row>
    <row r="2896" spans="1:32" ht="14.5" customHeight="1" x14ac:dyDescent="0.35">
      <c r="A2896" t="s">
        <v>175</v>
      </c>
      <c r="B2896" t="s">
        <v>2152</v>
      </c>
      <c r="C2896" t="s">
        <v>47</v>
      </c>
      <c r="D2896">
        <v>3100542</v>
      </c>
      <c r="E2896">
        <v>3100578</v>
      </c>
      <c r="F2896" t="s">
        <v>2153</v>
      </c>
      <c r="G2896" t="s">
        <v>2153</v>
      </c>
      <c r="H2896" t="s">
        <v>54</v>
      </c>
      <c r="I2896">
        <v>6959899</v>
      </c>
      <c r="J2896" s="12">
        <v>46129</v>
      </c>
      <c r="K2896" s="12">
        <v>46129</v>
      </c>
      <c r="L2896" s="12">
        <v>46129</v>
      </c>
      <c r="M2896">
        <v>3</v>
      </c>
      <c r="N2896">
        <v>-2125000</v>
      </c>
      <c r="O2896">
        <v>-2125000</v>
      </c>
      <c r="P2896">
        <v>0</v>
      </c>
      <c r="Q2896">
        <v>-2125000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 t="s">
        <v>47</v>
      </c>
      <c r="AA2896" t="s">
        <v>501</v>
      </c>
      <c r="AB2896" t="s">
        <v>51</v>
      </c>
      <c r="AC2896" t="s">
        <v>51</v>
      </c>
      <c r="AD2896" t="s">
        <v>51</v>
      </c>
      <c r="AE2896" t="s">
        <v>51</v>
      </c>
      <c r="AF2896" t="s">
        <v>2168</v>
      </c>
    </row>
    <row r="2897" spans="1:32" ht="14.5" customHeight="1" x14ac:dyDescent="0.35">
      <c r="A2897" t="s">
        <v>175</v>
      </c>
      <c r="B2897" t="s">
        <v>2152</v>
      </c>
      <c r="C2897" t="s">
        <v>47</v>
      </c>
      <c r="D2897">
        <v>3100542</v>
      </c>
      <c r="E2897">
        <v>3100534</v>
      </c>
      <c r="F2897" t="s">
        <v>2153</v>
      </c>
      <c r="G2897" t="s">
        <v>2153</v>
      </c>
      <c r="H2897" t="s">
        <v>54</v>
      </c>
      <c r="I2897">
        <v>6960011</v>
      </c>
      <c r="J2897" s="12">
        <v>46130</v>
      </c>
      <c r="K2897" s="12">
        <v>46130</v>
      </c>
      <c r="L2897" s="12">
        <v>46130</v>
      </c>
      <c r="M2897">
        <v>2</v>
      </c>
      <c r="N2897">
        <v>-76455</v>
      </c>
      <c r="O2897">
        <v>-76455</v>
      </c>
      <c r="P2897">
        <v>0</v>
      </c>
      <c r="Q2897">
        <v>-76455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 t="s">
        <v>47</v>
      </c>
      <c r="AA2897" t="s">
        <v>501</v>
      </c>
      <c r="AB2897" t="s">
        <v>51</v>
      </c>
      <c r="AC2897" t="s">
        <v>51</v>
      </c>
      <c r="AD2897" t="s">
        <v>51</v>
      </c>
      <c r="AE2897" t="s">
        <v>51</v>
      </c>
      <c r="AF2897" t="s">
        <v>64</v>
      </c>
    </row>
    <row r="2898" spans="1:32" ht="14.5" customHeight="1" x14ac:dyDescent="0.35">
      <c r="A2898" t="s">
        <v>175</v>
      </c>
      <c r="B2898" t="s">
        <v>2152</v>
      </c>
      <c r="C2898" t="s">
        <v>47</v>
      </c>
      <c r="D2898">
        <v>3100542</v>
      </c>
      <c r="E2898">
        <v>3100657</v>
      </c>
      <c r="F2898" t="s">
        <v>2153</v>
      </c>
      <c r="G2898" t="s">
        <v>2157</v>
      </c>
      <c r="H2898" t="s">
        <v>54</v>
      </c>
      <c r="I2898">
        <v>6960012</v>
      </c>
      <c r="J2898" s="12">
        <v>46130</v>
      </c>
      <c r="K2898" s="12">
        <v>46130</v>
      </c>
      <c r="L2898" s="12">
        <v>46130</v>
      </c>
      <c r="M2898">
        <v>2</v>
      </c>
      <c r="N2898">
        <v>-38227</v>
      </c>
      <c r="O2898">
        <v>-38227</v>
      </c>
      <c r="P2898">
        <v>0</v>
      </c>
      <c r="Q2898">
        <v>-38227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 t="s">
        <v>47</v>
      </c>
      <c r="AA2898" t="s">
        <v>501</v>
      </c>
      <c r="AB2898" t="s">
        <v>51</v>
      </c>
      <c r="AC2898" t="s">
        <v>51</v>
      </c>
      <c r="AD2898" t="s">
        <v>51</v>
      </c>
      <c r="AE2898" t="s">
        <v>51</v>
      </c>
      <c r="AF2898" t="s">
        <v>64</v>
      </c>
    </row>
    <row r="2899" spans="1:32" ht="14.5" customHeight="1" x14ac:dyDescent="0.35">
      <c r="A2899" t="s">
        <v>175</v>
      </c>
      <c r="B2899" t="s">
        <v>2152</v>
      </c>
      <c r="C2899" t="s">
        <v>47</v>
      </c>
      <c r="D2899">
        <v>3100542</v>
      </c>
      <c r="E2899">
        <v>3100534</v>
      </c>
      <c r="F2899" t="s">
        <v>2153</v>
      </c>
      <c r="G2899" t="s">
        <v>2153</v>
      </c>
      <c r="H2899" t="s">
        <v>54</v>
      </c>
      <c r="I2899">
        <v>6960053</v>
      </c>
      <c r="J2899" s="12">
        <v>46130</v>
      </c>
      <c r="K2899" s="12">
        <v>46130</v>
      </c>
      <c r="L2899" s="12">
        <v>46130</v>
      </c>
      <c r="M2899">
        <v>2</v>
      </c>
      <c r="N2899">
        <v>-49532248</v>
      </c>
      <c r="O2899">
        <v>-49532248</v>
      </c>
      <c r="P2899">
        <v>0</v>
      </c>
      <c r="Q2899">
        <v>-49532248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 t="s">
        <v>47</v>
      </c>
      <c r="AA2899" t="s">
        <v>501</v>
      </c>
      <c r="AB2899" t="s">
        <v>51</v>
      </c>
      <c r="AC2899" t="s">
        <v>51</v>
      </c>
      <c r="AD2899" t="s">
        <v>51</v>
      </c>
      <c r="AE2899" t="s">
        <v>51</v>
      </c>
      <c r="AF2899" t="s">
        <v>303</v>
      </c>
    </row>
    <row r="2900" spans="1:32" ht="14.5" customHeight="1" x14ac:dyDescent="0.35">
      <c r="A2900" t="s">
        <v>175</v>
      </c>
      <c r="B2900" t="s">
        <v>2152</v>
      </c>
      <c r="C2900" t="s">
        <v>47</v>
      </c>
      <c r="D2900">
        <v>3100542</v>
      </c>
      <c r="E2900">
        <v>3100535</v>
      </c>
      <c r="F2900" t="s">
        <v>2153</v>
      </c>
      <c r="G2900" t="s">
        <v>2153</v>
      </c>
      <c r="H2900" t="s">
        <v>54</v>
      </c>
      <c r="I2900">
        <v>6960054</v>
      </c>
      <c r="J2900" s="12">
        <v>46130</v>
      </c>
      <c r="K2900" s="12">
        <v>46130</v>
      </c>
      <c r="L2900" s="12">
        <v>46130</v>
      </c>
      <c r="M2900">
        <v>2</v>
      </c>
      <c r="N2900">
        <v>-64012190</v>
      </c>
      <c r="O2900">
        <v>-64012190</v>
      </c>
      <c r="P2900">
        <v>0</v>
      </c>
      <c r="Q2900">
        <v>-64012190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 t="s">
        <v>47</v>
      </c>
      <c r="AA2900" t="s">
        <v>501</v>
      </c>
      <c r="AB2900" t="s">
        <v>51</v>
      </c>
      <c r="AC2900" t="s">
        <v>51</v>
      </c>
      <c r="AD2900" t="s">
        <v>51</v>
      </c>
      <c r="AE2900" t="s">
        <v>51</v>
      </c>
      <c r="AF2900" t="s">
        <v>736</v>
      </c>
    </row>
    <row r="2901" spans="1:32" ht="14.5" customHeight="1" x14ac:dyDescent="0.35">
      <c r="A2901" t="s">
        <v>175</v>
      </c>
      <c r="B2901" t="s">
        <v>2152</v>
      </c>
      <c r="C2901" t="s">
        <v>47</v>
      </c>
      <c r="D2901">
        <v>3100542</v>
      </c>
      <c r="E2901">
        <v>3100578</v>
      </c>
      <c r="F2901" t="s">
        <v>2153</v>
      </c>
      <c r="G2901" t="s">
        <v>2153</v>
      </c>
      <c r="H2901" t="s">
        <v>54</v>
      </c>
      <c r="I2901">
        <v>6960056</v>
      </c>
      <c r="J2901" s="12">
        <v>46130</v>
      </c>
      <c r="K2901" s="12">
        <v>46130</v>
      </c>
      <c r="L2901" s="12">
        <v>46130</v>
      </c>
      <c r="M2901">
        <v>2</v>
      </c>
      <c r="N2901">
        <v>-12684508</v>
      </c>
      <c r="O2901">
        <v>-12684508</v>
      </c>
      <c r="P2901">
        <v>0</v>
      </c>
      <c r="Q2901">
        <v>-12684508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 t="s">
        <v>47</v>
      </c>
      <c r="AA2901" t="s">
        <v>501</v>
      </c>
      <c r="AB2901" t="s">
        <v>51</v>
      </c>
      <c r="AC2901" t="s">
        <v>51</v>
      </c>
      <c r="AD2901" t="s">
        <v>51</v>
      </c>
      <c r="AE2901" t="s">
        <v>51</v>
      </c>
      <c r="AF2901" t="s">
        <v>56</v>
      </c>
    </row>
    <row r="2902" spans="1:32" ht="14.5" customHeight="1" x14ac:dyDescent="0.35">
      <c r="A2902" t="s">
        <v>175</v>
      </c>
      <c r="B2902" t="s">
        <v>2152</v>
      </c>
      <c r="C2902" t="s">
        <v>47</v>
      </c>
      <c r="D2902">
        <v>3100542</v>
      </c>
      <c r="E2902">
        <v>3100657</v>
      </c>
      <c r="F2902" t="s">
        <v>2153</v>
      </c>
      <c r="G2902" t="s">
        <v>2157</v>
      </c>
      <c r="H2902" t="s">
        <v>54</v>
      </c>
      <c r="I2902">
        <v>6960057</v>
      </c>
      <c r="J2902" s="12">
        <v>46130</v>
      </c>
      <c r="K2902" s="12">
        <v>46130</v>
      </c>
      <c r="L2902" s="12">
        <v>46130</v>
      </c>
      <c r="M2902">
        <v>2</v>
      </c>
      <c r="N2902">
        <v>-45586125</v>
      </c>
      <c r="O2902">
        <v>-45586125</v>
      </c>
      <c r="P2902">
        <v>0</v>
      </c>
      <c r="Q2902">
        <v>-45586125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 t="s">
        <v>47</v>
      </c>
      <c r="AA2902" t="s">
        <v>501</v>
      </c>
      <c r="AB2902" t="s">
        <v>51</v>
      </c>
      <c r="AC2902" t="s">
        <v>51</v>
      </c>
      <c r="AD2902" t="s">
        <v>51</v>
      </c>
      <c r="AE2902" t="s">
        <v>51</v>
      </c>
      <c r="AF2902" t="s">
        <v>56</v>
      </c>
    </row>
    <row r="2903" spans="1:32" ht="14.5" customHeight="1" x14ac:dyDescent="0.35">
      <c r="A2903" t="s">
        <v>175</v>
      </c>
      <c r="B2903" t="s">
        <v>2152</v>
      </c>
      <c r="C2903" t="s">
        <v>47</v>
      </c>
      <c r="D2903">
        <v>3100542</v>
      </c>
      <c r="E2903">
        <v>3100578</v>
      </c>
      <c r="F2903" t="s">
        <v>2153</v>
      </c>
      <c r="G2903" t="s">
        <v>2153</v>
      </c>
      <c r="H2903" t="s">
        <v>54</v>
      </c>
      <c r="I2903">
        <v>6960192</v>
      </c>
      <c r="J2903" s="12">
        <v>46130</v>
      </c>
      <c r="K2903" s="12">
        <v>46130</v>
      </c>
      <c r="L2903" s="12">
        <v>46130</v>
      </c>
      <c r="M2903">
        <v>2</v>
      </c>
      <c r="N2903">
        <v>-49495</v>
      </c>
      <c r="O2903">
        <v>-49495</v>
      </c>
      <c r="P2903">
        <v>0</v>
      </c>
      <c r="Q2903">
        <v>-49495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 t="s">
        <v>47</v>
      </c>
      <c r="AA2903" t="s">
        <v>501</v>
      </c>
      <c r="AB2903" t="s">
        <v>51</v>
      </c>
      <c r="AC2903" t="s">
        <v>51</v>
      </c>
      <c r="AD2903" t="s">
        <v>51</v>
      </c>
      <c r="AE2903" t="s">
        <v>51</v>
      </c>
      <c r="AF2903" t="s">
        <v>2166</v>
      </c>
    </row>
    <row r="2904" spans="1:32" ht="14.5" customHeight="1" x14ac:dyDescent="0.35">
      <c r="A2904" t="s">
        <v>175</v>
      </c>
      <c r="B2904" t="s">
        <v>2152</v>
      </c>
      <c r="C2904" t="s">
        <v>47</v>
      </c>
      <c r="D2904">
        <v>3100542</v>
      </c>
      <c r="E2904">
        <v>3100578</v>
      </c>
      <c r="F2904" t="s">
        <v>2153</v>
      </c>
      <c r="G2904" t="s">
        <v>2153</v>
      </c>
      <c r="H2904" t="s">
        <v>140</v>
      </c>
      <c r="I2904">
        <v>9917209</v>
      </c>
      <c r="J2904" s="12">
        <v>46103</v>
      </c>
      <c r="K2904" s="12">
        <v>46103</v>
      </c>
      <c r="L2904" s="12">
        <v>46133</v>
      </c>
      <c r="M2904">
        <v>-1</v>
      </c>
      <c r="N2904">
        <v>147446</v>
      </c>
      <c r="O2904">
        <v>0</v>
      </c>
      <c r="P2904">
        <v>147446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 t="s">
        <v>47</v>
      </c>
      <c r="AA2904" t="s">
        <v>501</v>
      </c>
      <c r="AB2904" t="s">
        <v>51</v>
      </c>
      <c r="AC2904" t="s">
        <v>2169</v>
      </c>
      <c r="AD2904" t="s">
        <v>51</v>
      </c>
      <c r="AE2904" t="s">
        <v>51</v>
      </c>
      <c r="AF2904" t="s">
        <v>106</v>
      </c>
    </row>
    <row r="2905" spans="1:32" ht="14.5" customHeight="1" x14ac:dyDescent="0.35">
      <c r="A2905" t="s">
        <v>175</v>
      </c>
      <c r="B2905" t="s">
        <v>2152</v>
      </c>
      <c r="C2905" t="s">
        <v>47</v>
      </c>
      <c r="D2905">
        <v>3100542</v>
      </c>
      <c r="E2905">
        <v>3100534</v>
      </c>
      <c r="F2905" t="s">
        <v>2153</v>
      </c>
      <c r="G2905" t="s">
        <v>2153</v>
      </c>
      <c r="H2905" t="s">
        <v>140</v>
      </c>
      <c r="I2905">
        <v>9917482</v>
      </c>
      <c r="J2905" s="12">
        <v>46106</v>
      </c>
      <c r="K2905" s="12">
        <v>46106</v>
      </c>
      <c r="L2905" s="12">
        <v>46136</v>
      </c>
      <c r="M2905">
        <v>-4</v>
      </c>
      <c r="N2905">
        <v>215935</v>
      </c>
      <c r="O2905">
        <v>0</v>
      </c>
      <c r="P2905">
        <v>215935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 t="s">
        <v>47</v>
      </c>
      <c r="AA2905" t="s">
        <v>501</v>
      </c>
      <c r="AB2905" t="s">
        <v>51</v>
      </c>
      <c r="AC2905" t="s">
        <v>2170</v>
      </c>
      <c r="AD2905" t="s">
        <v>51</v>
      </c>
      <c r="AE2905" t="s">
        <v>51</v>
      </c>
      <c r="AF2905" t="s">
        <v>493</v>
      </c>
    </row>
    <row r="2906" spans="1:32" ht="14.5" customHeight="1" x14ac:dyDescent="0.35">
      <c r="A2906" t="s">
        <v>175</v>
      </c>
      <c r="B2906" t="s">
        <v>2152</v>
      </c>
      <c r="C2906" t="s">
        <v>2167</v>
      </c>
      <c r="D2906">
        <v>3100542</v>
      </c>
      <c r="E2906">
        <v>3100659</v>
      </c>
      <c r="F2906" t="s">
        <v>2153</v>
      </c>
      <c r="G2906" t="s">
        <v>2157</v>
      </c>
      <c r="H2906" t="s">
        <v>54</v>
      </c>
      <c r="I2906">
        <v>9918057</v>
      </c>
      <c r="J2906" s="12">
        <v>46107</v>
      </c>
      <c r="K2906" s="12">
        <v>46107</v>
      </c>
      <c r="L2906" s="12">
        <v>46140</v>
      </c>
      <c r="M2906">
        <v>-8</v>
      </c>
      <c r="N2906">
        <v>109907649</v>
      </c>
      <c r="O2906">
        <v>0</v>
      </c>
      <c r="P2906">
        <v>109907649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 t="s">
        <v>2167</v>
      </c>
      <c r="AA2906" t="s">
        <v>501</v>
      </c>
      <c r="AB2906" t="s">
        <v>51</v>
      </c>
      <c r="AC2906" t="s">
        <v>51</v>
      </c>
      <c r="AD2906" t="s">
        <v>2171</v>
      </c>
      <c r="AE2906" t="s">
        <v>51</v>
      </c>
      <c r="AF2906" t="s">
        <v>2092</v>
      </c>
    </row>
    <row r="2907" spans="1:32" ht="14.5" customHeight="1" x14ac:dyDescent="0.35">
      <c r="A2907" t="s">
        <v>175</v>
      </c>
      <c r="B2907" t="s">
        <v>2152</v>
      </c>
      <c r="C2907" t="s">
        <v>2167</v>
      </c>
      <c r="D2907">
        <v>3100542</v>
      </c>
      <c r="E2907">
        <v>3100544</v>
      </c>
      <c r="F2907" t="s">
        <v>2153</v>
      </c>
      <c r="G2907" t="s">
        <v>2153</v>
      </c>
      <c r="H2907" t="s">
        <v>54</v>
      </c>
      <c r="I2907">
        <v>9918063</v>
      </c>
      <c r="J2907" s="12">
        <v>46107</v>
      </c>
      <c r="K2907" s="12">
        <v>46107</v>
      </c>
      <c r="L2907" s="12">
        <v>46140</v>
      </c>
      <c r="M2907">
        <v>-8</v>
      </c>
      <c r="N2907">
        <v>189479102</v>
      </c>
      <c r="O2907">
        <v>0</v>
      </c>
      <c r="P2907">
        <v>189479102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 t="s">
        <v>2167</v>
      </c>
      <c r="AA2907" t="s">
        <v>501</v>
      </c>
      <c r="AB2907" t="s">
        <v>51</v>
      </c>
      <c r="AC2907" t="s">
        <v>51</v>
      </c>
      <c r="AD2907" t="s">
        <v>2172</v>
      </c>
      <c r="AE2907" t="s">
        <v>51</v>
      </c>
      <c r="AF2907" t="s">
        <v>303</v>
      </c>
    </row>
    <row r="2908" spans="1:32" ht="14.5" customHeight="1" x14ac:dyDescent="0.35">
      <c r="A2908" t="s">
        <v>175</v>
      </c>
      <c r="B2908" t="s">
        <v>2152</v>
      </c>
      <c r="C2908" t="s">
        <v>2167</v>
      </c>
      <c r="D2908">
        <v>3100542</v>
      </c>
      <c r="E2908">
        <v>3100630</v>
      </c>
      <c r="F2908" t="s">
        <v>2153</v>
      </c>
      <c r="G2908" t="s">
        <v>2153</v>
      </c>
      <c r="H2908" t="s">
        <v>54</v>
      </c>
      <c r="I2908">
        <v>9918218</v>
      </c>
      <c r="J2908" s="12">
        <v>46107</v>
      </c>
      <c r="K2908" s="12">
        <v>46107</v>
      </c>
      <c r="L2908" s="12">
        <v>46140</v>
      </c>
      <c r="M2908">
        <v>-8</v>
      </c>
      <c r="N2908">
        <v>73988373</v>
      </c>
      <c r="O2908">
        <v>0</v>
      </c>
      <c r="P2908">
        <v>73988373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 t="s">
        <v>2167</v>
      </c>
      <c r="AA2908" t="s">
        <v>501</v>
      </c>
      <c r="AB2908" t="s">
        <v>51</v>
      </c>
      <c r="AC2908" t="s">
        <v>51</v>
      </c>
      <c r="AD2908" t="s">
        <v>2173</v>
      </c>
      <c r="AE2908" t="s">
        <v>51</v>
      </c>
      <c r="AF2908" t="s">
        <v>153</v>
      </c>
    </row>
    <row r="2909" spans="1:32" ht="14.5" customHeight="1" x14ac:dyDescent="0.35">
      <c r="A2909" t="s">
        <v>175</v>
      </c>
      <c r="B2909" t="s">
        <v>2152</v>
      </c>
      <c r="C2909" t="s">
        <v>2167</v>
      </c>
      <c r="D2909">
        <v>3100542</v>
      </c>
      <c r="E2909">
        <v>3100543</v>
      </c>
      <c r="F2909" t="s">
        <v>2153</v>
      </c>
      <c r="G2909" t="s">
        <v>2153</v>
      </c>
      <c r="H2909" t="s">
        <v>54</v>
      </c>
      <c r="I2909">
        <v>9918257</v>
      </c>
      <c r="J2909" s="12">
        <v>46107</v>
      </c>
      <c r="K2909" s="12">
        <v>46107</v>
      </c>
      <c r="L2909" s="12">
        <v>46140</v>
      </c>
      <c r="M2909">
        <v>-8</v>
      </c>
      <c r="N2909">
        <v>178407947</v>
      </c>
      <c r="O2909">
        <v>0</v>
      </c>
      <c r="P2909">
        <v>178407947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 t="s">
        <v>2167</v>
      </c>
      <c r="AA2909" t="s">
        <v>501</v>
      </c>
      <c r="AB2909" t="s">
        <v>51</v>
      </c>
      <c r="AC2909" t="s">
        <v>51</v>
      </c>
      <c r="AD2909" t="s">
        <v>2174</v>
      </c>
      <c r="AE2909" t="s">
        <v>51</v>
      </c>
      <c r="AF2909" t="s">
        <v>153</v>
      </c>
    </row>
    <row r="2910" spans="1:32" ht="14.5" customHeight="1" x14ac:dyDescent="0.35">
      <c r="A2910" t="s">
        <v>175</v>
      </c>
      <c r="B2910" t="s">
        <v>2152</v>
      </c>
      <c r="C2910" t="s">
        <v>2167</v>
      </c>
      <c r="D2910">
        <v>3100542</v>
      </c>
      <c r="E2910">
        <v>3100659</v>
      </c>
      <c r="F2910" t="s">
        <v>2153</v>
      </c>
      <c r="G2910" t="s">
        <v>2157</v>
      </c>
      <c r="H2910" t="s">
        <v>54</v>
      </c>
      <c r="I2910">
        <v>9923316</v>
      </c>
      <c r="J2910" s="12">
        <v>46121</v>
      </c>
      <c r="K2910" s="12">
        <v>46121</v>
      </c>
      <c r="L2910" s="12">
        <v>46154</v>
      </c>
      <c r="M2910">
        <v>-22</v>
      </c>
      <c r="N2910">
        <v>370703259</v>
      </c>
      <c r="O2910">
        <v>0</v>
      </c>
      <c r="P2910">
        <v>370703259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 t="s">
        <v>2167</v>
      </c>
      <c r="AA2910" t="s">
        <v>501</v>
      </c>
      <c r="AB2910" t="s">
        <v>51</v>
      </c>
      <c r="AC2910" t="s">
        <v>51</v>
      </c>
      <c r="AD2910" t="s">
        <v>51</v>
      </c>
      <c r="AE2910" t="s">
        <v>2175</v>
      </c>
      <c r="AF2910" t="s">
        <v>195</v>
      </c>
    </row>
    <row r="2911" spans="1:32" ht="14.5" customHeight="1" x14ac:dyDescent="0.35">
      <c r="A2911" t="s">
        <v>175</v>
      </c>
      <c r="B2911" t="s">
        <v>2152</v>
      </c>
      <c r="C2911" t="s">
        <v>2167</v>
      </c>
      <c r="D2911">
        <v>3100542</v>
      </c>
      <c r="E2911">
        <v>3100544</v>
      </c>
      <c r="F2911" t="s">
        <v>2153</v>
      </c>
      <c r="G2911" t="s">
        <v>2153</v>
      </c>
      <c r="H2911" t="s">
        <v>54</v>
      </c>
      <c r="I2911">
        <v>9923981</v>
      </c>
      <c r="J2911" s="12">
        <v>46122</v>
      </c>
      <c r="K2911" s="12">
        <v>46122</v>
      </c>
      <c r="L2911" s="12">
        <v>46155</v>
      </c>
      <c r="M2911">
        <v>-23</v>
      </c>
      <c r="N2911">
        <v>460462460</v>
      </c>
      <c r="O2911">
        <v>0</v>
      </c>
      <c r="P2911">
        <v>460462460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 t="s">
        <v>2167</v>
      </c>
      <c r="AA2911" t="s">
        <v>501</v>
      </c>
      <c r="AB2911" t="s">
        <v>51</v>
      </c>
      <c r="AC2911" t="s">
        <v>51</v>
      </c>
      <c r="AD2911" t="s">
        <v>51</v>
      </c>
      <c r="AE2911" t="s">
        <v>2176</v>
      </c>
      <c r="AF2911" t="s">
        <v>195</v>
      </c>
    </row>
    <row r="2912" spans="1:32" ht="14.5" customHeight="1" x14ac:dyDescent="0.35">
      <c r="A2912" t="s">
        <v>175</v>
      </c>
      <c r="B2912" t="s">
        <v>2152</v>
      </c>
      <c r="C2912" t="s">
        <v>2167</v>
      </c>
      <c r="D2912">
        <v>3100542</v>
      </c>
      <c r="E2912">
        <v>3100630</v>
      </c>
      <c r="F2912" t="s">
        <v>2153</v>
      </c>
      <c r="G2912" t="s">
        <v>2153</v>
      </c>
      <c r="H2912" t="s">
        <v>54</v>
      </c>
      <c r="I2912">
        <v>9924314</v>
      </c>
      <c r="J2912" s="12">
        <v>46123</v>
      </c>
      <c r="K2912" s="12">
        <v>46123</v>
      </c>
      <c r="L2912" s="12">
        <v>46156</v>
      </c>
      <c r="M2912">
        <v>-24</v>
      </c>
      <c r="N2912">
        <v>2171986</v>
      </c>
      <c r="O2912">
        <v>0</v>
      </c>
      <c r="P2912">
        <v>2171986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 t="s">
        <v>2167</v>
      </c>
      <c r="AA2912" t="s">
        <v>501</v>
      </c>
      <c r="AB2912" t="s">
        <v>51</v>
      </c>
      <c r="AC2912" t="s">
        <v>51</v>
      </c>
      <c r="AD2912" t="s">
        <v>51</v>
      </c>
      <c r="AE2912" t="s">
        <v>2177</v>
      </c>
      <c r="AF2912" t="s">
        <v>809</v>
      </c>
    </row>
    <row r="2913" spans="1:32" ht="14.5" customHeight="1" x14ac:dyDescent="0.35">
      <c r="A2913" t="s">
        <v>175</v>
      </c>
      <c r="B2913" t="s">
        <v>2152</v>
      </c>
      <c r="C2913" t="s">
        <v>2167</v>
      </c>
      <c r="D2913">
        <v>3100542</v>
      </c>
      <c r="E2913">
        <v>3100630</v>
      </c>
      <c r="F2913" t="s">
        <v>2153</v>
      </c>
      <c r="G2913" t="s">
        <v>2153</v>
      </c>
      <c r="H2913" t="s">
        <v>54</v>
      </c>
      <c r="I2913">
        <v>9924375</v>
      </c>
      <c r="J2913" s="12">
        <v>46123</v>
      </c>
      <c r="K2913" s="12">
        <v>46123</v>
      </c>
      <c r="L2913" s="12">
        <v>46156</v>
      </c>
      <c r="M2913">
        <v>-24</v>
      </c>
      <c r="N2913">
        <v>164021510</v>
      </c>
      <c r="O2913">
        <v>0</v>
      </c>
      <c r="P2913">
        <v>164021510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 t="s">
        <v>2167</v>
      </c>
      <c r="AA2913" t="s">
        <v>501</v>
      </c>
      <c r="AB2913" t="s">
        <v>51</v>
      </c>
      <c r="AC2913" t="s">
        <v>51</v>
      </c>
      <c r="AD2913" t="s">
        <v>51</v>
      </c>
      <c r="AE2913" t="s">
        <v>2178</v>
      </c>
      <c r="AF2913" t="s">
        <v>195</v>
      </c>
    </row>
    <row r="2914" spans="1:32" ht="14.5" customHeight="1" x14ac:dyDescent="0.35">
      <c r="A2914" t="s">
        <v>175</v>
      </c>
      <c r="B2914" t="s">
        <v>2152</v>
      </c>
      <c r="C2914" t="s">
        <v>2167</v>
      </c>
      <c r="D2914">
        <v>3100542</v>
      </c>
      <c r="E2914">
        <v>3100543</v>
      </c>
      <c r="F2914" t="s">
        <v>2153</v>
      </c>
      <c r="G2914" t="s">
        <v>2153</v>
      </c>
      <c r="H2914" t="s">
        <v>54</v>
      </c>
      <c r="I2914">
        <v>9925452</v>
      </c>
      <c r="J2914" s="12">
        <v>46126</v>
      </c>
      <c r="K2914" s="12">
        <v>46126</v>
      </c>
      <c r="L2914" s="12">
        <v>46159</v>
      </c>
      <c r="M2914">
        <v>-27</v>
      </c>
      <c r="N2914">
        <v>427173241</v>
      </c>
      <c r="O2914">
        <v>0</v>
      </c>
      <c r="P2914">
        <v>427173241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 t="s">
        <v>2167</v>
      </c>
      <c r="AA2914" t="s">
        <v>501</v>
      </c>
      <c r="AB2914" t="s">
        <v>51</v>
      </c>
      <c r="AC2914" t="s">
        <v>51</v>
      </c>
      <c r="AD2914" t="s">
        <v>51</v>
      </c>
      <c r="AE2914" t="s">
        <v>2179</v>
      </c>
      <c r="AF2914" t="s">
        <v>195</v>
      </c>
    </row>
    <row r="2915" spans="1:32" ht="14.5" customHeight="1" x14ac:dyDescent="0.35">
      <c r="A2915" t="s">
        <v>175</v>
      </c>
      <c r="B2915" t="s">
        <v>2152</v>
      </c>
      <c r="C2915" t="s">
        <v>2167</v>
      </c>
      <c r="D2915">
        <v>3100542</v>
      </c>
      <c r="E2915">
        <v>3100544</v>
      </c>
      <c r="F2915" t="s">
        <v>2153</v>
      </c>
      <c r="G2915" t="s">
        <v>2153</v>
      </c>
      <c r="H2915" t="s">
        <v>54</v>
      </c>
      <c r="I2915">
        <v>9925453</v>
      </c>
      <c r="J2915" s="12">
        <v>46126</v>
      </c>
      <c r="K2915" s="12">
        <v>46126</v>
      </c>
      <c r="L2915" s="12">
        <v>46159</v>
      </c>
      <c r="M2915">
        <v>-27</v>
      </c>
      <c r="N2915">
        <v>134399800</v>
      </c>
      <c r="O2915">
        <v>0</v>
      </c>
      <c r="P2915">
        <v>134399800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 t="s">
        <v>2167</v>
      </c>
      <c r="AA2915" t="s">
        <v>501</v>
      </c>
      <c r="AB2915" t="s">
        <v>51</v>
      </c>
      <c r="AC2915" t="s">
        <v>51</v>
      </c>
      <c r="AD2915" t="s">
        <v>51</v>
      </c>
      <c r="AE2915" t="s">
        <v>2180</v>
      </c>
      <c r="AF2915" t="s">
        <v>195</v>
      </c>
    </row>
    <row r="2916" spans="1:32" ht="14.5" customHeight="1" x14ac:dyDescent="0.35">
      <c r="A2916" t="s">
        <v>175</v>
      </c>
      <c r="B2916" t="s">
        <v>2152</v>
      </c>
      <c r="C2916" t="s">
        <v>47</v>
      </c>
      <c r="D2916">
        <v>3100542</v>
      </c>
      <c r="E2916">
        <v>3100534</v>
      </c>
      <c r="F2916" t="s">
        <v>2153</v>
      </c>
      <c r="G2916" t="s">
        <v>2153</v>
      </c>
      <c r="H2916" t="s">
        <v>140</v>
      </c>
      <c r="I2916">
        <v>9926932</v>
      </c>
      <c r="J2916" s="12">
        <v>46130</v>
      </c>
      <c r="K2916" s="12">
        <v>46130</v>
      </c>
      <c r="L2916" s="12">
        <v>46160</v>
      </c>
      <c r="M2916">
        <v>-28</v>
      </c>
      <c r="N2916">
        <v>315318</v>
      </c>
      <c r="O2916">
        <v>0</v>
      </c>
      <c r="P2916">
        <v>315318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 t="s">
        <v>47</v>
      </c>
      <c r="AA2916" t="s">
        <v>501</v>
      </c>
      <c r="AB2916" t="s">
        <v>51</v>
      </c>
      <c r="AC2916" t="s">
        <v>51</v>
      </c>
      <c r="AD2916" t="s">
        <v>51</v>
      </c>
      <c r="AE2916" t="s">
        <v>2181</v>
      </c>
      <c r="AF2916" t="s">
        <v>106</v>
      </c>
    </row>
    <row r="2917" spans="1:32" ht="14.5" customHeight="1" x14ac:dyDescent="0.35">
      <c r="A2917" t="s">
        <v>175</v>
      </c>
      <c r="B2917" t="s">
        <v>2152</v>
      </c>
      <c r="C2917" t="s">
        <v>47</v>
      </c>
      <c r="D2917">
        <v>3100542</v>
      </c>
      <c r="E2917">
        <v>3100535</v>
      </c>
      <c r="F2917" t="s">
        <v>2153</v>
      </c>
      <c r="G2917" t="s">
        <v>2153</v>
      </c>
      <c r="H2917" t="s">
        <v>140</v>
      </c>
      <c r="I2917">
        <v>9926933</v>
      </c>
      <c r="J2917" s="12">
        <v>46130</v>
      </c>
      <c r="K2917" s="12">
        <v>46130</v>
      </c>
      <c r="L2917" s="12">
        <v>46160</v>
      </c>
      <c r="M2917">
        <v>-28</v>
      </c>
      <c r="N2917">
        <v>1103734</v>
      </c>
      <c r="O2917">
        <v>0</v>
      </c>
      <c r="P2917">
        <v>1103734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 t="s">
        <v>47</v>
      </c>
      <c r="AA2917" t="s">
        <v>501</v>
      </c>
      <c r="AB2917" t="s">
        <v>51</v>
      </c>
      <c r="AC2917" t="s">
        <v>51</v>
      </c>
      <c r="AD2917" t="s">
        <v>51</v>
      </c>
      <c r="AE2917" t="s">
        <v>2182</v>
      </c>
      <c r="AF2917" t="s">
        <v>56</v>
      </c>
    </row>
    <row r="2918" spans="1:32" ht="14.5" customHeight="1" x14ac:dyDescent="0.35">
      <c r="A2918" t="s">
        <v>175</v>
      </c>
      <c r="B2918" t="s">
        <v>2152</v>
      </c>
      <c r="C2918" t="s">
        <v>47</v>
      </c>
      <c r="D2918">
        <v>3100542</v>
      </c>
      <c r="E2918">
        <v>3100657</v>
      </c>
      <c r="F2918" t="s">
        <v>2153</v>
      </c>
      <c r="G2918" t="s">
        <v>2157</v>
      </c>
      <c r="H2918" t="s">
        <v>140</v>
      </c>
      <c r="I2918">
        <v>9926935</v>
      </c>
      <c r="J2918" s="12">
        <v>46130</v>
      </c>
      <c r="K2918" s="12">
        <v>46130</v>
      </c>
      <c r="L2918" s="12">
        <v>46160</v>
      </c>
      <c r="M2918">
        <v>-28</v>
      </c>
      <c r="N2918">
        <v>1044255</v>
      </c>
      <c r="O2918">
        <v>0</v>
      </c>
      <c r="P2918">
        <v>1044255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 t="s">
        <v>47</v>
      </c>
      <c r="AA2918" t="s">
        <v>501</v>
      </c>
      <c r="AB2918" t="s">
        <v>51</v>
      </c>
      <c r="AC2918" t="s">
        <v>51</v>
      </c>
      <c r="AD2918" t="s">
        <v>51</v>
      </c>
      <c r="AE2918" t="s">
        <v>2183</v>
      </c>
      <c r="AF2918" t="s">
        <v>493</v>
      </c>
    </row>
    <row r="2919" spans="1:32" ht="14.5" customHeight="1" x14ac:dyDescent="0.35">
      <c r="A2919" t="s">
        <v>175</v>
      </c>
      <c r="B2919" t="s">
        <v>2152</v>
      </c>
      <c r="C2919" t="s">
        <v>2167</v>
      </c>
      <c r="D2919">
        <v>3100542</v>
      </c>
      <c r="E2919">
        <v>3100659</v>
      </c>
      <c r="F2919" t="s">
        <v>2153</v>
      </c>
      <c r="G2919" t="s">
        <v>2157</v>
      </c>
      <c r="H2919" t="s">
        <v>54</v>
      </c>
      <c r="I2919">
        <v>9927404</v>
      </c>
      <c r="J2919" s="12">
        <v>46130</v>
      </c>
      <c r="K2919" s="12">
        <v>46130</v>
      </c>
      <c r="L2919" s="12">
        <v>46163</v>
      </c>
      <c r="M2919">
        <v>-31</v>
      </c>
      <c r="N2919">
        <v>213024880</v>
      </c>
      <c r="O2919">
        <v>0</v>
      </c>
      <c r="P2919">
        <v>213024880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 t="s">
        <v>2167</v>
      </c>
      <c r="AA2919" t="s">
        <v>501</v>
      </c>
      <c r="AB2919" t="s">
        <v>51</v>
      </c>
      <c r="AC2919" t="s">
        <v>51</v>
      </c>
      <c r="AD2919" t="s">
        <v>51</v>
      </c>
      <c r="AE2919" t="s">
        <v>2184</v>
      </c>
      <c r="AF2919" t="s">
        <v>521</v>
      </c>
    </row>
    <row r="2920" spans="1:32" ht="14.5" customHeight="1" x14ac:dyDescent="0.35">
      <c r="A2920" t="s">
        <v>175</v>
      </c>
      <c r="B2920" t="s">
        <v>2152</v>
      </c>
      <c r="C2920" t="s">
        <v>2167</v>
      </c>
      <c r="D2920">
        <v>3100542</v>
      </c>
      <c r="E2920">
        <v>3100544</v>
      </c>
      <c r="F2920" t="s">
        <v>2153</v>
      </c>
      <c r="G2920" t="s">
        <v>2153</v>
      </c>
      <c r="H2920" t="s">
        <v>54</v>
      </c>
      <c r="I2920">
        <v>9927405</v>
      </c>
      <c r="J2920" s="12">
        <v>46130</v>
      </c>
      <c r="K2920" s="12">
        <v>46130</v>
      </c>
      <c r="L2920" s="12">
        <v>46163</v>
      </c>
      <c r="M2920">
        <v>-31</v>
      </c>
      <c r="N2920">
        <v>223146854</v>
      </c>
      <c r="O2920">
        <v>0</v>
      </c>
      <c r="P2920">
        <v>223146854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 t="s">
        <v>2167</v>
      </c>
      <c r="AA2920" t="s">
        <v>501</v>
      </c>
      <c r="AB2920" t="s">
        <v>51</v>
      </c>
      <c r="AC2920" t="s">
        <v>51</v>
      </c>
      <c r="AD2920" t="s">
        <v>51</v>
      </c>
      <c r="AE2920" t="s">
        <v>2185</v>
      </c>
      <c r="AF2920" t="s">
        <v>1543</v>
      </c>
    </row>
    <row r="2921" spans="1:32" ht="14.5" customHeight="1" x14ac:dyDescent="0.35">
      <c r="A2921" t="s">
        <v>175</v>
      </c>
      <c r="B2921" t="s">
        <v>2152</v>
      </c>
      <c r="C2921" t="s">
        <v>2167</v>
      </c>
      <c r="D2921">
        <v>3100542</v>
      </c>
      <c r="E2921">
        <v>3100544</v>
      </c>
      <c r="F2921" t="s">
        <v>2153</v>
      </c>
      <c r="G2921" t="s">
        <v>2153</v>
      </c>
      <c r="H2921" t="s">
        <v>54</v>
      </c>
      <c r="I2921">
        <v>9927406</v>
      </c>
      <c r="J2921" s="12">
        <v>46130</v>
      </c>
      <c r="K2921" s="12">
        <v>46130</v>
      </c>
      <c r="L2921" s="12">
        <v>46163</v>
      </c>
      <c r="M2921">
        <v>-31</v>
      </c>
      <c r="N2921">
        <v>1610388</v>
      </c>
      <c r="O2921">
        <v>0</v>
      </c>
      <c r="P2921">
        <v>1610388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 t="s">
        <v>2167</v>
      </c>
      <c r="AA2921" t="s">
        <v>501</v>
      </c>
      <c r="AB2921" t="s">
        <v>51</v>
      </c>
      <c r="AC2921" t="s">
        <v>51</v>
      </c>
      <c r="AD2921" t="s">
        <v>51</v>
      </c>
      <c r="AE2921" t="s">
        <v>2186</v>
      </c>
      <c r="AF2921" t="s">
        <v>163</v>
      </c>
    </row>
    <row r="2922" spans="1:32" ht="14.5" customHeight="1" x14ac:dyDescent="0.35">
      <c r="A2922" t="s">
        <v>73</v>
      </c>
      <c r="B2922" t="s">
        <v>2187</v>
      </c>
      <c r="C2922" t="s">
        <v>47</v>
      </c>
      <c r="D2922">
        <v>3100546</v>
      </c>
      <c r="E2922">
        <v>3100562</v>
      </c>
      <c r="F2922" t="s">
        <v>2188</v>
      </c>
      <c r="G2922" t="s">
        <v>2189</v>
      </c>
      <c r="H2922" t="s">
        <v>54</v>
      </c>
      <c r="I2922">
        <v>6955230</v>
      </c>
      <c r="J2922" s="12">
        <v>46093</v>
      </c>
      <c r="K2922" s="12">
        <v>46093</v>
      </c>
      <c r="L2922" s="12">
        <v>46093</v>
      </c>
      <c r="M2922">
        <v>39</v>
      </c>
      <c r="N2922">
        <v>-26487000</v>
      </c>
      <c r="O2922">
        <v>-26487000</v>
      </c>
      <c r="P2922">
        <v>0</v>
      </c>
      <c r="Q2922">
        <v>0</v>
      </c>
      <c r="R2922">
        <v>-26487000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 t="s">
        <v>47</v>
      </c>
      <c r="AA2922" t="s">
        <v>501</v>
      </c>
      <c r="AB2922" t="s">
        <v>51</v>
      </c>
      <c r="AC2922" t="s">
        <v>51</v>
      </c>
      <c r="AD2922" t="s">
        <v>51</v>
      </c>
      <c r="AE2922" t="s">
        <v>51</v>
      </c>
      <c r="AF2922" t="s">
        <v>2190</v>
      </c>
    </row>
    <row r="2923" spans="1:32" ht="14.5" customHeight="1" x14ac:dyDescent="0.35">
      <c r="A2923" t="s">
        <v>73</v>
      </c>
      <c r="B2923" t="s">
        <v>2187</v>
      </c>
      <c r="C2923" t="s">
        <v>47</v>
      </c>
      <c r="D2923">
        <v>3100546</v>
      </c>
      <c r="E2923">
        <v>3100555</v>
      </c>
      <c r="F2923" t="s">
        <v>2188</v>
      </c>
      <c r="G2923" t="s">
        <v>2191</v>
      </c>
      <c r="H2923" t="s">
        <v>54</v>
      </c>
      <c r="I2923">
        <v>6955685</v>
      </c>
      <c r="J2923" s="12">
        <v>46095</v>
      </c>
      <c r="K2923" s="12">
        <v>46095</v>
      </c>
      <c r="L2923" s="12">
        <v>46095</v>
      </c>
      <c r="M2923">
        <v>37</v>
      </c>
      <c r="N2923">
        <v>-48763761</v>
      </c>
      <c r="O2923">
        <v>-48763761</v>
      </c>
      <c r="P2923">
        <v>0</v>
      </c>
      <c r="Q2923">
        <v>0</v>
      </c>
      <c r="R2923">
        <v>-48763761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 t="s">
        <v>846</v>
      </c>
      <c r="AA2923" t="s">
        <v>501</v>
      </c>
      <c r="AB2923" t="s">
        <v>51</v>
      </c>
      <c r="AC2923" t="s">
        <v>51</v>
      </c>
      <c r="AD2923" t="s">
        <v>51</v>
      </c>
      <c r="AE2923" t="s">
        <v>51</v>
      </c>
      <c r="AF2923" t="s">
        <v>325</v>
      </c>
    </row>
    <row r="2924" spans="1:32" ht="14.5" customHeight="1" x14ac:dyDescent="0.35">
      <c r="A2924" t="s">
        <v>73</v>
      </c>
      <c r="B2924" t="s">
        <v>2187</v>
      </c>
      <c r="C2924" t="s">
        <v>47</v>
      </c>
      <c r="D2924">
        <v>3100546</v>
      </c>
      <c r="E2924">
        <v>3100562</v>
      </c>
      <c r="F2924" t="s">
        <v>2188</v>
      </c>
      <c r="G2924" t="s">
        <v>2189</v>
      </c>
      <c r="H2924" t="s">
        <v>54</v>
      </c>
      <c r="I2924">
        <v>6955686</v>
      </c>
      <c r="J2924" s="12">
        <v>46095</v>
      </c>
      <c r="K2924" s="12">
        <v>46095</v>
      </c>
      <c r="L2924" s="12">
        <v>46095</v>
      </c>
      <c r="M2924">
        <v>37</v>
      </c>
      <c r="N2924">
        <v>-117691184</v>
      </c>
      <c r="O2924">
        <v>-117691184</v>
      </c>
      <c r="P2924">
        <v>0</v>
      </c>
      <c r="Q2924">
        <v>0</v>
      </c>
      <c r="R2924">
        <v>-117691184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 t="s">
        <v>47</v>
      </c>
      <c r="AA2924" t="s">
        <v>501</v>
      </c>
      <c r="AB2924" t="s">
        <v>51</v>
      </c>
      <c r="AC2924" t="s">
        <v>51</v>
      </c>
      <c r="AD2924" t="s">
        <v>51</v>
      </c>
      <c r="AE2924" t="s">
        <v>51</v>
      </c>
      <c r="AF2924" t="s">
        <v>325</v>
      </c>
    </row>
    <row r="2925" spans="1:32" ht="14.5" customHeight="1" x14ac:dyDescent="0.35">
      <c r="A2925" t="s">
        <v>73</v>
      </c>
      <c r="B2925" t="s">
        <v>2187</v>
      </c>
      <c r="C2925" t="s">
        <v>47</v>
      </c>
      <c r="D2925">
        <v>3100546</v>
      </c>
      <c r="E2925">
        <v>3100562</v>
      </c>
      <c r="F2925" t="s">
        <v>2188</v>
      </c>
      <c r="G2925" t="s">
        <v>2189</v>
      </c>
      <c r="H2925" t="s">
        <v>54</v>
      </c>
      <c r="I2925">
        <v>6955687</v>
      </c>
      <c r="J2925" s="12">
        <v>46095</v>
      </c>
      <c r="K2925" s="12">
        <v>46095</v>
      </c>
      <c r="L2925" s="12">
        <v>46095</v>
      </c>
      <c r="M2925">
        <v>37</v>
      </c>
      <c r="N2925">
        <v>-77413572</v>
      </c>
      <c r="O2925">
        <v>-77413572</v>
      </c>
      <c r="P2925">
        <v>0</v>
      </c>
      <c r="Q2925">
        <v>0</v>
      </c>
      <c r="R2925">
        <v>-77413572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 t="s">
        <v>47</v>
      </c>
      <c r="AA2925" t="s">
        <v>501</v>
      </c>
      <c r="AB2925" t="s">
        <v>51</v>
      </c>
      <c r="AC2925" t="s">
        <v>51</v>
      </c>
      <c r="AD2925" t="s">
        <v>51</v>
      </c>
      <c r="AE2925" t="s">
        <v>51</v>
      </c>
      <c r="AF2925" t="s">
        <v>56</v>
      </c>
    </row>
    <row r="2926" spans="1:32" ht="14.5" customHeight="1" x14ac:dyDescent="0.35">
      <c r="A2926" t="s">
        <v>73</v>
      </c>
      <c r="B2926" t="s">
        <v>2187</v>
      </c>
      <c r="C2926" t="s">
        <v>47</v>
      </c>
      <c r="D2926">
        <v>3100546</v>
      </c>
      <c r="E2926">
        <v>3100562</v>
      </c>
      <c r="F2926" t="s">
        <v>2188</v>
      </c>
      <c r="G2926" t="s">
        <v>2189</v>
      </c>
      <c r="H2926" t="s">
        <v>54</v>
      </c>
      <c r="I2926">
        <v>6955780</v>
      </c>
      <c r="J2926" s="12">
        <v>46095</v>
      </c>
      <c r="K2926" s="12">
        <v>46095</v>
      </c>
      <c r="L2926" s="12">
        <v>46095</v>
      </c>
      <c r="M2926">
        <v>37</v>
      </c>
      <c r="N2926">
        <v>-1199000</v>
      </c>
      <c r="O2926">
        <v>-1199000</v>
      </c>
      <c r="P2926">
        <v>0</v>
      </c>
      <c r="Q2926">
        <v>0</v>
      </c>
      <c r="R2926">
        <v>-1199000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 t="s">
        <v>47</v>
      </c>
      <c r="AA2926" t="s">
        <v>501</v>
      </c>
      <c r="AB2926" t="s">
        <v>51</v>
      </c>
      <c r="AC2926" t="s">
        <v>51</v>
      </c>
      <c r="AD2926" t="s">
        <v>51</v>
      </c>
      <c r="AE2926" t="s">
        <v>51</v>
      </c>
      <c r="AF2926" t="s">
        <v>2192</v>
      </c>
    </row>
    <row r="2927" spans="1:32" ht="14.5" customHeight="1" x14ac:dyDescent="0.35">
      <c r="A2927" t="s">
        <v>73</v>
      </c>
      <c r="B2927" t="s">
        <v>2187</v>
      </c>
      <c r="C2927" t="s">
        <v>47</v>
      </c>
      <c r="D2927">
        <v>3100546</v>
      </c>
      <c r="E2927">
        <v>3100562</v>
      </c>
      <c r="F2927" t="s">
        <v>2188</v>
      </c>
      <c r="G2927" t="s">
        <v>2189</v>
      </c>
      <c r="H2927" t="s">
        <v>54</v>
      </c>
      <c r="I2927">
        <v>6955781</v>
      </c>
      <c r="J2927" s="12">
        <v>46095</v>
      </c>
      <c r="K2927" s="12">
        <v>46095</v>
      </c>
      <c r="L2927" s="12">
        <v>46095</v>
      </c>
      <c r="M2927">
        <v>37</v>
      </c>
      <c r="N2927">
        <v>-1062750</v>
      </c>
      <c r="O2927">
        <v>-1062750</v>
      </c>
      <c r="P2927">
        <v>0</v>
      </c>
      <c r="Q2927">
        <v>0</v>
      </c>
      <c r="R2927">
        <v>-1062750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 t="s">
        <v>47</v>
      </c>
      <c r="AA2927" t="s">
        <v>501</v>
      </c>
      <c r="AB2927" t="s">
        <v>51</v>
      </c>
      <c r="AC2927" t="s">
        <v>51</v>
      </c>
      <c r="AD2927" t="s">
        <v>51</v>
      </c>
      <c r="AE2927" t="s">
        <v>51</v>
      </c>
      <c r="AF2927" t="s">
        <v>2192</v>
      </c>
    </row>
    <row r="2928" spans="1:32" ht="14.5" customHeight="1" x14ac:dyDescent="0.35">
      <c r="A2928" t="s">
        <v>73</v>
      </c>
      <c r="B2928" t="s">
        <v>2187</v>
      </c>
      <c r="C2928" t="s">
        <v>47</v>
      </c>
      <c r="D2928">
        <v>3100546</v>
      </c>
      <c r="E2928">
        <v>3100562</v>
      </c>
      <c r="F2928" t="s">
        <v>2188</v>
      </c>
      <c r="G2928" t="s">
        <v>2189</v>
      </c>
      <c r="H2928" t="s">
        <v>54</v>
      </c>
      <c r="I2928">
        <v>6956329</v>
      </c>
      <c r="J2928" s="12">
        <v>46098</v>
      </c>
      <c r="K2928" s="12">
        <v>46098</v>
      </c>
      <c r="L2928" s="12">
        <v>46098</v>
      </c>
      <c r="M2928">
        <v>34</v>
      </c>
      <c r="N2928">
        <v>-6049500</v>
      </c>
      <c r="O2928">
        <v>-6049500</v>
      </c>
      <c r="P2928">
        <v>0</v>
      </c>
      <c r="Q2928">
        <v>0</v>
      </c>
      <c r="R2928">
        <v>-6049500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 t="s">
        <v>47</v>
      </c>
      <c r="AA2928" t="s">
        <v>501</v>
      </c>
      <c r="AB2928" t="s">
        <v>51</v>
      </c>
      <c r="AC2928" t="s">
        <v>51</v>
      </c>
      <c r="AD2928" t="s">
        <v>51</v>
      </c>
      <c r="AE2928" t="s">
        <v>51</v>
      </c>
      <c r="AF2928" t="s">
        <v>2190</v>
      </c>
    </row>
    <row r="2929" spans="1:32" ht="14.5" customHeight="1" x14ac:dyDescent="0.35">
      <c r="A2929" t="s">
        <v>73</v>
      </c>
      <c r="B2929" t="s">
        <v>2187</v>
      </c>
      <c r="C2929" t="s">
        <v>47</v>
      </c>
      <c r="D2929">
        <v>3100546</v>
      </c>
      <c r="E2929">
        <v>3100555</v>
      </c>
      <c r="F2929" t="s">
        <v>2188</v>
      </c>
      <c r="G2929" t="s">
        <v>2191</v>
      </c>
      <c r="H2929" t="s">
        <v>54</v>
      </c>
      <c r="I2929">
        <v>6956366</v>
      </c>
      <c r="J2929" s="12">
        <v>46098</v>
      </c>
      <c r="K2929" s="12">
        <v>46098</v>
      </c>
      <c r="L2929" s="12">
        <v>46098</v>
      </c>
      <c r="M2929">
        <v>34</v>
      </c>
      <c r="N2929">
        <v>-144548</v>
      </c>
      <c r="O2929">
        <v>-144548</v>
      </c>
      <c r="P2929">
        <v>0</v>
      </c>
      <c r="Q2929">
        <v>0</v>
      </c>
      <c r="R2929">
        <v>-144548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 t="s">
        <v>846</v>
      </c>
      <c r="AA2929" t="s">
        <v>501</v>
      </c>
      <c r="AB2929" t="s">
        <v>51</v>
      </c>
      <c r="AC2929" t="s">
        <v>51</v>
      </c>
      <c r="AD2929" t="s">
        <v>51</v>
      </c>
      <c r="AE2929" t="s">
        <v>51</v>
      </c>
      <c r="AF2929" t="s">
        <v>2193</v>
      </c>
    </row>
    <row r="2930" spans="1:32" ht="14.5" customHeight="1" x14ac:dyDescent="0.35">
      <c r="A2930" t="s">
        <v>73</v>
      </c>
      <c r="B2930" t="s">
        <v>2187</v>
      </c>
      <c r="C2930" t="s">
        <v>47</v>
      </c>
      <c r="D2930">
        <v>3100546</v>
      </c>
      <c r="E2930">
        <v>3100562</v>
      </c>
      <c r="F2930" t="s">
        <v>2188</v>
      </c>
      <c r="G2930" t="s">
        <v>2189</v>
      </c>
      <c r="H2930" t="s">
        <v>54</v>
      </c>
      <c r="I2930">
        <v>6956367</v>
      </c>
      <c r="J2930" s="12">
        <v>46098</v>
      </c>
      <c r="K2930" s="12">
        <v>46098</v>
      </c>
      <c r="L2930" s="12">
        <v>46098</v>
      </c>
      <c r="M2930">
        <v>34</v>
      </c>
      <c r="N2930">
        <v>-1505063</v>
      </c>
      <c r="O2930">
        <v>-1505063</v>
      </c>
      <c r="P2930">
        <v>0</v>
      </c>
      <c r="Q2930">
        <v>0</v>
      </c>
      <c r="R2930">
        <v>-1505063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 t="s">
        <v>47</v>
      </c>
      <c r="AA2930" t="s">
        <v>501</v>
      </c>
      <c r="AB2930" t="s">
        <v>51</v>
      </c>
      <c r="AC2930" t="s">
        <v>51</v>
      </c>
      <c r="AD2930" t="s">
        <v>51</v>
      </c>
      <c r="AE2930" t="s">
        <v>51</v>
      </c>
      <c r="AF2930" t="s">
        <v>2193</v>
      </c>
    </row>
    <row r="2931" spans="1:32" ht="14.5" customHeight="1" x14ac:dyDescent="0.35">
      <c r="A2931" t="s">
        <v>73</v>
      </c>
      <c r="B2931" t="s">
        <v>2187</v>
      </c>
      <c r="C2931" t="s">
        <v>47</v>
      </c>
      <c r="D2931">
        <v>3100546</v>
      </c>
      <c r="E2931">
        <v>3100562</v>
      </c>
      <c r="F2931" t="s">
        <v>2188</v>
      </c>
      <c r="G2931" t="s">
        <v>2189</v>
      </c>
      <c r="H2931" t="s">
        <v>54</v>
      </c>
      <c r="I2931">
        <v>6957330</v>
      </c>
      <c r="J2931" s="12">
        <v>46106</v>
      </c>
      <c r="K2931" s="12">
        <v>46106</v>
      </c>
      <c r="L2931" s="12">
        <v>46106</v>
      </c>
      <c r="M2931">
        <v>26</v>
      </c>
      <c r="N2931">
        <v>-29945857</v>
      </c>
      <c r="O2931">
        <v>-29945857</v>
      </c>
      <c r="P2931">
        <v>0</v>
      </c>
      <c r="Q2931">
        <v>-29945857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 t="s">
        <v>47</v>
      </c>
      <c r="AA2931" t="s">
        <v>501</v>
      </c>
      <c r="AB2931" t="s">
        <v>51</v>
      </c>
      <c r="AC2931" t="s">
        <v>51</v>
      </c>
      <c r="AD2931" t="s">
        <v>51</v>
      </c>
      <c r="AE2931" t="s">
        <v>51</v>
      </c>
      <c r="AF2931" t="s">
        <v>2194</v>
      </c>
    </row>
    <row r="2932" spans="1:32" ht="14.5" customHeight="1" x14ac:dyDescent="0.35">
      <c r="A2932" t="s">
        <v>73</v>
      </c>
      <c r="B2932" t="s">
        <v>2187</v>
      </c>
      <c r="C2932" t="s">
        <v>47</v>
      </c>
      <c r="D2932">
        <v>3100546</v>
      </c>
      <c r="E2932">
        <v>3100562</v>
      </c>
      <c r="F2932" t="s">
        <v>2188</v>
      </c>
      <c r="G2932" t="s">
        <v>2189</v>
      </c>
      <c r="H2932" t="s">
        <v>54</v>
      </c>
      <c r="I2932">
        <v>6957331</v>
      </c>
      <c r="J2932" s="12">
        <v>46106</v>
      </c>
      <c r="K2932" s="12">
        <v>46106</v>
      </c>
      <c r="L2932" s="12">
        <v>46106</v>
      </c>
      <c r="M2932">
        <v>26</v>
      </c>
      <c r="N2932">
        <v>-39030588</v>
      </c>
      <c r="O2932">
        <v>-39030588</v>
      </c>
      <c r="P2932">
        <v>0</v>
      </c>
      <c r="Q2932">
        <v>-39030588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 t="s">
        <v>47</v>
      </c>
      <c r="AA2932" t="s">
        <v>501</v>
      </c>
      <c r="AB2932" t="s">
        <v>51</v>
      </c>
      <c r="AC2932" t="s">
        <v>51</v>
      </c>
      <c r="AD2932" t="s">
        <v>51</v>
      </c>
      <c r="AE2932" t="s">
        <v>51</v>
      </c>
      <c r="AF2932" t="s">
        <v>2194</v>
      </c>
    </row>
    <row r="2933" spans="1:32" ht="14.5" customHeight="1" x14ac:dyDescent="0.35">
      <c r="A2933" t="s">
        <v>73</v>
      </c>
      <c r="B2933" t="s">
        <v>2187</v>
      </c>
      <c r="C2933" t="s">
        <v>47</v>
      </c>
      <c r="D2933">
        <v>3100546</v>
      </c>
      <c r="E2933">
        <v>3100555</v>
      </c>
      <c r="F2933" t="s">
        <v>2188</v>
      </c>
      <c r="G2933" t="s">
        <v>2191</v>
      </c>
      <c r="H2933" t="s">
        <v>54</v>
      </c>
      <c r="I2933">
        <v>6957362</v>
      </c>
      <c r="J2933" s="12">
        <v>46106</v>
      </c>
      <c r="K2933" s="12">
        <v>46106</v>
      </c>
      <c r="L2933" s="12">
        <v>46106</v>
      </c>
      <c r="M2933">
        <v>26</v>
      </c>
      <c r="N2933">
        <v>-6625042</v>
      </c>
      <c r="O2933">
        <v>-6625042</v>
      </c>
      <c r="P2933">
        <v>0</v>
      </c>
      <c r="Q2933">
        <v>-6625042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 t="s">
        <v>846</v>
      </c>
      <c r="AA2933" t="s">
        <v>501</v>
      </c>
      <c r="AB2933" t="s">
        <v>51</v>
      </c>
      <c r="AC2933" t="s">
        <v>51</v>
      </c>
      <c r="AD2933" t="s">
        <v>51</v>
      </c>
      <c r="AE2933" t="s">
        <v>51</v>
      </c>
      <c r="AF2933" t="s">
        <v>2194</v>
      </c>
    </row>
    <row r="2934" spans="1:32" ht="14.5" customHeight="1" x14ac:dyDescent="0.35">
      <c r="A2934" t="s">
        <v>73</v>
      </c>
      <c r="B2934" t="s">
        <v>2187</v>
      </c>
      <c r="C2934" t="s">
        <v>47</v>
      </c>
      <c r="D2934">
        <v>3100546</v>
      </c>
      <c r="E2934">
        <v>3100555</v>
      </c>
      <c r="F2934" t="s">
        <v>2188</v>
      </c>
      <c r="G2934" t="s">
        <v>2191</v>
      </c>
      <c r="H2934" t="s">
        <v>54</v>
      </c>
      <c r="I2934">
        <v>6957363</v>
      </c>
      <c r="J2934" s="12">
        <v>46106</v>
      </c>
      <c r="K2934" s="12">
        <v>46106</v>
      </c>
      <c r="L2934" s="12">
        <v>46106</v>
      </c>
      <c r="M2934">
        <v>26</v>
      </c>
      <c r="N2934">
        <v>-7004001</v>
      </c>
      <c r="O2934">
        <v>-7004001</v>
      </c>
      <c r="P2934">
        <v>0</v>
      </c>
      <c r="Q2934">
        <v>-7004001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 t="s">
        <v>846</v>
      </c>
      <c r="AA2934" t="s">
        <v>501</v>
      </c>
      <c r="AB2934" t="s">
        <v>51</v>
      </c>
      <c r="AC2934" t="s">
        <v>51</v>
      </c>
      <c r="AD2934" t="s">
        <v>51</v>
      </c>
      <c r="AE2934" t="s">
        <v>51</v>
      </c>
      <c r="AF2934" t="s">
        <v>2194</v>
      </c>
    </row>
    <row r="2935" spans="1:32" ht="14.5" customHeight="1" x14ac:dyDescent="0.35">
      <c r="A2935" t="s">
        <v>73</v>
      </c>
      <c r="B2935" t="s">
        <v>2187</v>
      </c>
      <c r="C2935" t="s">
        <v>47</v>
      </c>
      <c r="D2935">
        <v>3100546</v>
      </c>
      <c r="E2935">
        <v>3100565</v>
      </c>
      <c r="F2935" t="s">
        <v>2188</v>
      </c>
      <c r="G2935" t="s">
        <v>2195</v>
      </c>
      <c r="H2935" t="s">
        <v>54</v>
      </c>
      <c r="I2935">
        <v>6957366</v>
      </c>
      <c r="J2935" s="12">
        <v>46106</v>
      </c>
      <c r="K2935" s="12">
        <v>46106</v>
      </c>
      <c r="L2935" s="12">
        <v>46106</v>
      </c>
      <c r="M2935">
        <v>26</v>
      </c>
      <c r="N2935">
        <v>-21476672</v>
      </c>
      <c r="O2935">
        <v>-21476672</v>
      </c>
      <c r="P2935">
        <v>0</v>
      </c>
      <c r="Q2935">
        <v>-21476672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 t="s">
        <v>47</v>
      </c>
      <c r="AA2935" t="s">
        <v>501</v>
      </c>
      <c r="AB2935" t="s">
        <v>51</v>
      </c>
      <c r="AC2935" t="s">
        <v>51</v>
      </c>
      <c r="AD2935" t="s">
        <v>51</v>
      </c>
      <c r="AE2935" t="s">
        <v>51</v>
      </c>
      <c r="AF2935" t="s">
        <v>2194</v>
      </c>
    </row>
    <row r="2936" spans="1:32" ht="14.5" customHeight="1" x14ac:dyDescent="0.35">
      <c r="A2936" t="s">
        <v>73</v>
      </c>
      <c r="B2936" t="s">
        <v>2187</v>
      </c>
      <c r="C2936" t="s">
        <v>47</v>
      </c>
      <c r="D2936">
        <v>3100546</v>
      </c>
      <c r="E2936">
        <v>3100565</v>
      </c>
      <c r="F2936" t="s">
        <v>2188</v>
      </c>
      <c r="G2936" t="s">
        <v>2195</v>
      </c>
      <c r="H2936" t="s">
        <v>54</v>
      </c>
      <c r="I2936">
        <v>6957367</v>
      </c>
      <c r="J2936" s="12">
        <v>46106</v>
      </c>
      <c r="K2936" s="12">
        <v>46106</v>
      </c>
      <c r="L2936" s="12">
        <v>46106</v>
      </c>
      <c r="M2936">
        <v>26</v>
      </c>
      <c r="N2936">
        <v>-24140005</v>
      </c>
      <c r="O2936">
        <v>-24140005</v>
      </c>
      <c r="P2936">
        <v>0</v>
      </c>
      <c r="Q2936">
        <v>-24140005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 t="s">
        <v>47</v>
      </c>
      <c r="AA2936" t="s">
        <v>501</v>
      </c>
      <c r="AB2936" t="s">
        <v>51</v>
      </c>
      <c r="AC2936" t="s">
        <v>51</v>
      </c>
      <c r="AD2936" t="s">
        <v>51</v>
      </c>
      <c r="AE2936" t="s">
        <v>51</v>
      </c>
      <c r="AF2936" t="s">
        <v>2194</v>
      </c>
    </row>
    <row r="2937" spans="1:32" ht="14.5" customHeight="1" x14ac:dyDescent="0.35">
      <c r="A2937" t="s">
        <v>73</v>
      </c>
      <c r="B2937" t="s">
        <v>2187</v>
      </c>
      <c r="C2937" t="s">
        <v>47</v>
      </c>
      <c r="D2937">
        <v>3100546</v>
      </c>
      <c r="E2937">
        <v>3100562</v>
      </c>
      <c r="F2937" t="s">
        <v>2188</v>
      </c>
      <c r="G2937" t="s">
        <v>2189</v>
      </c>
      <c r="H2937" t="s">
        <v>54</v>
      </c>
      <c r="I2937">
        <v>6957747</v>
      </c>
      <c r="J2937" s="12">
        <v>46112</v>
      </c>
      <c r="K2937" s="12">
        <v>46112</v>
      </c>
      <c r="L2937" s="12">
        <v>46112</v>
      </c>
      <c r="M2937">
        <v>20</v>
      </c>
      <c r="N2937">
        <v>-261472</v>
      </c>
      <c r="O2937">
        <v>-261472</v>
      </c>
      <c r="P2937">
        <v>0</v>
      </c>
      <c r="Q2937">
        <v>-261472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 t="s">
        <v>47</v>
      </c>
      <c r="AA2937" t="s">
        <v>501</v>
      </c>
      <c r="AB2937" t="s">
        <v>51</v>
      </c>
      <c r="AC2937" t="s">
        <v>51</v>
      </c>
      <c r="AD2937" t="s">
        <v>51</v>
      </c>
      <c r="AE2937" t="s">
        <v>51</v>
      </c>
      <c r="AF2937" t="s">
        <v>107</v>
      </c>
    </row>
    <row r="2938" spans="1:32" ht="14.5" customHeight="1" x14ac:dyDescent="0.35">
      <c r="A2938" t="s">
        <v>73</v>
      </c>
      <c r="B2938" t="s">
        <v>2187</v>
      </c>
      <c r="C2938" t="s">
        <v>47</v>
      </c>
      <c r="D2938">
        <v>3100546</v>
      </c>
      <c r="E2938">
        <v>3100563</v>
      </c>
      <c r="F2938" t="s">
        <v>2188</v>
      </c>
      <c r="G2938" t="s">
        <v>2196</v>
      </c>
      <c r="H2938" t="s">
        <v>111</v>
      </c>
      <c r="I2938">
        <v>6957831</v>
      </c>
      <c r="J2938" s="12">
        <v>46114</v>
      </c>
      <c r="K2938" s="12">
        <v>46114</v>
      </c>
      <c r="L2938" s="12">
        <v>46114</v>
      </c>
      <c r="M2938">
        <v>18</v>
      </c>
      <c r="N2938">
        <v>-665094</v>
      </c>
      <c r="O2938">
        <v>-665094</v>
      </c>
      <c r="P2938">
        <v>0</v>
      </c>
      <c r="Q2938">
        <v>-665094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 t="s">
        <v>47</v>
      </c>
      <c r="AA2938" t="s">
        <v>501</v>
      </c>
      <c r="AB2938" t="s">
        <v>51</v>
      </c>
      <c r="AC2938" t="s">
        <v>51</v>
      </c>
      <c r="AD2938" t="s">
        <v>51</v>
      </c>
      <c r="AE2938" t="s">
        <v>51</v>
      </c>
      <c r="AF2938" t="s">
        <v>285</v>
      </c>
    </row>
    <row r="2939" spans="1:32" ht="14.5" customHeight="1" x14ac:dyDescent="0.35">
      <c r="A2939" t="s">
        <v>73</v>
      </c>
      <c r="B2939" t="s">
        <v>2187</v>
      </c>
      <c r="C2939" t="s">
        <v>47</v>
      </c>
      <c r="D2939">
        <v>3100546</v>
      </c>
      <c r="E2939">
        <v>3100565</v>
      </c>
      <c r="F2939" t="s">
        <v>2188</v>
      </c>
      <c r="G2939" t="s">
        <v>2195</v>
      </c>
      <c r="H2939" t="s">
        <v>54</v>
      </c>
      <c r="I2939">
        <v>6958347</v>
      </c>
      <c r="J2939" s="12">
        <v>46120</v>
      </c>
      <c r="K2939" s="12">
        <v>46120</v>
      </c>
      <c r="L2939" s="12">
        <v>46120</v>
      </c>
      <c r="M2939">
        <v>12</v>
      </c>
      <c r="N2939">
        <v>-654000</v>
      </c>
      <c r="O2939">
        <v>-654000</v>
      </c>
      <c r="P2939">
        <v>0</v>
      </c>
      <c r="Q2939">
        <v>-654000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 t="s">
        <v>47</v>
      </c>
      <c r="AA2939" t="s">
        <v>501</v>
      </c>
      <c r="AB2939" t="s">
        <v>51</v>
      </c>
      <c r="AC2939" t="s">
        <v>51</v>
      </c>
      <c r="AD2939" t="s">
        <v>51</v>
      </c>
      <c r="AE2939" t="s">
        <v>51</v>
      </c>
      <c r="AF2939" t="s">
        <v>2197</v>
      </c>
    </row>
    <row r="2940" spans="1:32" ht="14.5" customHeight="1" x14ac:dyDescent="0.35">
      <c r="A2940" t="s">
        <v>73</v>
      </c>
      <c r="B2940" t="s">
        <v>2187</v>
      </c>
      <c r="C2940" t="s">
        <v>47</v>
      </c>
      <c r="D2940">
        <v>3100546</v>
      </c>
      <c r="E2940">
        <v>3100562</v>
      </c>
      <c r="F2940" t="s">
        <v>2188</v>
      </c>
      <c r="G2940" t="s">
        <v>2189</v>
      </c>
      <c r="H2940" t="s">
        <v>54</v>
      </c>
      <c r="I2940">
        <v>6958377</v>
      </c>
      <c r="J2940" s="12">
        <v>46121</v>
      </c>
      <c r="K2940" s="12">
        <v>46121</v>
      </c>
      <c r="L2940" s="12">
        <v>46121</v>
      </c>
      <c r="M2940">
        <v>11</v>
      </c>
      <c r="N2940">
        <v>-778260</v>
      </c>
      <c r="O2940">
        <v>-778260</v>
      </c>
      <c r="P2940">
        <v>0</v>
      </c>
      <c r="Q2940">
        <v>-778260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 t="s">
        <v>47</v>
      </c>
      <c r="AA2940" t="s">
        <v>501</v>
      </c>
      <c r="AB2940" t="s">
        <v>51</v>
      </c>
      <c r="AC2940" t="s">
        <v>51</v>
      </c>
      <c r="AD2940" t="s">
        <v>51</v>
      </c>
      <c r="AE2940" t="s">
        <v>51</v>
      </c>
      <c r="AF2940" t="s">
        <v>2198</v>
      </c>
    </row>
    <row r="2941" spans="1:32" ht="14.5" customHeight="1" x14ac:dyDescent="0.35">
      <c r="A2941" t="s">
        <v>73</v>
      </c>
      <c r="B2941" t="s">
        <v>2187</v>
      </c>
      <c r="C2941" t="s">
        <v>47</v>
      </c>
      <c r="D2941">
        <v>3100546</v>
      </c>
      <c r="E2941">
        <v>3100562</v>
      </c>
      <c r="F2941" t="s">
        <v>2188</v>
      </c>
      <c r="G2941" t="s">
        <v>2189</v>
      </c>
      <c r="H2941" t="s">
        <v>54</v>
      </c>
      <c r="I2941">
        <v>6958378</v>
      </c>
      <c r="J2941" s="12">
        <v>46121</v>
      </c>
      <c r="K2941" s="12">
        <v>46121</v>
      </c>
      <c r="L2941" s="12">
        <v>46121</v>
      </c>
      <c r="M2941">
        <v>11</v>
      </c>
      <c r="N2941">
        <v>-163500</v>
      </c>
      <c r="O2941">
        <v>-163500</v>
      </c>
      <c r="P2941">
        <v>0</v>
      </c>
      <c r="Q2941">
        <v>-163500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 t="s">
        <v>47</v>
      </c>
      <c r="AA2941" t="s">
        <v>501</v>
      </c>
      <c r="AB2941" t="s">
        <v>51</v>
      </c>
      <c r="AC2941" t="s">
        <v>51</v>
      </c>
      <c r="AD2941" t="s">
        <v>51</v>
      </c>
      <c r="AE2941" t="s">
        <v>51</v>
      </c>
      <c r="AF2941" t="s">
        <v>2198</v>
      </c>
    </row>
    <row r="2942" spans="1:32" ht="14.5" customHeight="1" x14ac:dyDescent="0.35">
      <c r="A2942" t="s">
        <v>73</v>
      </c>
      <c r="B2942" t="s">
        <v>2187</v>
      </c>
      <c r="C2942" t="s">
        <v>47</v>
      </c>
      <c r="D2942">
        <v>3100546</v>
      </c>
      <c r="E2942">
        <v>3100562</v>
      </c>
      <c r="F2942" t="s">
        <v>2188</v>
      </c>
      <c r="G2942" t="s">
        <v>2189</v>
      </c>
      <c r="H2942" t="s">
        <v>54</v>
      </c>
      <c r="I2942">
        <v>6958379</v>
      </c>
      <c r="J2942" s="12">
        <v>46121</v>
      </c>
      <c r="K2942" s="12">
        <v>46121</v>
      </c>
      <c r="L2942" s="12">
        <v>46121</v>
      </c>
      <c r="M2942">
        <v>11</v>
      </c>
      <c r="N2942">
        <v>-287760</v>
      </c>
      <c r="O2942">
        <v>-287760</v>
      </c>
      <c r="P2942">
        <v>0</v>
      </c>
      <c r="Q2942">
        <v>-287760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 t="s">
        <v>47</v>
      </c>
      <c r="AA2942" t="s">
        <v>501</v>
      </c>
      <c r="AB2942" t="s">
        <v>51</v>
      </c>
      <c r="AC2942" t="s">
        <v>51</v>
      </c>
      <c r="AD2942" t="s">
        <v>51</v>
      </c>
      <c r="AE2942" t="s">
        <v>51</v>
      </c>
      <c r="AF2942" t="s">
        <v>2198</v>
      </c>
    </row>
    <row r="2943" spans="1:32" ht="14.5" customHeight="1" x14ac:dyDescent="0.35">
      <c r="A2943" t="s">
        <v>73</v>
      </c>
      <c r="B2943" t="s">
        <v>2187</v>
      </c>
      <c r="C2943" t="s">
        <v>47</v>
      </c>
      <c r="D2943">
        <v>3100546</v>
      </c>
      <c r="E2943">
        <v>3100565</v>
      </c>
      <c r="F2943" t="s">
        <v>2188</v>
      </c>
      <c r="G2943" t="s">
        <v>2195</v>
      </c>
      <c r="H2943" t="s">
        <v>54</v>
      </c>
      <c r="I2943">
        <v>6958380</v>
      </c>
      <c r="J2943" s="12">
        <v>46121</v>
      </c>
      <c r="K2943" s="12">
        <v>46121</v>
      </c>
      <c r="L2943" s="12">
        <v>46121</v>
      </c>
      <c r="M2943">
        <v>11</v>
      </c>
      <c r="N2943">
        <v>-4108107</v>
      </c>
      <c r="O2943">
        <v>-4108107</v>
      </c>
      <c r="P2943">
        <v>0</v>
      </c>
      <c r="Q2943">
        <v>-4108107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 t="s">
        <v>47</v>
      </c>
      <c r="AA2943" t="s">
        <v>501</v>
      </c>
      <c r="AB2943" t="s">
        <v>51</v>
      </c>
      <c r="AC2943" t="s">
        <v>51</v>
      </c>
      <c r="AD2943" t="s">
        <v>51</v>
      </c>
      <c r="AE2943" t="s">
        <v>51</v>
      </c>
      <c r="AF2943" t="s">
        <v>2199</v>
      </c>
    </row>
    <row r="2944" spans="1:32" ht="14.5" customHeight="1" x14ac:dyDescent="0.35">
      <c r="A2944" t="s">
        <v>73</v>
      </c>
      <c r="B2944" t="s">
        <v>2187</v>
      </c>
      <c r="C2944" t="s">
        <v>47</v>
      </c>
      <c r="D2944">
        <v>3100546</v>
      </c>
      <c r="E2944">
        <v>3100565</v>
      </c>
      <c r="F2944" t="s">
        <v>2188</v>
      </c>
      <c r="G2944" t="s">
        <v>2195</v>
      </c>
      <c r="H2944" t="s">
        <v>54</v>
      </c>
      <c r="I2944">
        <v>6958381</v>
      </c>
      <c r="J2944" s="12">
        <v>46121</v>
      </c>
      <c r="K2944" s="12">
        <v>46121</v>
      </c>
      <c r="L2944" s="12">
        <v>46121</v>
      </c>
      <c r="M2944">
        <v>11</v>
      </c>
      <c r="N2944">
        <v>-981000</v>
      </c>
      <c r="O2944">
        <v>-981000</v>
      </c>
      <c r="P2944">
        <v>0</v>
      </c>
      <c r="Q2944">
        <v>-981000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 t="s">
        <v>47</v>
      </c>
      <c r="AA2944" t="s">
        <v>501</v>
      </c>
      <c r="AB2944" t="s">
        <v>51</v>
      </c>
      <c r="AC2944" t="s">
        <v>51</v>
      </c>
      <c r="AD2944" t="s">
        <v>51</v>
      </c>
      <c r="AE2944" t="s">
        <v>51</v>
      </c>
      <c r="AF2944" t="s">
        <v>2197</v>
      </c>
    </row>
    <row r="2945" spans="1:32" ht="14.5" customHeight="1" x14ac:dyDescent="0.35">
      <c r="A2945" t="s">
        <v>73</v>
      </c>
      <c r="B2945" t="s">
        <v>2187</v>
      </c>
      <c r="C2945" t="s">
        <v>47</v>
      </c>
      <c r="D2945">
        <v>3100546</v>
      </c>
      <c r="E2945">
        <v>3100565</v>
      </c>
      <c r="F2945" t="s">
        <v>2188</v>
      </c>
      <c r="G2945" t="s">
        <v>2195</v>
      </c>
      <c r="H2945" t="s">
        <v>54</v>
      </c>
      <c r="I2945">
        <v>6958382</v>
      </c>
      <c r="J2945" s="12">
        <v>46121</v>
      </c>
      <c r="K2945" s="12">
        <v>46121</v>
      </c>
      <c r="L2945" s="12">
        <v>46121</v>
      </c>
      <c r="M2945">
        <v>11</v>
      </c>
      <c r="N2945">
        <v>-1499700</v>
      </c>
      <c r="O2945">
        <v>-1499700</v>
      </c>
      <c r="P2945">
        <v>0</v>
      </c>
      <c r="Q2945">
        <v>-1499700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 t="s">
        <v>47</v>
      </c>
      <c r="AA2945" t="s">
        <v>501</v>
      </c>
      <c r="AB2945" t="s">
        <v>51</v>
      </c>
      <c r="AC2945" t="s">
        <v>51</v>
      </c>
      <c r="AD2945" t="s">
        <v>51</v>
      </c>
      <c r="AE2945" t="s">
        <v>51</v>
      </c>
      <c r="AF2945" t="s">
        <v>2199</v>
      </c>
    </row>
    <row r="2946" spans="1:32" ht="14.5" customHeight="1" x14ac:dyDescent="0.35">
      <c r="A2946" t="s">
        <v>73</v>
      </c>
      <c r="B2946" t="s">
        <v>2187</v>
      </c>
      <c r="C2946" t="s">
        <v>47</v>
      </c>
      <c r="D2946">
        <v>3100546</v>
      </c>
      <c r="E2946">
        <v>3100565</v>
      </c>
      <c r="F2946" t="s">
        <v>2188</v>
      </c>
      <c r="G2946" t="s">
        <v>2195</v>
      </c>
      <c r="H2946" t="s">
        <v>54</v>
      </c>
      <c r="I2946">
        <v>6958475</v>
      </c>
      <c r="J2946" s="12">
        <v>46121</v>
      </c>
      <c r="K2946" s="12">
        <v>46121</v>
      </c>
      <c r="L2946" s="12">
        <v>46121</v>
      </c>
      <c r="M2946">
        <v>11</v>
      </c>
      <c r="N2946">
        <v>-943687</v>
      </c>
      <c r="O2946">
        <v>-943687</v>
      </c>
      <c r="P2946">
        <v>0</v>
      </c>
      <c r="Q2946">
        <v>-943687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 t="s">
        <v>47</v>
      </c>
      <c r="AA2946" t="s">
        <v>501</v>
      </c>
      <c r="AB2946" t="s">
        <v>51</v>
      </c>
      <c r="AC2946" t="s">
        <v>51</v>
      </c>
      <c r="AD2946" t="s">
        <v>51</v>
      </c>
      <c r="AE2946" t="s">
        <v>51</v>
      </c>
      <c r="AF2946" t="s">
        <v>2200</v>
      </c>
    </row>
    <row r="2947" spans="1:32" ht="14.5" customHeight="1" x14ac:dyDescent="0.35">
      <c r="A2947" t="s">
        <v>73</v>
      </c>
      <c r="B2947" t="s">
        <v>2187</v>
      </c>
      <c r="C2947" t="s">
        <v>47</v>
      </c>
      <c r="D2947">
        <v>3100546</v>
      </c>
      <c r="E2947">
        <v>3100563</v>
      </c>
      <c r="F2947" t="s">
        <v>2188</v>
      </c>
      <c r="G2947" t="s">
        <v>2196</v>
      </c>
      <c r="H2947" t="s">
        <v>54</v>
      </c>
      <c r="I2947">
        <v>6958485</v>
      </c>
      <c r="J2947" s="12">
        <v>46121</v>
      </c>
      <c r="K2947" s="12">
        <v>46121</v>
      </c>
      <c r="L2947" s="12">
        <v>46121</v>
      </c>
      <c r="M2947">
        <v>11</v>
      </c>
      <c r="N2947">
        <v>-436000</v>
      </c>
      <c r="O2947">
        <v>-436000</v>
      </c>
      <c r="P2947">
        <v>0</v>
      </c>
      <c r="Q2947">
        <v>-436000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 t="s">
        <v>47</v>
      </c>
      <c r="AA2947" t="s">
        <v>501</v>
      </c>
      <c r="AB2947" t="s">
        <v>51</v>
      </c>
      <c r="AC2947" t="s">
        <v>51</v>
      </c>
      <c r="AD2947" t="s">
        <v>51</v>
      </c>
      <c r="AE2947" t="s">
        <v>51</v>
      </c>
      <c r="AF2947" t="s">
        <v>2201</v>
      </c>
    </row>
    <row r="2948" spans="1:32" ht="14.5" customHeight="1" x14ac:dyDescent="0.35">
      <c r="A2948" t="s">
        <v>73</v>
      </c>
      <c r="B2948" t="s">
        <v>2187</v>
      </c>
      <c r="C2948" t="s">
        <v>47</v>
      </c>
      <c r="D2948">
        <v>3100546</v>
      </c>
      <c r="E2948">
        <v>3100563</v>
      </c>
      <c r="F2948" t="s">
        <v>2188</v>
      </c>
      <c r="G2948" t="s">
        <v>2196</v>
      </c>
      <c r="H2948" t="s">
        <v>54</v>
      </c>
      <c r="I2948">
        <v>6958486</v>
      </c>
      <c r="J2948" s="12">
        <v>46121</v>
      </c>
      <c r="K2948" s="12">
        <v>46121</v>
      </c>
      <c r="L2948" s="12">
        <v>46121</v>
      </c>
      <c r="M2948">
        <v>11</v>
      </c>
      <c r="N2948">
        <v>-436000</v>
      </c>
      <c r="O2948">
        <v>-436000</v>
      </c>
      <c r="P2948">
        <v>0</v>
      </c>
      <c r="Q2948">
        <v>-436000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 t="s">
        <v>47</v>
      </c>
      <c r="AA2948" t="s">
        <v>501</v>
      </c>
      <c r="AB2948" t="s">
        <v>51</v>
      </c>
      <c r="AC2948" t="s">
        <v>51</v>
      </c>
      <c r="AD2948" t="s">
        <v>51</v>
      </c>
      <c r="AE2948" t="s">
        <v>51</v>
      </c>
      <c r="AF2948" t="s">
        <v>2201</v>
      </c>
    </row>
    <row r="2949" spans="1:32" ht="14.5" customHeight="1" x14ac:dyDescent="0.35">
      <c r="A2949" t="s">
        <v>73</v>
      </c>
      <c r="B2949" t="s">
        <v>2187</v>
      </c>
      <c r="C2949" t="s">
        <v>47</v>
      </c>
      <c r="D2949">
        <v>3100546</v>
      </c>
      <c r="E2949">
        <v>3100562</v>
      </c>
      <c r="F2949" t="s">
        <v>2188</v>
      </c>
      <c r="G2949" t="s">
        <v>2189</v>
      </c>
      <c r="H2949" t="s">
        <v>54</v>
      </c>
      <c r="I2949">
        <v>6958588</v>
      </c>
      <c r="J2949" s="12">
        <v>46121</v>
      </c>
      <c r="K2949" s="12">
        <v>46121</v>
      </c>
      <c r="L2949" s="12">
        <v>46121</v>
      </c>
      <c r="M2949">
        <v>11</v>
      </c>
      <c r="N2949">
        <v>-137202607</v>
      </c>
      <c r="O2949">
        <v>-137202607</v>
      </c>
      <c r="P2949">
        <v>0</v>
      </c>
      <c r="Q2949">
        <v>-137202607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 t="s">
        <v>47</v>
      </c>
      <c r="AA2949" t="s">
        <v>501</v>
      </c>
      <c r="AB2949" t="s">
        <v>51</v>
      </c>
      <c r="AC2949" t="s">
        <v>51</v>
      </c>
      <c r="AD2949" t="s">
        <v>51</v>
      </c>
      <c r="AE2949" t="s">
        <v>51</v>
      </c>
      <c r="AF2949" t="s">
        <v>325</v>
      </c>
    </row>
    <row r="2950" spans="1:32" ht="14.5" customHeight="1" x14ac:dyDescent="0.35">
      <c r="A2950" t="s">
        <v>73</v>
      </c>
      <c r="B2950" t="s">
        <v>2187</v>
      </c>
      <c r="C2950" t="s">
        <v>47</v>
      </c>
      <c r="D2950">
        <v>3100546</v>
      </c>
      <c r="E2950">
        <v>3100562</v>
      </c>
      <c r="F2950" t="s">
        <v>2188</v>
      </c>
      <c r="G2950" t="s">
        <v>2189</v>
      </c>
      <c r="H2950" t="s">
        <v>54</v>
      </c>
      <c r="I2950">
        <v>6958589</v>
      </c>
      <c r="J2950" s="12">
        <v>46121</v>
      </c>
      <c r="K2950" s="12">
        <v>46121</v>
      </c>
      <c r="L2950" s="12">
        <v>46121</v>
      </c>
      <c r="M2950">
        <v>11</v>
      </c>
      <c r="N2950">
        <v>-63433393</v>
      </c>
      <c r="O2950">
        <v>-63433393</v>
      </c>
      <c r="P2950">
        <v>0</v>
      </c>
      <c r="Q2950">
        <v>-63433393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 t="s">
        <v>47</v>
      </c>
      <c r="AA2950" t="s">
        <v>501</v>
      </c>
      <c r="AB2950" t="s">
        <v>51</v>
      </c>
      <c r="AC2950" t="s">
        <v>51</v>
      </c>
      <c r="AD2950" t="s">
        <v>51</v>
      </c>
      <c r="AE2950" t="s">
        <v>51</v>
      </c>
      <c r="AF2950" t="s">
        <v>642</v>
      </c>
    </row>
    <row r="2951" spans="1:32" ht="14.5" customHeight="1" x14ac:dyDescent="0.35">
      <c r="A2951" t="s">
        <v>73</v>
      </c>
      <c r="B2951" t="s">
        <v>2187</v>
      </c>
      <c r="C2951" t="s">
        <v>47</v>
      </c>
      <c r="D2951">
        <v>3100546</v>
      </c>
      <c r="E2951">
        <v>3100563</v>
      </c>
      <c r="F2951" t="s">
        <v>2188</v>
      </c>
      <c r="G2951" t="s">
        <v>2196</v>
      </c>
      <c r="H2951" t="s">
        <v>54</v>
      </c>
      <c r="I2951">
        <v>6958590</v>
      </c>
      <c r="J2951" s="12">
        <v>46121</v>
      </c>
      <c r="K2951" s="12">
        <v>46121</v>
      </c>
      <c r="L2951" s="12">
        <v>46121</v>
      </c>
      <c r="M2951">
        <v>11</v>
      </c>
      <c r="N2951">
        <v>-89516319</v>
      </c>
      <c r="O2951">
        <v>-89516319</v>
      </c>
      <c r="P2951">
        <v>0</v>
      </c>
      <c r="Q2951">
        <v>-89516319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 t="s">
        <v>47</v>
      </c>
      <c r="AA2951" t="s">
        <v>501</v>
      </c>
      <c r="AB2951" t="s">
        <v>51</v>
      </c>
      <c r="AC2951" t="s">
        <v>51</v>
      </c>
      <c r="AD2951" t="s">
        <v>51</v>
      </c>
      <c r="AE2951" t="s">
        <v>51</v>
      </c>
      <c r="AF2951" t="s">
        <v>325</v>
      </c>
    </row>
    <row r="2952" spans="1:32" ht="14.5" customHeight="1" x14ac:dyDescent="0.35">
      <c r="A2952" t="s">
        <v>73</v>
      </c>
      <c r="B2952" t="s">
        <v>2187</v>
      </c>
      <c r="C2952" t="s">
        <v>47</v>
      </c>
      <c r="D2952">
        <v>3100546</v>
      </c>
      <c r="E2952">
        <v>3100565</v>
      </c>
      <c r="F2952" t="s">
        <v>2188</v>
      </c>
      <c r="G2952" t="s">
        <v>2195</v>
      </c>
      <c r="H2952" t="s">
        <v>54</v>
      </c>
      <c r="I2952">
        <v>6958591</v>
      </c>
      <c r="J2952" s="12">
        <v>46121</v>
      </c>
      <c r="K2952" s="12">
        <v>46121</v>
      </c>
      <c r="L2952" s="12">
        <v>46121</v>
      </c>
      <c r="M2952">
        <v>11</v>
      </c>
      <c r="N2952">
        <v>-82640143</v>
      </c>
      <c r="O2952">
        <v>-82640143</v>
      </c>
      <c r="P2952">
        <v>0</v>
      </c>
      <c r="Q2952">
        <v>-82640143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 t="s">
        <v>47</v>
      </c>
      <c r="AA2952" t="s">
        <v>501</v>
      </c>
      <c r="AB2952" t="s">
        <v>51</v>
      </c>
      <c r="AC2952" t="s">
        <v>51</v>
      </c>
      <c r="AD2952" t="s">
        <v>51</v>
      </c>
      <c r="AE2952" t="s">
        <v>51</v>
      </c>
      <c r="AF2952" t="s">
        <v>144</v>
      </c>
    </row>
    <row r="2953" spans="1:32" ht="14.5" customHeight="1" x14ac:dyDescent="0.35">
      <c r="A2953" t="s">
        <v>73</v>
      </c>
      <c r="B2953" t="s">
        <v>2187</v>
      </c>
      <c r="C2953" t="s">
        <v>47</v>
      </c>
      <c r="D2953">
        <v>3100546</v>
      </c>
      <c r="E2953">
        <v>3100565</v>
      </c>
      <c r="F2953" t="s">
        <v>2188</v>
      </c>
      <c r="G2953" t="s">
        <v>2195</v>
      </c>
      <c r="H2953" t="s">
        <v>54</v>
      </c>
      <c r="I2953">
        <v>6958592</v>
      </c>
      <c r="J2953" s="12">
        <v>46121</v>
      </c>
      <c r="K2953" s="12">
        <v>46121</v>
      </c>
      <c r="L2953" s="12">
        <v>46121</v>
      </c>
      <c r="M2953">
        <v>11</v>
      </c>
      <c r="N2953">
        <v>-71855685</v>
      </c>
      <c r="O2953">
        <v>-71855685</v>
      </c>
      <c r="P2953">
        <v>0</v>
      </c>
      <c r="Q2953">
        <v>-71855685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 t="s">
        <v>47</v>
      </c>
      <c r="AA2953" t="s">
        <v>501</v>
      </c>
      <c r="AB2953" t="s">
        <v>51</v>
      </c>
      <c r="AC2953" t="s">
        <v>51</v>
      </c>
      <c r="AD2953" t="s">
        <v>51</v>
      </c>
      <c r="AE2953" t="s">
        <v>51</v>
      </c>
      <c r="AF2953" t="s">
        <v>1864</v>
      </c>
    </row>
    <row r="2954" spans="1:32" ht="14.5" customHeight="1" x14ac:dyDescent="0.35">
      <c r="A2954" t="s">
        <v>73</v>
      </c>
      <c r="B2954" t="s">
        <v>2187</v>
      </c>
      <c r="C2954" t="s">
        <v>47</v>
      </c>
      <c r="D2954">
        <v>3100546</v>
      </c>
      <c r="E2954">
        <v>3100555</v>
      </c>
      <c r="F2954" t="s">
        <v>2188</v>
      </c>
      <c r="G2954" t="s">
        <v>2191</v>
      </c>
      <c r="H2954" t="s">
        <v>54</v>
      </c>
      <c r="I2954">
        <v>6958627</v>
      </c>
      <c r="J2954" s="12">
        <v>46121</v>
      </c>
      <c r="K2954" s="12">
        <v>46121</v>
      </c>
      <c r="L2954" s="12">
        <v>46121</v>
      </c>
      <c r="M2954">
        <v>11</v>
      </c>
      <c r="N2954">
        <v>-36010315</v>
      </c>
      <c r="O2954">
        <v>-36010315</v>
      </c>
      <c r="P2954">
        <v>0</v>
      </c>
      <c r="Q2954">
        <v>-36010315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 t="s">
        <v>846</v>
      </c>
      <c r="AA2954" t="s">
        <v>501</v>
      </c>
      <c r="AB2954" t="s">
        <v>51</v>
      </c>
      <c r="AC2954" t="s">
        <v>51</v>
      </c>
      <c r="AD2954" t="s">
        <v>51</v>
      </c>
      <c r="AE2954" t="s">
        <v>51</v>
      </c>
      <c r="AF2954" t="s">
        <v>325</v>
      </c>
    </row>
    <row r="2955" spans="1:32" ht="14.5" customHeight="1" x14ac:dyDescent="0.35">
      <c r="A2955" t="s">
        <v>73</v>
      </c>
      <c r="B2955" t="s">
        <v>2187</v>
      </c>
      <c r="C2955" t="s">
        <v>47</v>
      </c>
      <c r="D2955">
        <v>3100546</v>
      </c>
      <c r="E2955">
        <v>3101025</v>
      </c>
      <c r="F2955" t="s">
        <v>2188</v>
      </c>
      <c r="G2955" t="s">
        <v>2202</v>
      </c>
      <c r="H2955" t="s">
        <v>54</v>
      </c>
      <c r="I2955">
        <v>6958629</v>
      </c>
      <c r="J2955" s="12">
        <v>46121</v>
      </c>
      <c r="K2955" s="12">
        <v>46121</v>
      </c>
      <c r="L2955" s="12">
        <v>46121</v>
      </c>
      <c r="M2955">
        <v>11</v>
      </c>
      <c r="N2955">
        <v>-17180138</v>
      </c>
      <c r="O2955">
        <v>-17180138</v>
      </c>
      <c r="P2955">
        <v>0</v>
      </c>
      <c r="Q2955">
        <v>-17180138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 t="s">
        <v>47</v>
      </c>
      <c r="AA2955" t="s">
        <v>501</v>
      </c>
      <c r="AB2955" t="s">
        <v>51</v>
      </c>
      <c r="AC2955" t="s">
        <v>51</v>
      </c>
      <c r="AD2955" t="s">
        <v>51</v>
      </c>
      <c r="AE2955" t="s">
        <v>51</v>
      </c>
      <c r="AF2955" t="s">
        <v>325</v>
      </c>
    </row>
    <row r="2956" spans="1:32" ht="14.5" customHeight="1" x14ac:dyDescent="0.35">
      <c r="A2956" t="s">
        <v>73</v>
      </c>
      <c r="B2956" t="s">
        <v>2187</v>
      </c>
      <c r="C2956" t="s">
        <v>47</v>
      </c>
      <c r="D2956">
        <v>3100546</v>
      </c>
      <c r="E2956">
        <v>3100563</v>
      </c>
      <c r="F2956" t="s">
        <v>2188</v>
      </c>
      <c r="G2956" t="s">
        <v>2196</v>
      </c>
      <c r="H2956" t="s">
        <v>54</v>
      </c>
      <c r="I2956">
        <v>6958694</v>
      </c>
      <c r="J2956" s="12">
        <v>46122</v>
      </c>
      <c r="K2956" s="12">
        <v>46122</v>
      </c>
      <c r="L2956" s="12">
        <v>46122</v>
      </c>
      <c r="M2956">
        <v>10</v>
      </c>
      <c r="N2956">
        <v>-1090000</v>
      </c>
      <c r="O2956">
        <v>-1090000</v>
      </c>
      <c r="P2956">
        <v>0</v>
      </c>
      <c r="Q2956">
        <v>-1090000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 t="s">
        <v>47</v>
      </c>
      <c r="AA2956" t="s">
        <v>501</v>
      </c>
      <c r="AB2956" t="s">
        <v>51</v>
      </c>
      <c r="AC2956" t="s">
        <v>51</v>
      </c>
      <c r="AD2956" t="s">
        <v>51</v>
      </c>
      <c r="AE2956" t="s">
        <v>51</v>
      </c>
      <c r="AF2956" t="s">
        <v>2198</v>
      </c>
    </row>
    <row r="2957" spans="1:32" ht="14.5" customHeight="1" x14ac:dyDescent="0.35">
      <c r="A2957" t="s">
        <v>73</v>
      </c>
      <c r="B2957" t="s">
        <v>2187</v>
      </c>
      <c r="C2957" t="s">
        <v>47</v>
      </c>
      <c r="D2957">
        <v>3100546</v>
      </c>
      <c r="E2957">
        <v>3100563</v>
      </c>
      <c r="F2957" t="s">
        <v>2188</v>
      </c>
      <c r="G2957" t="s">
        <v>2196</v>
      </c>
      <c r="H2957" t="s">
        <v>54</v>
      </c>
      <c r="I2957">
        <v>6958695</v>
      </c>
      <c r="J2957" s="12">
        <v>46122</v>
      </c>
      <c r="K2957" s="12">
        <v>46122</v>
      </c>
      <c r="L2957" s="12">
        <v>46122</v>
      </c>
      <c r="M2957">
        <v>10</v>
      </c>
      <c r="N2957">
        <v>-272500</v>
      </c>
      <c r="O2957">
        <v>-272500</v>
      </c>
      <c r="P2957">
        <v>0</v>
      </c>
      <c r="Q2957">
        <v>-272500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 t="s">
        <v>47</v>
      </c>
      <c r="AA2957" t="s">
        <v>501</v>
      </c>
      <c r="AB2957" t="s">
        <v>51</v>
      </c>
      <c r="AC2957" t="s">
        <v>51</v>
      </c>
      <c r="AD2957" t="s">
        <v>51</v>
      </c>
      <c r="AE2957" t="s">
        <v>51</v>
      </c>
      <c r="AF2957" t="s">
        <v>2198</v>
      </c>
    </row>
    <row r="2958" spans="1:32" ht="14.5" customHeight="1" x14ac:dyDescent="0.35">
      <c r="A2958" t="s">
        <v>73</v>
      </c>
      <c r="B2958" t="s">
        <v>2187</v>
      </c>
      <c r="C2958" t="s">
        <v>47</v>
      </c>
      <c r="D2958">
        <v>3100546</v>
      </c>
      <c r="E2958">
        <v>3100565</v>
      </c>
      <c r="F2958" t="s">
        <v>2188</v>
      </c>
      <c r="G2958" t="s">
        <v>2195</v>
      </c>
      <c r="H2958" t="s">
        <v>54</v>
      </c>
      <c r="I2958">
        <v>6958696</v>
      </c>
      <c r="J2958" s="12">
        <v>46122</v>
      </c>
      <c r="K2958" s="12">
        <v>46122</v>
      </c>
      <c r="L2958" s="12">
        <v>46122</v>
      </c>
      <c r="M2958">
        <v>10</v>
      </c>
      <c r="N2958">
        <v>-490500</v>
      </c>
      <c r="O2958">
        <v>-490500</v>
      </c>
      <c r="P2958">
        <v>0</v>
      </c>
      <c r="Q2958">
        <v>-490500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 t="s">
        <v>47</v>
      </c>
      <c r="AA2958" t="s">
        <v>501</v>
      </c>
      <c r="AB2958" t="s">
        <v>51</v>
      </c>
      <c r="AC2958" t="s">
        <v>51</v>
      </c>
      <c r="AD2958" t="s">
        <v>51</v>
      </c>
      <c r="AE2958" t="s">
        <v>51</v>
      </c>
      <c r="AF2958" t="s">
        <v>2197</v>
      </c>
    </row>
    <row r="2959" spans="1:32" ht="14.5" customHeight="1" x14ac:dyDescent="0.35">
      <c r="A2959" t="s">
        <v>73</v>
      </c>
      <c r="B2959" t="s">
        <v>2187</v>
      </c>
      <c r="C2959" t="s">
        <v>47</v>
      </c>
      <c r="D2959">
        <v>3100546</v>
      </c>
      <c r="E2959">
        <v>3100562</v>
      </c>
      <c r="F2959" t="s">
        <v>2188</v>
      </c>
      <c r="G2959" t="s">
        <v>2189</v>
      </c>
      <c r="H2959" t="s">
        <v>54</v>
      </c>
      <c r="I2959">
        <v>6959511</v>
      </c>
      <c r="J2959" s="12">
        <v>46127</v>
      </c>
      <c r="K2959" s="12">
        <v>46127</v>
      </c>
      <c r="L2959" s="12">
        <v>46127</v>
      </c>
      <c r="M2959">
        <v>5</v>
      </c>
      <c r="N2959">
        <v>-26514795</v>
      </c>
      <c r="O2959">
        <v>-26514795</v>
      </c>
      <c r="P2959">
        <v>0</v>
      </c>
      <c r="Q2959">
        <v>-26514795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 t="s">
        <v>47</v>
      </c>
      <c r="AA2959" t="s">
        <v>501</v>
      </c>
      <c r="AB2959" t="s">
        <v>51</v>
      </c>
      <c r="AC2959" t="s">
        <v>51</v>
      </c>
      <c r="AD2959" t="s">
        <v>51</v>
      </c>
      <c r="AE2959" t="s">
        <v>51</v>
      </c>
      <c r="AF2959" t="s">
        <v>2190</v>
      </c>
    </row>
    <row r="2960" spans="1:32" ht="14.5" customHeight="1" x14ac:dyDescent="0.35">
      <c r="A2960" t="s">
        <v>73</v>
      </c>
      <c r="B2960" t="s">
        <v>2187</v>
      </c>
      <c r="C2960" t="s">
        <v>47</v>
      </c>
      <c r="D2960">
        <v>3100546</v>
      </c>
      <c r="E2960">
        <v>3100565</v>
      </c>
      <c r="F2960" t="s">
        <v>2188</v>
      </c>
      <c r="G2960" t="s">
        <v>2195</v>
      </c>
      <c r="H2960" t="s">
        <v>54</v>
      </c>
      <c r="I2960">
        <v>6959512</v>
      </c>
      <c r="J2960" s="12">
        <v>46127</v>
      </c>
      <c r="K2960" s="12">
        <v>46127</v>
      </c>
      <c r="L2960" s="12">
        <v>46127</v>
      </c>
      <c r="M2960">
        <v>5</v>
      </c>
      <c r="N2960">
        <v>-436000</v>
      </c>
      <c r="O2960">
        <v>-436000</v>
      </c>
      <c r="P2960">
        <v>0</v>
      </c>
      <c r="Q2960">
        <v>-436000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 t="s">
        <v>47</v>
      </c>
      <c r="AA2960" t="s">
        <v>501</v>
      </c>
      <c r="AB2960" t="s">
        <v>51</v>
      </c>
      <c r="AC2960" t="s">
        <v>51</v>
      </c>
      <c r="AD2960" t="s">
        <v>51</v>
      </c>
      <c r="AE2960" t="s">
        <v>51</v>
      </c>
      <c r="AF2960" t="s">
        <v>2197</v>
      </c>
    </row>
    <row r="2961" spans="1:32" ht="14.5" customHeight="1" x14ac:dyDescent="0.35">
      <c r="A2961" t="s">
        <v>73</v>
      </c>
      <c r="B2961" t="s">
        <v>2187</v>
      </c>
      <c r="C2961" t="s">
        <v>47</v>
      </c>
      <c r="D2961">
        <v>3100546</v>
      </c>
      <c r="E2961">
        <v>3100565</v>
      </c>
      <c r="F2961" t="s">
        <v>2188</v>
      </c>
      <c r="G2961" t="s">
        <v>2195</v>
      </c>
      <c r="H2961" t="s">
        <v>54</v>
      </c>
      <c r="I2961">
        <v>6959536</v>
      </c>
      <c r="J2961" s="12">
        <v>46127</v>
      </c>
      <c r="K2961" s="12">
        <v>46127</v>
      </c>
      <c r="L2961" s="12">
        <v>46127</v>
      </c>
      <c r="M2961">
        <v>5</v>
      </c>
      <c r="N2961">
        <v>-3270000</v>
      </c>
      <c r="O2961">
        <v>-3270000</v>
      </c>
      <c r="P2961">
        <v>0</v>
      </c>
      <c r="Q2961">
        <v>-3270000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 t="s">
        <v>47</v>
      </c>
      <c r="AA2961" t="s">
        <v>501</v>
      </c>
      <c r="AB2961" t="s">
        <v>51</v>
      </c>
      <c r="AC2961" t="s">
        <v>51</v>
      </c>
      <c r="AD2961" t="s">
        <v>51</v>
      </c>
      <c r="AE2961" t="s">
        <v>51</v>
      </c>
      <c r="AF2961" t="s">
        <v>2203</v>
      </c>
    </row>
    <row r="2962" spans="1:32" ht="14.5" customHeight="1" x14ac:dyDescent="0.35">
      <c r="A2962" t="s">
        <v>73</v>
      </c>
      <c r="B2962" t="s">
        <v>2187</v>
      </c>
      <c r="C2962" t="s">
        <v>47</v>
      </c>
      <c r="D2962">
        <v>3100546</v>
      </c>
      <c r="E2962">
        <v>3100565</v>
      </c>
      <c r="F2962" t="s">
        <v>2188</v>
      </c>
      <c r="G2962" t="s">
        <v>2195</v>
      </c>
      <c r="H2962" t="s">
        <v>54</v>
      </c>
      <c r="I2962">
        <v>6959537</v>
      </c>
      <c r="J2962" s="12">
        <v>46127</v>
      </c>
      <c r="K2962" s="12">
        <v>46127</v>
      </c>
      <c r="L2962" s="12">
        <v>46127</v>
      </c>
      <c r="M2962">
        <v>5</v>
      </c>
      <c r="N2962">
        <v>-3433500</v>
      </c>
      <c r="O2962">
        <v>-3433500</v>
      </c>
      <c r="P2962">
        <v>0</v>
      </c>
      <c r="Q2962">
        <v>-3433500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 t="s">
        <v>47</v>
      </c>
      <c r="AA2962" t="s">
        <v>501</v>
      </c>
      <c r="AB2962" t="s">
        <v>51</v>
      </c>
      <c r="AC2962" t="s">
        <v>51</v>
      </c>
      <c r="AD2962" t="s">
        <v>51</v>
      </c>
      <c r="AE2962" t="s">
        <v>51</v>
      </c>
      <c r="AF2962" t="s">
        <v>2203</v>
      </c>
    </row>
    <row r="2963" spans="1:32" ht="14.5" customHeight="1" x14ac:dyDescent="0.35">
      <c r="A2963" t="s">
        <v>73</v>
      </c>
      <c r="B2963" t="s">
        <v>2187</v>
      </c>
      <c r="C2963" t="s">
        <v>47</v>
      </c>
      <c r="D2963">
        <v>3100546</v>
      </c>
      <c r="E2963">
        <v>3100563</v>
      </c>
      <c r="F2963" t="s">
        <v>2188</v>
      </c>
      <c r="G2963" t="s">
        <v>2196</v>
      </c>
      <c r="H2963" t="s">
        <v>54</v>
      </c>
      <c r="I2963">
        <v>6959617</v>
      </c>
      <c r="J2963" s="12">
        <v>46127</v>
      </c>
      <c r="K2963" s="12">
        <v>46127</v>
      </c>
      <c r="L2963" s="12">
        <v>46127</v>
      </c>
      <c r="M2963">
        <v>5</v>
      </c>
      <c r="N2963">
        <v>-10605000</v>
      </c>
      <c r="O2963">
        <v>-10605000</v>
      </c>
      <c r="P2963">
        <v>0</v>
      </c>
      <c r="Q2963">
        <v>-10605000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 t="s">
        <v>47</v>
      </c>
      <c r="AA2963" t="s">
        <v>501</v>
      </c>
      <c r="AB2963" t="s">
        <v>51</v>
      </c>
      <c r="AC2963" t="s">
        <v>51</v>
      </c>
      <c r="AD2963" t="s">
        <v>51</v>
      </c>
      <c r="AE2963" t="s">
        <v>51</v>
      </c>
      <c r="AF2963" t="s">
        <v>2204</v>
      </c>
    </row>
    <row r="2964" spans="1:32" ht="14.5" customHeight="1" x14ac:dyDescent="0.35">
      <c r="A2964" t="s">
        <v>73</v>
      </c>
      <c r="B2964" t="s">
        <v>2187</v>
      </c>
      <c r="C2964" t="s">
        <v>47</v>
      </c>
      <c r="D2964">
        <v>3100546</v>
      </c>
      <c r="E2964">
        <v>3100563</v>
      </c>
      <c r="F2964" t="s">
        <v>2188</v>
      </c>
      <c r="G2964" t="s">
        <v>2196</v>
      </c>
      <c r="H2964" t="s">
        <v>54</v>
      </c>
      <c r="I2964">
        <v>6959618</v>
      </c>
      <c r="J2964" s="12">
        <v>46127</v>
      </c>
      <c r="K2964" s="12">
        <v>46127</v>
      </c>
      <c r="L2964" s="12">
        <v>46127</v>
      </c>
      <c r="M2964">
        <v>5</v>
      </c>
      <c r="N2964">
        <v>-14392500</v>
      </c>
      <c r="O2964">
        <v>-14392500</v>
      </c>
      <c r="P2964">
        <v>0</v>
      </c>
      <c r="Q2964">
        <v>-14392500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 t="s">
        <v>47</v>
      </c>
      <c r="AA2964" t="s">
        <v>501</v>
      </c>
      <c r="AB2964" t="s">
        <v>51</v>
      </c>
      <c r="AC2964" t="s">
        <v>51</v>
      </c>
      <c r="AD2964" t="s">
        <v>51</v>
      </c>
      <c r="AE2964" t="s">
        <v>51</v>
      </c>
      <c r="AF2964" t="s">
        <v>2204</v>
      </c>
    </row>
    <row r="2965" spans="1:32" ht="14.5" customHeight="1" x14ac:dyDescent="0.35">
      <c r="A2965" t="s">
        <v>73</v>
      </c>
      <c r="B2965" t="s">
        <v>2187</v>
      </c>
      <c r="C2965" t="s">
        <v>47</v>
      </c>
      <c r="D2965">
        <v>3100546</v>
      </c>
      <c r="E2965">
        <v>3100563</v>
      </c>
      <c r="F2965" t="s">
        <v>2188</v>
      </c>
      <c r="G2965" t="s">
        <v>2196</v>
      </c>
      <c r="H2965" t="s">
        <v>54</v>
      </c>
      <c r="I2965">
        <v>6959619</v>
      </c>
      <c r="J2965" s="12">
        <v>46127</v>
      </c>
      <c r="K2965" s="12">
        <v>46127</v>
      </c>
      <c r="L2965" s="12">
        <v>46127</v>
      </c>
      <c r="M2965">
        <v>5</v>
      </c>
      <c r="N2965">
        <v>-1831200</v>
      </c>
      <c r="O2965">
        <v>-1831200</v>
      </c>
      <c r="P2965">
        <v>0</v>
      </c>
      <c r="Q2965">
        <v>-1831200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 t="s">
        <v>47</v>
      </c>
      <c r="AA2965" t="s">
        <v>501</v>
      </c>
      <c r="AB2965" t="s">
        <v>51</v>
      </c>
      <c r="AC2965" t="s">
        <v>51</v>
      </c>
      <c r="AD2965" t="s">
        <v>51</v>
      </c>
      <c r="AE2965" t="s">
        <v>51</v>
      </c>
      <c r="AF2965" t="s">
        <v>2201</v>
      </c>
    </row>
    <row r="2966" spans="1:32" ht="14.5" customHeight="1" x14ac:dyDescent="0.35">
      <c r="A2966" t="s">
        <v>73</v>
      </c>
      <c r="B2966" t="s">
        <v>2187</v>
      </c>
      <c r="C2966" t="s">
        <v>47</v>
      </c>
      <c r="D2966">
        <v>3100546</v>
      </c>
      <c r="E2966">
        <v>3100562</v>
      </c>
      <c r="F2966" t="s">
        <v>2188</v>
      </c>
      <c r="G2966" t="s">
        <v>2189</v>
      </c>
      <c r="H2966" t="s">
        <v>54</v>
      </c>
      <c r="I2966">
        <v>6960263</v>
      </c>
      <c r="J2966" s="12">
        <v>46130</v>
      </c>
      <c r="K2966" s="12">
        <v>46130</v>
      </c>
      <c r="L2966" s="12">
        <v>46130</v>
      </c>
      <c r="M2966">
        <v>2</v>
      </c>
      <c r="N2966">
        <v>-391072</v>
      </c>
      <c r="O2966">
        <v>-391072</v>
      </c>
      <c r="P2966">
        <v>0</v>
      </c>
      <c r="Q2966">
        <v>-391072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 t="s">
        <v>47</v>
      </c>
      <c r="AA2966" t="s">
        <v>501</v>
      </c>
      <c r="AB2966" t="s">
        <v>51</v>
      </c>
      <c r="AC2966" t="s">
        <v>51</v>
      </c>
      <c r="AD2966" t="s">
        <v>51</v>
      </c>
      <c r="AE2966" t="s">
        <v>51</v>
      </c>
      <c r="AF2966" t="s">
        <v>2205</v>
      </c>
    </row>
    <row r="2967" spans="1:32" ht="14.5" customHeight="1" x14ac:dyDescent="0.35">
      <c r="A2967" t="s">
        <v>73</v>
      </c>
      <c r="B2967" t="s">
        <v>2187</v>
      </c>
      <c r="C2967" t="s">
        <v>47</v>
      </c>
      <c r="D2967">
        <v>3100546</v>
      </c>
      <c r="E2967">
        <v>3100562</v>
      </c>
      <c r="F2967" t="s">
        <v>2188</v>
      </c>
      <c r="G2967" t="s">
        <v>2189</v>
      </c>
      <c r="H2967" t="s">
        <v>54</v>
      </c>
      <c r="I2967">
        <v>6960264</v>
      </c>
      <c r="J2967" s="12">
        <v>46130</v>
      </c>
      <c r="K2967" s="12">
        <v>46130</v>
      </c>
      <c r="L2967" s="12">
        <v>46130</v>
      </c>
      <c r="M2967">
        <v>2</v>
      </c>
      <c r="N2967">
        <v>-1626968</v>
      </c>
      <c r="O2967">
        <v>-1626968</v>
      </c>
      <c r="P2967">
        <v>0</v>
      </c>
      <c r="Q2967">
        <v>-1626968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 t="s">
        <v>47</v>
      </c>
      <c r="AA2967" t="s">
        <v>501</v>
      </c>
      <c r="AB2967" t="s">
        <v>51</v>
      </c>
      <c r="AC2967" t="s">
        <v>51</v>
      </c>
      <c r="AD2967" t="s">
        <v>51</v>
      </c>
      <c r="AE2967" t="s">
        <v>51</v>
      </c>
      <c r="AF2967" t="s">
        <v>2199</v>
      </c>
    </row>
    <row r="2968" spans="1:32" ht="14.5" customHeight="1" x14ac:dyDescent="0.35">
      <c r="A2968" t="s">
        <v>73</v>
      </c>
      <c r="B2968" t="s">
        <v>2187</v>
      </c>
      <c r="C2968" t="s">
        <v>47</v>
      </c>
      <c r="D2968">
        <v>3100546</v>
      </c>
      <c r="E2968">
        <v>3100562</v>
      </c>
      <c r="F2968" t="s">
        <v>2188</v>
      </c>
      <c r="G2968" t="s">
        <v>2189</v>
      </c>
      <c r="H2968" t="s">
        <v>54</v>
      </c>
      <c r="I2968">
        <v>6960265</v>
      </c>
      <c r="J2968" s="12">
        <v>46130</v>
      </c>
      <c r="K2968" s="12">
        <v>46130</v>
      </c>
      <c r="L2968" s="12">
        <v>46130</v>
      </c>
      <c r="M2968">
        <v>2</v>
      </c>
      <c r="N2968">
        <v>-2067053</v>
      </c>
      <c r="O2968">
        <v>-2067053</v>
      </c>
      <c r="P2968">
        <v>0</v>
      </c>
      <c r="Q2968">
        <v>-2067053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 t="s">
        <v>47</v>
      </c>
      <c r="AA2968" t="s">
        <v>501</v>
      </c>
      <c r="AB2968" t="s">
        <v>51</v>
      </c>
      <c r="AC2968" t="s">
        <v>51</v>
      </c>
      <c r="AD2968" t="s">
        <v>51</v>
      </c>
      <c r="AE2968" t="s">
        <v>51</v>
      </c>
      <c r="AF2968" t="s">
        <v>2199</v>
      </c>
    </row>
    <row r="2969" spans="1:32" ht="14.5" customHeight="1" x14ac:dyDescent="0.35">
      <c r="A2969" t="s">
        <v>73</v>
      </c>
      <c r="B2969" t="s">
        <v>2187</v>
      </c>
      <c r="C2969" t="s">
        <v>47</v>
      </c>
      <c r="D2969">
        <v>3100546</v>
      </c>
      <c r="E2969">
        <v>3100563</v>
      </c>
      <c r="F2969" t="s">
        <v>2188</v>
      </c>
      <c r="G2969" t="s">
        <v>2196</v>
      </c>
      <c r="H2969" t="s">
        <v>54</v>
      </c>
      <c r="I2969">
        <v>6960266</v>
      </c>
      <c r="J2969" s="12">
        <v>46130</v>
      </c>
      <c r="K2969" s="12">
        <v>46130</v>
      </c>
      <c r="L2969" s="12">
        <v>46130</v>
      </c>
      <c r="M2969">
        <v>2</v>
      </c>
      <c r="N2969">
        <v>-1150795</v>
      </c>
      <c r="O2969">
        <v>-1150795</v>
      </c>
      <c r="P2969">
        <v>0</v>
      </c>
      <c r="Q2969">
        <v>-1150795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 t="s">
        <v>47</v>
      </c>
      <c r="AA2969" t="s">
        <v>501</v>
      </c>
      <c r="AB2969" t="s">
        <v>51</v>
      </c>
      <c r="AC2969" t="s">
        <v>51</v>
      </c>
      <c r="AD2969" t="s">
        <v>51</v>
      </c>
      <c r="AE2969" t="s">
        <v>51</v>
      </c>
      <c r="AF2969" t="s">
        <v>2206</v>
      </c>
    </row>
    <row r="2970" spans="1:32" ht="14.5" customHeight="1" x14ac:dyDescent="0.35">
      <c r="A2970" t="s">
        <v>73</v>
      </c>
      <c r="B2970" t="s">
        <v>2187</v>
      </c>
      <c r="C2970" t="s">
        <v>47</v>
      </c>
      <c r="D2970">
        <v>3100546</v>
      </c>
      <c r="E2970">
        <v>3100565</v>
      </c>
      <c r="F2970" t="s">
        <v>2188</v>
      </c>
      <c r="G2970" t="s">
        <v>2195</v>
      </c>
      <c r="H2970" t="s">
        <v>54</v>
      </c>
      <c r="I2970">
        <v>6960267</v>
      </c>
      <c r="J2970" s="12">
        <v>46130</v>
      </c>
      <c r="K2970" s="12">
        <v>46130</v>
      </c>
      <c r="L2970" s="12">
        <v>46130</v>
      </c>
      <c r="M2970">
        <v>2</v>
      </c>
      <c r="N2970">
        <v>-1333750</v>
      </c>
      <c r="O2970">
        <v>-1333750</v>
      </c>
      <c r="P2970">
        <v>0</v>
      </c>
      <c r="Q2970">
        <v>-1333750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 t="s">
        <v>47</v>
      </c>
      <c r="AA2970" t="s">
        <v>501</v>
      </c>
      <c r="AB2970" t="s">
        <v>51</v>
      </c>
      <c r="AC2970" t="s">
        <v>51</v>
      </c>
      <c r="AD2970" t="s">
        <v>51</v>
      </c>
      <c r="AE2970" t="s">
        <v>51</v>
      </c>
      <c r="AF2970" t="s">
        <v>2200</v>
      </c>
    </row>
    <row r="2971" spans="1:32" ht="14.5" customHeight="1" x14ac:dyDescent="0.35">
      <c r="A2971" t="s">
        <v>73</v>
      </c>
      <c r="B2971" t="s">
        <v>2187</v>
      </c>
      <c r="C2971" t="s">
        <v>47</v>
      </c>
      <c r="D2971">
        <v>3100546</v>
      </c>
      <c r="E2971">
        <v>3100565</v>
      </c>
      <c r="F2971" t="s">
        <v>2188</v>
      </c>
      <c r="G2971" t="s">
        <v>2195</v>
      </c>
      <c r="H2971" t="s">
        <v>54</v>
      </c>
      <c r="I2971">
        <v>6960294</v>
      </c>
      <c r="J2971" s="12">
        <v>46130</v>
      </c>
      <c r="K2971" s="12">
        <v>46130</v>
      </c>
      <c r="L2971" s="12">
        <v>46130</v>
      </c>
      <c r="M2971">
        <v>2</v>
      </c>
      <c r="N2971">
        <v>-236926</v>
      </c>
      <c r="O2971">
        <v>-236926</v>
      </c>
      <c r="P2971">
        <v>0</v>
      </c>
      <c r="Q2971">
        <v>-236926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 t="s">
        <v>47</v>
      </c>
      <c r="AA2971" t="s">
        <v>501</v>
      </c>
      <c r="AB2971" t="s">
        <v>51</v>
      </c>
      <c r="AC2971" t="s">
        <v>51</v>
      </c>
      <c r="AD2971" t="s">
        <v>51</v>
      </c>
      <c r="AE2971" t="s">
        <v>51</v>
      </c>
      <c r="AF2971" t="s">
        <v>2200</v>
      </c>
    </row>
    <row r="2972" spans="1:32" ht="14.5" customHeight="1" x14ac:dyDescent="0.35">
      <c r="A2972" t="s">
        <v>73</v>
      </c>
      <c r="B2972" t="s">
        <v>2187</v>
      </c>
      <c r="C2972" t="s">
        <v>47</v>
      </c>
      <c r="D2972">
        <v>3100546</v>
      </c>
      <c r="E2972">
        <v>3100563</v>
      </c>
      <c r="F2972" t="s">
        <v>2188</v>
      </c>
      <c r="G2972" t="s">
        <v>2196</v>
      </c>
      <c r="H2972" t="s">
        <v>54</v>
      </c>
      <c r="I2972">
        <v>9918454</v>
      </c>
      <c r="J2972" s="12">
        <v>46107</v>
      </c>
      <c r="K2972" s="12">
        <v>46107</v>
      </c>
      <c r="L2972" s="12">
        <v>46139</v>
      </c>
      <c r="M2972">
        <v>-7</v>
      </c>
      <c r="N2972">
        <v>248234830</v>
      </c>
      <c r="O2972">
        <v>0</v>
      </c>
      <c r="P2972">
        <v>248234830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 t="s">
        <v>47</v>
      </c>
      <c r="AA2972" t="s">
        <v>501</v>
      </c>
      <c r="AB2972" t="s">
        <v>51</v>
      </c>
      <c r="AC2972" t="s">
        <v>2207</v>
      </c>
      <c r="AD2972" t="s">
        <v>51</v>
      </c>
      <c r="AE2972" t="s">
        <v>51</v>
      </c>
      <c r="AF2972" t="s">
        <v>1583</v>
      </c>
    </row>
    <row r="2973" spans="1:32" ht="14.5" customHeight="1" x14ac:dyDescent="0.35">
      <c r="A2973" t="s">
        <v>73</v>
      </c>
      <c r="B2973" t="s">
        <v>2187</v>
      </c>
      <c r="C2973" t="s">
        <v>47</v>
      </c>
      <c r="D2973">
        <v>3100546</v>
      </c>
      <c r="E2973">
        <v>3100564</v>
      </c>
      <c r="F2973" t="s">
        <v>2188</v>
      </c>
      <c r="G2973" t="s">
        <v>2208</v>
      </c>
      <c r="H2973" t="s">
        <v>54</v>
      </c>
      <c r="I2973">
        <v>9918456</v>
      </c>
      <c r="J2973" s="12">
        <v>46107</v>
      </c>
      <c r="K2973" s="12">
        <v>46107</v>
      </c>
      <c r="L2973" s="12">
        <v>46139</v>
      </c>
      <c r="M2973">
        <v>-7</v>
      </c>
      <c r="N2973">
        <v>153126687</v>
      </c>
      <c r="O2973">
        <v>0</v>
      </c>
      <c r="P2973">
        <v>153126687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 t="s">
        <v>47</v>
      </c>
      <c r="AA2973" t="s">
        <v>501</v>
      </c>
      <c r="AB2973" t="s">
        <v>51</v>
      </c>
      <c r="AC2973" t="s">
        <v>2209</v>
      </c>
      <c r="AD2973" t="s">
        <v>51</v>
      </c>
      <c r="AE2973" t="s">
        <v>51</v>
      </c>
      <c r="AF2973" t="s">
        <v>167</v>
      </c>
    </row>
    <row r="2974" spans="1:32" ht="14.5" customHeight="1" x14ac:dyDescent="0.35">
      <c r="A2974" t="s">
        <v>73</v>
      </c>
      <c r="B2974" t="s">
        <v>2187</v>
      </c>
      <c r="C2974" t="s">
        <v>47</v>
      </c>
      <c r="D2974">
        <v>3100546</v>
      </c>
      <c r="E2974">
        <v>3100565</v>
      </c>
      <c r="F2974" t="s">
        <v>2188</v>
      </c>
      <c r="G2974" t="s">
        <v>2195</v>
      </c>
      <c r="H2974" t="s">
        <v>54</v>
      </c>
      <c r="I2974">
        <v>9918566</v>
      </c>
      <c r="J2974" s="12">
        <v>46107</v>
      </c>
      <c r="K2974" s="12">
        <v>46107</v>
      </c>
      <c r="L2974" s="12">
        <v>46139</v>
      </c>
      <c r="M2974">
        <v>-7</v>
      </c>
      <c r="N2974">
        <v>9726983</v>
      </c>
      <c r="O2974">
        <v>0</v>
      </c>
      <c r="P2974">
        <v>9726983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 t="s">
        <v>47</v>
      </c>
      <c r="AA2974" t="s">
        <v>501</v>
      </c>
      <c r="AB2974" t="s">
        <v>51</v>
      </c>
      <c r="AC2974" t="s">
        <v>2210</v>
      </c>
      <c r="AD2974" t="s">
        <v>51</v>
      </c>
      <c r="AE2974" t="s">
        <v>51</v>
      </c>
      <c r="AF2974" t="s">
        <v>285</v>
      </c>
    </row>
    <row r="2975" spans="1:32" ht="14.5" customHeight="1" x14ac:dyDescent="0.35">
      <c r="A2975" t="s">
        <v>73</v>
      </c>
      <c r="B2975" t="s">
        <v>2187</v>
      </c>
      <c r="C2975" t="s">
        <v>47</v>
      </c>
      <c r="D2975">
        <v>3100546</v>
      </c>
      <c r="E2975">
        <v>3100565</v>
      </c>
      <c r="F2975" t="s">
        <v>2188</v>
      </c>
      <c r="G2975" t="s">
        <v>2195</v>
      </c>
      <c r="H2975" t="s">
        <v>54</v>
      </c>
      <c r="I2975">
        <v>9918570</v>
      </c>
      <c r="J2975" s="12">
        <v>46107</v>
      </c>
      <c r="K2975" s="12">
        <v>46107</v>
      </c>
      <c r="L2975" s="12">
        <v>46139</v>
      </c>
      <c r="M2975">
        <v>-7</v>
      </c>
      <c r="N2975">
        <v>482301649</v>
      </c>
      <c r="O2975">
        <v>0</v>
      </c>
      <c r="P2975">
        <v>482301649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 t="s">
        <v>47</v>
      </c>
      <c r="AA2975" t="s">
        <v>501</v>
      </c>
      <c r="AB2975" t="s">
        <v>51</v>
      </c>
      <c r="AC2975" t="s">
        <v>2211</v>
      </c>
      <c r="AD2975" t="s">
        <v>51</v>
      </c>
      <c r="AE2975" t="s">
        <v>51</v>
      </c>
      <c r="AF2975" t="s">
        <v>195</v>
      </c>
    </row>
    <row r="2976" spans="1:32" ht="14.5" customHeight="1" x14ac:dyDescent="0.35">
      <c r="A2976" t="s">
        <v>73</v>
      </c>
      <c r="B2976" t="s">
        <v>2187</v>
      </c>
      <c r="C2976" t="s">
        <v>47</v>
      </c>
      <c r="D2976">
        <v>3100546</v>
      </c>
      <c r="E2976">
        <v>3100562</v>
      </c>
      <c r="F2976" t="s">
        <v>2188</v>
      </c>
      <c r="G2976" t="s">
        <v>2189</v>
      </c>
      <c r="H2976" t="s">
        <v>54</v>
      </c>
      <c r="I2976">
        <v>9918624</v>
      </c>
      <c r="J2976" s="12">
        <v>46108</v>
      </c>
      <c r="K2976" s="12">
        <v>46108</v>
      </c>
      <c r="L2976" s="12">
        <v>46140</v>
      </c>
      <c r="M2976">
        <v>-8</v>
      </c>
      <c r="N2976">
        <v>393658741</v>
      </c>
      <c r="O2976">
        <v>0</v>
      </c>
      <c r="P2976">
        <v>393658741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 t="s">
        <v>47</v>
      </c>
      <c r="AA2976" t="s">
        <v>501</v>
      </c>
      <c r="AB2976" t="s">
        <v>51</v>
      </c>
      <c r="AC2976" t="s">
        <v>51</v>
      </c>
      <c r="AD2976" t="s">
        <v>2212</v>
      </c>
      <c r="AE2976" t="s">
        <v>51</v>
      </c>
      <c r="AF2976" t="s">
        <v>489</v>
      </c>
    </row>
    <row r="2977" spans="1:32" ht="14.5" customHeight="1" x14ac:dyDescent="0.35">
      <c r="A2977" t="s">
        <v>73</v>
      </c>
      <c r="B2977" t="s">
        <v>2187</v>
      </c>
      <c r="C2977" t="s">
        <v>47</v>
      </c>
      <c r="D2977">
        <v>3100546</v>
      </c>
      <c r="E2977">
        <v>3100562</v>
      </c>
      <c r="F2977" t="s">
        <v>2188</v>
      </c>
      <c r="G2977" t="s">
        <v>2189</v>
      </c>
      <c r="H2977" t="s">
        <v>54</v>
      </c>
      <c r="I2977">
        <v>9918626</v>
      </c>
      <c r="J2977" s="12">
        <v>46108</v>
      </c>
      <c r="K2977" s="12">
        <v>46108</v>
      </c>
      <c r="L2977" s="12">
        <v>46140</v>
      </c>
      <c r="M2977">
        <v>-8</v>
      </c>
      <c r="N2977">
        <v>881757</v>
      </c>
      <c r="O2977">
        <v>0</v>
      </c>
      <c r="P2977">
        <v>881757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 t="s">
        <v>47</v>
      </c>
      <c r="AA2977" t="s">
        <v>501</v>
      </c>
      <c r="AB2977" t="s">
        <v>51</v>
      </c>
      <c r="AC2977" t="s">
        <v>51</v>
      </c>
      <c r="AD2977" t="s">
        <v>2213</v>
      </c>
      <c r="AE2977" t="s">
        <v>51</v>
      </c>
      <c r="AF2977" t="s">
        <v>455</v>
      </c>
    </row>
    <row r="2978" spans="1:32" ht="14.5" customHeight="1" x14ac:dyDescent="0.35">
      <c r="A2978" t="s">
        <v>73</v>
      </c>
      <c r="B2978" t="s">
        <v>2187</v>
      </c>
      <c r="C2978" t="s">
        <v>846</v>
      </c>
      <c r="D2978">
        <v>3100546</v>
      </c>
      <c r="E2978">
        <v>3101026</v>
      </c>
      <c r="F2978" t="s">
        <v>2188</v>
      </c>
      <c r="G2978" t="s">
        <v>2202</v>
      </c>
      <c r="H2978" t="s">
        <v>54</v>
      </c>
      <c r="I2978">
        <v>9920029</v>
      </c>
      <c r="J2978" s="12">
        <v>46110</v>
      </c>
      <c r="K2978" s="12">
        <v>46110</v>
      </c>
      <c r="L2978" s="12">
        <v>46142</v>
      </c>
      <c r="M2978">
        <v>-10</v>
      </c>
      <c r="N2978">
        <v>19521153</v>
      </c>
      <c r="O2978">
        <v>0</v>
      </c>
      <c r="P2978">
        <v>19521153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 t="s">
        <v>846</v>
      </c>
      <c r="AA2978" t="s">
        <v>501</v>
      </c>
      <c r="AB2978" t="s">
        <v>51</v>
      </c>
      <c r="AC2978" t="s">
        <v>51</v>
      </c>
      <c r="AD2978" t="s">
        <v>2214</v>
      </c>
      <c r="AE2978" t="s">
        <v>51</v>
      </c>
      <c r="AF2978" t="s">
        <v>1434</v>
      </c>
    </row>
    <row r="2979" spans="1:32" ht="14.5" customHeight="1" x14ac:dyDescent="0.35">
      <c r="A2979" t="s">
        <v>73</v>
      </c>
      <c r="B2979" t="s">
        <v>2187</v>
      </c>
      <c r="C2979" t="s">
        <v>846</v>
      </c>
      <c r="D2979">
        <v>3100546</v>
      </c>
      <c r="E2979">
        <v>3101026</v>
      </c>
      <c r="F2979" t="s">
        <v>2188</v>
      </c>
      <c r="G2979" t="s">
        <v>2202</v>
      </c>
      <c r="H2979" t="s">
        <v>54</v>
      </c>
      <c r="I2979">
        <v>9920051</v>
      </c>
      <c r="J2979" s="12">
        <v>46111</v>
      </c>
      <c r="K2979" s="12">
        <v>46111</v>
      </c>
      <c r="L2979" s="12">
        <v>46143</v>
      </c>
      <c r="M2979">
        <v>-11</v>
      </c>
      <c r="N2979">
        <v>35102456</v>
      </c>
      <c r="O2979">
        <v>0</v>
      </c>
      <c r="P2979">
        <v>35102456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 t="s">
        <v>846</v>
      </c>
      <c r="AA2979" t="s">
        <v>501</v>
      </c>
      <c r="AB2979" t="s">
        <v>51</v>
      </c>
      <c r="AC2979" t="s">
        <v>51</v>
      </c>
      <c r="AD2979" t="s">
        <v>2215</v>
      </c>
      <c r="AE2979" t="s">
        <v>51</v>
      </c>
      <c r="AF2979" t="s">
        <v>56</v>
      </c>
    </row>
    <row r="2980" spans="1:32" ht="14.5" customHeight="1" x14ac:dyDescent="0.35">
      <c r="A2980" t="s">
        <v>73</v>
      </c>
      <c r="B2980" t="s">
        <v>2187</v>
      </c>
      <c r="C2980" t="s">
        <v>47</v>
      </c>
      <c r="D2980">
        <v>3100546</v>
      </c>
      <c r="E2980">
        <v>3100562</v>
      </c>
      <c r="F2980" t="s">
        <v>2188</v>
      </c>
      <c r="G2980" t="s">
        <v>2189</v>
      </c>
      <c r="H2980" t="s">
        <v>54</v>
      </c>
      <c r="I2980">
        <v>9920208</v>
      </c>
      <c r="J2980" s="12">
        <v>46111</v>
      </c>
      <c r="K2980" s="12">
        <v>46111</v>
      </c>
      <c r="L2980" s="12">
        <v>46143</v>
      </c>
      <c r="M2980">
        <v>-11</v>
      </c>
      <c r="N2980">
        <v>376769543</v>
      </c>
      <c r="O2980">
        <v>0</v>
      </c>
      <c r="P2980">
        <v>376769543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 t="s">
        <v>47</v>
      </c>
      <c r="AA2980" t="s">
        <v>501</v>
      </c>
      <c r="AB2980" t="s">
        <v>51</v>
      </c>
      <c r="AC2980" t="s">
        <v>51</v>
      </c>
      <c r="AD2980" t="s">
        <v>2216</v>
      </c>
      <c r="AE2980" t="s">
        <v>51</v>
      </c>
      <c r="AF2980" t="s">
        <v>62</v>
      </c>
    </row>
    <row r="2981" spans="1:32" ht="14.5" customHeight="1" x14ac:dyDescent="0.35">
      <c r="A2981" t="s">
        <v>73</v>
      </c>
      <c r="B2981" t="s">
        <v>2187</v>
      </c>
      <c r="C2981" t="s">
        <v>47</v>
      </c>
      <c r="D2981">
        <v>3100546</v>
      </c>
      <c r="E2981">
        <v>3100565</v>
      </c>
      <c r="F2981" t="s">
        <v>2188</v>
      </c>
      <c r="G2981" t="s">
        <v>2195</v>
      </c>
      <c r="H2981" t="s">
        <v>54</v>
      </c>
      <c r="I2981">
        <v>9920819</v>
      </c>
      <c r="J2981" s="12">
        <v>46112</v>
      </c>
      <c r="K2981" s="12">
        <v>46112</v>
      </c>
      <c r="L2981" s="12">
        <v>46144</v>
      </c>
      <c r="M2981">
        <v>-12</v>
      </c>
      <c r="N2981">
        <v>475432631</v>
      </c>
      <c r="O2981">
        <v>0</v>
      </c>
      <c r="P2981">
        <v>475432631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 t="s">
        <v>47</v>
      </c>
      <c r="AA2981" t="s">
        <v>501</v>
      </c>
      <c r="AB2981" t="s">
        <v>51</v>
      </c>
      <c r="AC2981" t="s">
        <v>51</v>
      </c>
      <c r="AD2981" t="s">
        <v>2217</v>
      </c>
      <c r="AE2981" t="s">
        <v>51</v>
      </c>
      <c r="AF2981" t="s">
        <v>1228</v>
      </c>
    </row>
    <row r="2982" spans="1:32" ht="14.5" customHeight="1" x14ac:dyDescent="0.35">
      <c r="A2982" t="s">
        <v>73</v>
      </c>
      <c r="B2982" t="s">
        <v>2187</v>
      </c>
      <c r="C2982" t="s">
        <v>47</v>
      </c>
      <c r="D2982">
        <v>3100546</v>
      </c>
      <c r="E2982">
        <v>3100565</v>
      </c>
      <c r="F2982" t="s">
        <v>2188</v>
      </c>
      <c r="G2982" t="s">
        <v>2195</v>
      </c>
      <c r="H2982" t="s">
        <v>54</v>
      </c>
      <c r="I2982">
        <v>9920820</v>
      </c>
      <c r="J2982" s="12">
        <v>46112</v>
      </c>
      <c r="K2982" s="12">
        <v>46112</v>
      </c>
      <c r="L2982" s="12">
        <v>46144</v>
      </c>
      <c r="M2982">
        <v>-12</v>
      </c>
      <c r="N2982">
        <v>1111980</v>
      </c>
      <c r="O2982">
        <v>0</v>
      </c>
      <c r="P2982">
        <v>1111980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 t="s">
        <v>47</v>
      </c>
      <c r="AA2982" t="s">
        <v>501</v>
      </c>
      <c r="AB2982" t="s">
        <v>51</v>
      </c>
      <c r="AC2982" t="s">
        <v>51</v>
      </c>
      <c r="AD2982" t="s">
        <v>795</v>
      </c>
      <c r="AE2982" t="s">
        <v>51</v>
      </c>
      <c r="AF2982" t="s">
        <v>158</v>
      </c>
    </row>
    <row r="2983" spans="1:32" ht="14.5" customHeight="1" x14ac:dyDescent="0.35">
      <c r="A2983" t="s">
        <v>73</v>
      </c>
      <c r="B2983" t="s">
        <v>2187</v>
      </c>
      <c r="C2983" t="s">
        <v>47</v>
      </c>
      <c r="D2983">
        <v>3100546</v>
      </c>
      <c r="E2983">
        <v>3100563</v>
      </c>
      <c r="F2983" t="s">
        <v>2188</v>
      </c>
      <c r="G2983" t="s">
        <v>2196</v>
      </c>
      <c r="H2983" t="s">
        <v>54</v>
      </c>
      <c r="I2983">
        <v>9920821</v>
      </c>
      <c r="J2983" s="12">
        <v>46112</v>
      </c>
      <c r="K2983" s="12">
        <v>46112</v>
      </c>
      <c r="L2983" s="12">
        <v>46144</v>
      </c>
      <c r="M2983">
        <v>-12</v>
      </c>
      <c r="N2983">
        <v>58349952</v>
      </c>
      <c r="O2983">
        <v>0</v>
      </c>
      <c r="P2983">
        <v>58349952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 t="s">
        <v>47</v>
      </c>
      <c r="AA2983" t="s">
        <v>501</v>
      </c>
      <c r="AB2983" t="s">
        <v>51</v>
      </c>
      <c r="AC2983" t="s">
        <v>51</v>
      </c>
      <c r="AD2983" t="s">
        <v>2218</v>
      </c>
      <c r="AE2983" t="s">
        <v>51</v>
      </c>
      <c r="AF2983" t="s">
        <v>468</v>
      </c>
    </row>
    <row r="2984" spans="1:32" ht="14.5" customHeight="1" x14ac:dyDescent="0.35">
      <c r="A2984" t="s">
        <v>73</v>
      </c>
      <c r="B2984" t="s">
        <v>2187</v>
      </c>
      <c r="C2984" t="s">
        <v>47</v>
      </c>
      <c r="D2984">
        <v>3100546</v>
      </c>
      <c r="E2984">
        <v>3100563</v>
      </c>
      <c r="F2984" t="s">
        <v>2188</v>
      </c>
      <c r="G2984" t="s">
        <v>2196</v>
      </c>
      <c r="H2984" t="s">
        <v>54</v>
      </c>
      <c r="I2984">
        <v>9920838</v>
      </c>
      <c r="J2984" s="12">
        <v>46112</v>
      </c>
      <c r="K2984" s="12">
        <v>46112</v>
      </c>
      <c r="L2984" s="12">
        <v>46144</v>
      </c>
      <c r="M2984">
        <v>-12</v>
      </c>
      <c r="N2984">
        <v>273374405</v>
      </c>
      <c r="O2984">
        <v>0</v>
      </c>
      <c r="P2984">
        <v>273374405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 t="s">
        <v>47</v>
      </c>
      <c r="AA2984" t="s">
        <v>501</v>
      </c>
      <c r="AB2984" t="s">
        <v>51</v>
      </c>
      <c r="AC2984" t="s">
        <v>51</v>
      </c>
      <c r="AD2984" t="s">
        <v>2219</v>
      </c>
      <c r="AE2984" t="s">
        <v>51</v>
      </c>
      <c r="AF2984" t="s">
        <v>195</v>
      </c>
    </row>
    <row r="2985" spans="1:32" ht="14.5" customHeight="1" x14ac:dyDescent="0.35">
      <c r="A2985" t="s">
        <v>73</v>
      </c>
      <c r="B2985" t="s">
        <v>2187</v>
      </c>
      <c r="C2985" t="s">
        <v>47</v>
      </c>
      <c r="D2985">
        <v>3100546</v>
      </c>
      <c r="E2985">
        <v>3100562</v>
      </c>
      <c r="F2985" t="s">
        <v>2188</v>
      </c>
      <c r="G2985" t="s">
        <v>2189</v>
      </c>
      <c r="H2985" t="s">
        <v>54</v>
      </c>
      <c r="I2985">
        <v>9920854</v>
      </c>
      <c r="J2985" s="12">
        <v>46112</v>
      </c>
      <c r="K2985" s="12">
        <v>46112</v>
      </c>
      <c r="L2985" s="12">
        <v>46144</v>
      </c>
      <c r="M2985">
        <v>-12</v>
      </c>
      <c r="N2985">
        <v>351955965</v>
      </c>
      <c r="O2985">
        <v>0</v>
      </c>
      <c r="P2985">
        <v>351955965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 t="s">
        <v>47</v>
      </c>
      <c r="AA2985" t="s">
        <v>501</v>
      </c>
      <c r="AB2985" t="s">
        <v>51</v>
      </c>
      <c r="AC2985" t="s">
        <v>51</v>
      </c>
      <c r="AD2985" t="s">
        <v>2220</v>
      </c>
      <c r="AE2985" t="s">
        <v>51</v>
      </c>
      <c r="AF2985" t="s">
        <v>2221</v>
      </c>
    </row>
    <row r="2986" spans="1:32" ht="14.5" customHeight="1" x14ac:dyDescent="0.35">
      <c r="A2986" t="s">
        <v>73</v>
      </c>
      <c r="B2986" t="s">
        <v>2187</v>
      </c>
      <c r="C2986" t="s">
        <v>47</v>
      </c>
      <c r="D2986">
        <v>3100546</v>
      </c>
      <c r="E2986">
        <v>3100562</v>
      </c>
      <c r="F2986" t="s">
        <v>2188</v>
      </c>
      <c r="G2986" t="s">
        <v>2189</v>
      </c>
      <c r="H2986" t="s">
        <v>54</v>
      </c>
      <c r="I2986">
        <v>9921034</v>
      </c>
      <c r="J2986" s="12">
        <v>46112</v>
      </c>
      <c r="K2986" s="12">
        <v>46112</v>
      </c>
      <c r="L2986" s="12">
        <v>46144</v>
      </c>
      <c r="M2986">
        <v>-12</v>
      </c>
      <c r="N2986">
        <v>3586810</v>
      </c>
      <c r="O2986">
        <v>0</v>
      </c>
      <c r="P2986">
        <v>3586810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 t="s">
        <v>47</v>
      </c>
      <c r="AA2986" t="s">
        <v>501</v>
      </c>
      <c r="AB2986" t="s">
        <v>51</v>
      </c>
      <c r="AC2986" t="s">
        <v>51</v>
      </c>
      <c r="AD2986" t="s">
        <v>2222</v>
      </c>
      <c r="AE2986" t="s">
        <v>51</v>
      </c>
      <c r="AF2986" t="s">
        <v>468</v>
      </c>
    </row>
    <row r="2987" spans="1:32" ht="14.5" customHeight="1" x14ac:dyDescent="0.35">
      <c r="A2987" t="s">
        <v>73</v>
      </c>
      <c r="B2987" t="s">
        <v>2187</v>
      </c>
      <c r="C2987" t="s">
        <v>47</v>
      </c>
      <c r="D2987">
        <v>3100546</v>
      </c>
      <c r="E2987">
        <v>3100564</v>
      </c>
      <c r="F2987" t="s">
        <v>2188</v>
      </c>
      <c r="G2987" t="s">
        <v>2208</v>
      </c>
      <c r="H2987" t="s">
        <v>54</v>
      </c>
      <c r="I2987">
        <v>9921110</v>
      </c>
      <c r="J2987" s="12">
        <v>46112</v>
      </c>
      <c r="K2987" s="12">
        <v>46112</v>
      </c>
      <c r="L2987" s="12">
        <v>46144</v>
      </c>
      <c r="M2987">
        <v>-12</v>
      </c>
      <c r="N2987">
        <v>157834341</v>
      </c>
      <c r="O2987">
        <v>0</v>
      </c>
      <c r="P2987">
        <v>157834341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 t="s">
        <v>47</v>
      </c>
      <c r="AA2987" t="s">
        <v>501</v>
      </c>
      <c r="AB2987" t="s">
        <v>51</v>
      </c>
      <c r="AC2987" t="s">
        <v>51</v>
      </c>
      <c r="AD2987" t="s">
        <v>2223</v>
      </c>
      <c r="AE2987" t="s">
        <v>51</v>
      </c>
      <c r="AF2987" t="s">
        <v>1228</v>
      </c>
    </row>
    <row r="2988" spans="1:32" ht="14.5" customHeight="1" x14ac:dyDescent="0.35">
      <c r="A2988" t="s">
        <v>73</v>
      </c>
      <c r="B2988" t="s">
        <v>2187</v>
      </c>
      <c r="C2988" t="s">
        <v>47</v>
      </c>
      <c r="D2988">
        <v>3100546</v>
      </c>
      <c r="E2988">
        <v>3100564</v>
      </c>
      <c r="F2988" t="s">
        <v>2188</v>
      </c>
      <c r="G2988" t="s">
        <v>2208</v>
      </c>
      <c r="H2988" t="s">
        <v>54</v>
      </c>
      <c r="I2988">
        <v>9921112</v>
      </c>
      <c r="J2988" s="12">
        <v>46112</v>
      </c>
      <c r="K2988" s="12">
        <v>46112</v>
      </c>
      <c r="L2988" s="12">
        <v>46144</v>
      </c>
      <c r="M2988">
        <v>-12</v>
      </c>
      <c r="N2988">
        <v>2223960</v>
      </c>
      <c r="O2988">
        <v>0</v>
      </c>
      <c r="P2988">
        <v>2223960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 t="s">
        <v>47</v>
      </c>
      <c r="AA2988" t="s">
        <v>501</v>
      </c>
      <c r="AB2988" t="s">
        <v>51</v>
      </c>
      <c r="AC2988" t="s">
        <v>51</v>
      </c>
      <c r="AD2988" t="s">
        <v>2224</v>
      </c>
      <c r="AE2988" t="s">
        <v>51</v>
      </c>
      <c r="AF2988" t="s">
        <v>158</v>
      </c>
    </row>
    <row r="2989" spans="1:32" ht="14.5" customHeight="1" x14ac:dyDescent="0.35">
      <c r="A2989" t="s">
        <v>73</v>
      </c>
      <c r="B2989" t="s">
        <v>2187</v>
      </c>
      <c r="C2989" t="s">
        <v>47</v>
      </c>
      <c r="D2989">
        <v>3100546</v>
      </c>
      <c r="E2989">
        <v>3100562</v>
      </c>
      <c r="F2989" t="s">
        <v>2188</v>
      </c>
      <c r="G2989" t="s">
        <v>2189</v>
      </c>
      <c r="H2989" t="s">
        <v>54</v>
      </c>
      <c r="I2989">
        <v>9921492</v>
      </c>
      <c r="J2989" s="12">
        <v>46112</v>
      </c>
      <c r="K2989" s="12">
        <v>46112</v>
      </c>
      <c r="L2989" s="12">
        <v>46144</v>
      </c>
      <c r="M2989">
        <v>-12</v>
      </c>
      <c r="N2989">
        <v>296597119</v>
      </c>
      <c r="O2989">
        <v>0</v>
      </c>
      <c r="P2989">
        <v>296597119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 t="s">
        <v>47</v>
      </c>
      <c r="AA2989" t="s">
        <v>501</v>
      </c>
      <c r="AB2989" t="s">
        <v>51</v>
      </c>
      <c r="AC2989" t="s">
        <v>51</v>
      </c>
      <c r="AD2989" t="s">
        <v>2225</v>
      </c>
      <c r="AE2989" t="s">
        <v>51</v>
      </c>
      <c r="AF2989" t="s">
        <v>183</v>
      </c>
    </row>
    <row r="2990" spans="1:32" ht="14.5" customHeight="1" x14ac:dyDescent="0.35">
      <c r="A2990" t="s">
        <v>73</v>
      </c>
      <c r="B2990" t="s">
        <v>2187</v>
      </c>
      <c r="C2990" t="s">
        <v>47</v>
      </c>
      <c r="D2990">
        <v>3100546</v>
      </c>
      <c r="E2990">
        <v>3100562</v>
      </c>
      <c r="F2990" t="s">
        <v>2188</v>
      </c>
      <c r="G2990" t="s">
        <v>2189</v>
      </c>
      <c r="H2990" t="s">
        <v>54</v>
      </c>
      <c r="I2990">
        <v>9921497</v>
      </c>
      <c r="J2990" s="12">
        <v>46112</v>
      </c>
      <c r="K2990" s="12">
        <v>46112</v>
      </c>
      <c r="L2990" s="12">
        <v>46144</v>
      </c>
      <c r="M2990">
        <v>-12</v>
      </c>
      <c r="N2990">
        <v>2223960</v>
      </c>
      <c r="O2990">
        <v>0</v>
      </c>
      <c r="P2990">
        <v>2223960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 t="s">
        <v>47</v>
      </c>
      <c r="AA2990" t="s">
        <v>501</v>
      </c>
      <c r="AB2990" t="s">
        <v>51</v>
      </c>
      <c r="AC2990" t="s">
        <v>51</v>
      </c>
      <c r="AD2990" t="s">
        <v>2224</v>
      </c>
      <c r="AE2990" t="s">
        <v>51</v>
      </c>
      <c r="AF2990" t="s">
        <v>158</v>
      </c>
    </row>
    <row r="2991" spans="1:32" ht="14.5" customHeight="1" x14ac:dyDescent="0.35">
      <c r="A2991" t="s">
        <v>73</v>
      </c>
      <c r="B2991" t="s">
        <v>2187</v>
      </c>
      <c r="C2991" t="s">
        <v>47</v>
      </c>
      <c r="D2991">
        <v>3100546</v>
      </c>
      <c r="E2991">
        <v>3100565</v>
      </c>
      <c r="F2991" t="s">
        <v>2188</v>
      </c>
      <c r="G2991" t="s">
        <v>2195</v>
      </c>
      <c r="H2991" t="s">
        <v>54</v>
      </c>
      <c r="I2991">
        <v>9921545</v>
      </c>
      <c r="J2991" s="12">
        <v>46113</v>
      </c>
      <c r="K2991" s="12">
        <v>46113</v>
      </c>
      <c r="L2991" s="12">
        <v>46145</v>
      </c>
      <c r="M2991">
        <v>-13</v>
      </c>
      <c r="N2991">
        <v>7173619</v>
      </c>
      <c r="O2991">
        <v>0</v>
      </c>
      <c r="P2991">
        <v>7173619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 t="s">
        <v>47</v>
      </c>
      <c r="AA2991" t="s">
        <v>501</v>
      </c>
      <c r="AB2991" t="s">
        <v>51</v>
      </c>
      <c r="AC2991" t="s">
        <v>51</v>
      </c>
      <c r="AD2991" t="s">
        <v>2226</v>
      </c>
      <c r="AE2991" t="s">
        <v>51</v>
      </c>
      <c r="AF2991" t="s">
        <v>468</v>
      </c>
    </row>
    <row r="2992" spans="1:32" ht="14.5" customHeight="1" x14ac:dyDescent="0.35">
      <c r="A2992" t="s">
        <v>73</v>
      </c>
      <c r="B2992" t="s">
        <v>2187</v>
      </c>
      <c r="C2992" t="s">
        <v>47</v>
      </c>
      <c r="D2992">
        <v>3100546</v>
      </c>
      <c r="E2992">
        <v>3100562</v>
      </c>
      <c r="F2992" t="s">
        <v>2188</v>
      </c>
      <c r="G2992" t="s">
        <v>2189</v>
      </c>
      <c r="H2992" t="s">
        <v>54</v>
      </c>
      <c r="I2992">
        <v>9922176</v>
      </c>
      <c r="J2992" s="12">
        <v>46116</v>
      </c>
      <c r="K2992" s="12">
        <v>46116</v>
      </c>
      <c r="L2992" s="12">
        <v>46148</v>
      </c>
      <c r="M2992">
        <v>-16</v>
      </c>
      <c r="N2992">
        <v>222247217</v>
      </c>
      <c r="O2992">
        <v>0</v>
      </c>
      <c r="P2992">
        <v>222247217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 t="s">
        <v>47</v>
      </c>
      <c r="AA2992" t="s">
        <v>501</v>
      </c>
      <c r="AB2992" t="s">
        <v>51</v>
      </c>
      <c r="AC2992" t="s">
        <v>51</v>
      </c>
      <c r="AD2992" t="s">
        <v>51</v>
      </c>
      <c r="AE2992" t="s">
        <v>2227</v>
      </c>
      <c r="AF2992" t="s">
        <v>62</v>
      </c>
    </row>
    <row r="2993" spans="1:32" ht="14.5" customHeight="1" x14ac:dyDescent="0.35">
      <c r="A2993" t="s">
        <v>73</v>
      </c>
      <c r="B2993" t="s">
        <v>2187</v>
      </c>
      <c r="C2993" t="s">
        <v>47</v>
      </c>
      <c r="D2993">
        <v>3100546</v>
      </c>
      <c r="E2993">
        <v>3100562</v>
      </c>
      <c r="F2993" t="s">
        <v>2188</v>
      </c>
      <c r="G2993" t="s">
        <v>2189</v>
      </c>
      <c r="H2993" t="s">
        <v>54</v>
      </c>
      <c r="I2993">
        <v>9922652</v>
      </c>
      <c r="J2993" s="12">
        <v>46119</v>
      </c>
      <c r="K2993" s="12">
        <v>46119</v>
      </c>
      <c r="L2993" s="12">
        <v>46151</v>
      </c>
      <c r="M2993">
        <v>-19</v>
      </c>
      <c r="N2993">
        <v>306674299</v>
      </c>
      <c r="O2993">
        <v>0</v>
      </c>
      <c r="P2993">
        <v>306674299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 t="s">
        <v>47</v>
      </c>
      <c r="AA2993" t="s">
        <v>501</v>
      </c>
      <c r="AB2993" t="s">
        <v>51</v>
      </c>
      <c r="AC2993" t="s">
        <v>51</v>
      </c>
      <c r="AD2993" t="s">
        <v>51</v>
      </c>
      <c r="AE2993" t="s">
        <v>2228</v>
      </c>
      <c r="AF2993" t="s">
        <v>62</v>
      </c>
    </row>
    <row r="2994" spans="1:32" ht="14.5" customHeight="1" x14ac:dyDescent="0.35">
      <c r="A2994" t="s">
        <v>73</v>
      </c>
      <c r="B2994" t="s">
        <v>2187</v>
      </c>
      <c r="C2994" t="s">
        <v>846</v>
      </c>
      <c r="D2994">
        <v>3100546</v>
      </c>
      <c r="E2994">
        <v>3101026</v>
      </c>
      <c r="F2994" t="s">
        <v>2188</v>
      </c>
      <c r="G2994" t="s">
        <v>2202</v>
      </c>
      <c r="H2994" t="s">
        <v>54</v>
      </c>
      <c r="I2994">
        <v>9923023</v>
      </c>
      <c r="J2994" s="12">
        <v>46120</v>
      </c>
      <c r="K2994" s="12">
        <v>46120</v>
      </c>
      <c r="L2994" s="12">
        <v>46152</v>
      </c>
      <c r="M2994">
        <v>-20</v>
      </c>
      <c r="N2994">
        <v>119996095</v>
      </c>
      <c r="O2994">
        <v>0</v>
      </c>
      <c r="P2994">
        <v>119996095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 t="s">
        <v>846</v>
      </c>
      <c r="AA2994" t="s">
        <v>501</v>
      </c>
      <c r="AB2994" t="s">
        <v>51</v>
      </c>
      <c r="AC2994" t="s">
        <v>51</v>
      </c>
      <c r="AD2994" t="s">
        <v>51</v>
      </c>
      <c r="AE2994" t="s">
        <v>2229</v>
      </c>
      <c r="AF2994" t="s">
        <v>770</v>
      </c>
    </row>
    <row r="2995" spans="1:32" ht="14.5" customHeight="1" x14ac:dyDescent="0.35">
      <c r="A2995" t="s">
        <v>73</v>
      </c>
      <c r="B2995" t="s">
        <v>2187</v>
      </c>
      <c r="C2995" t="s">
        <v>47</v>
      </c>
      <c r="D2995">
        <v>3100546</v>
      </c>
      <c r="E2995">
        <v>3100562</v>
      </c>
      <c r="F2995" t="s">
        <v>2188</v>
      </c>
      <c r="G2995" t="s">
        <v>2189</v>
      </c>
      <c r="H2995" t="s">
        <v>140</v>
      </c>
      <c r="I2995">
        <v>9923244</v>
      </c>
      <c r="J2995" s="12">
        <v>46121</v>
      </c>
      <c r="K2995" s="12">
        <v>46121</v>
      </c>
      <c r="L2995" s="12">
        <v>46151</v>
      </c>
      <c r="M2995">
        <v>-19</v>
      </c>
      <c r="N2995">
        <v>3483197</v>
      </c>
      <c r="O2995">
        <v>0</v>
      </c>
      <c r="P2995">
        <v>3483197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 t="s">
        <v>47</v>
      </c>
      <c r="AA2995" t="s">
        <v>501</v>
      </c>
      <c r="AB2995" t="s">
        <v>51</v>
      </c>
      <c r="AC2995" t="s">
        <v>51</v>
      </c>
      <c r="AD2995" t="s">
        <v>51</v>
      </c>
      <c r="AE2995" t="s">
        <v>2230</v>
      </c>
      <c r="AF2995" t="s">
        <v>325</v>
      </c>
    </row>
    <row r="2996" spans="1:32" ht="14.5" customHeight="1" x14ac:dyDescent="0.35">
      <c r="A2996" t="s">
        <v>73</v>
      </c>
      <c r="B2996" t="s">
        <v>2187</v>
      </c>
      <c r="C2996" t="s">
        <v>47</v>
      </c>
      <c r="D2996">
        <v>3100546</v>
      </c>
      <c r="E2996">
        <v>3100563</v>
      </c>
      <c r="F2996" t="s">
        <v>2188</v>
      </c>
      <c r="G2996" t="s">
        <v>2196</v>
      </c>
      <c r="H2996" t="s">
        <v>140</v>
      </c>
      <c r="I2996">
        <v>9923245</v>
      </c>
      <c r="J2996" s="12">
        <v>46121</v>
      </c>
      <c r="K2996" s="12">
        <v>46121</v>
      </c>
      <c r="L2996" s="12">
        <v>46151</v>
      </c>
      <c r="M2996">
        <v>-19</v>
      </c>
      <c r="N2996">
        <v>2181487</v>
      </c>
      <c r="O2996">
        <v>0</v>
      </c>
      <c r="P2996">
        <v>2181487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 t="s">
        <v>47</v>
      </c>
      <c r="AA2996" t="s">
        <v>501</v>
      </c>
      <c r="AB2996" t="s">
        <v>51</v>
      </c>
      <c r="AC2996" t="s">
        <v>51</v>
      </c>
      <c r="AD2996" t="s">
        <v>51</v>
      </c>
      <c r="AE2996" t="s">
        <v>2231</v>
      </c>
      <c r="AF2996" t="s">
        <v>69</v>
      </c>
    </row>
    <row r="2997" spans="1:32" ht="14.5" customHeight="1" x14ac:dyDescent="0.35">
      <c r="A2997" t="s">
        <v>73</v>
      </c>
      <c r="B2997" t="s">
        <v>2187</v>
      </c>
      <c r="C2997" t="s">
        <v>47</v>
      </c>
      <c r="D2997">
        <v>3100546</v>
      </c>
      <c r="E2997">
        <v>3100565</v>
      </c>
      <c r="F2997" t="s">
        <v>2188</v>
      </c>
      <c r="G2997" t="s">
        <v>2195</v>
      </c>
      <c r="H2997" t="s">
        <v>140</v>
      </c>
      <c r="I2997">
        <v>9923246</v>
      </c>
      <c r="J2997" s="12">
        <v>46121</v>
      </c>
      <c r="K2997" s="12">
        <v>46121</v>
      </c>
      <c r="L2997" s="12">
        <v>46151</v>
      </c>
      <c r="M2997">
        <v>-19</v>
      </c>
      <c r="N2997">
        <v>583748</v>
      </c>
      <c r="O2997">
        <v>0</v>
      </c>
      <c r="P2997">
        <v>583748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 t="s">
        <v>47</v>
      </c>
      <c r="AA2997" t="s">
        <v>501</v>
      </c>
      <c r="AB2997" t="s">
        <v>51</v>
      </c>
      <c r="AC2997" t="s">
        <v>51</v>
      </c>
      <c r="AD2997" t="s">
        <v>51</v>
      </c>
      <c r="AE2997" t="s">
        <v>2232</v>
      </c>
      <c r="AF2997" t="s">
        <v>183</v>
      </c>
    </row>
    <row r="2998" spans="1:32" ht="14.5" customHeight="1" x14ac:dyDescent="0.35">
      <c r="A2998" t="s">
        <v>73</v>
      </c>
      <c r="B2998" t="s">
        <v>2187</v>
      </c>
      <c r="C2998" t="s">
        <v>47</v>
      </c>
      <c r="D2998">
        <v>3100546</v>
      </c>
      <c r="E2998">
        <v>3101025</v>
      </c>
      <c r="F2998" t="s">
        <v>2188</v>
      </c>
      <c r="G2998" t="s">
        <v>2202</v>
      </c>
      <c r="H2998" t="s">
        <v>140</v>
      </c>
      <c r="I2998">
        <v>9923261</v>
      </c>
      <c r="J2998" s="12">
        <v>46121</v>
      </c>
      <c r="K2998" s="12">
        <v>46121</v>
      </c>
      <c r="L2998" s="12">
        <v>46151</v>
      </c>
      <c r="M2998">
        <v>-19</v>
      </c>
      <c r="N2998">
        <v>554939</v>
      </c>
      <c r="O2998">
        <v>0</v>
      </c>
      <c r="P2998">
        <v>554939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 t="s">
        <v>47</v>
      </c>
      <c r="AA2998" t="s">
        <v>501</v>
      </c>
      <c r="AB2998" t="s">
        <v>51</v>
      </c>
      <c r="AC2998" t="s">
        <v>51</v>
      </c>
      <c r="AD2998" t="s">
        <v>51</v>
      </c>
      <c r="AE2998" t="s">
        <v>2233</v>
      </c>
      <c r="AF2998" t="s">
        <v>155</v>
      </c>
    </row>
    <row r="2999" spans="1:32" ht="14.5" customHeight="1" x14ac:dyDescent="0.35">
      <c r="A2999" t="s">
        <v>73</v>
      </c>
      <c r="B2999" t="s">
        <v>2187</v>
      </c>
      <c r="C2999" t="s">
        <v>47</v>
      </c>
      <c r="D2999">
        <v>3100546</v>
      </c>
      <c r="E2999">
        <v>3100562</v>
      </c>
      <c r="F2999" t="s">
        <v>2188</v>
      </c>
      <c r="G2999" t="s">
        <v>2189</v>
      </c>
      <c r="H2999" t="s">
        <v>54</v>
      </c>
      <c r="I2999">
        <v>9924291</v>
      </c>
      <c r="J2999" s="12">
        <v>46123</v>
      </c>
      <c r="K2999" s="12">
        <v>46123</v>
      </c>
      <c r="L2999" s="12">
        <v>46155</v>
      </c>
      <c r="M2999">
        <v>-23</v>
      </c>
      <c r="N2999">
        <v>403222134</v>
      </c>
      <c r="O2999">
        <v>0</v>
      </c>
      <c r="P2999">
        <v>403222134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 t="s">
        <v>47</v>
      </c>
      <c r="AA2999" t="s">
        <v>501</v>
      </c>
      <c r="AB2999" t="s">
        <v>51</v>
      </c>
      <c r="AC2999" t="s">
        <v>51</v>
      </c>
      <c r="AD2999" t="s">
        <v>51</v>
      </c>
      <c r="AE2999" t="s">
        <v>2234</v>
      </c>
      <c r="AF2999" t="s">
        <v>334</v>
      </c>
    </row>
    <row r="3000" spans="1:32" ht="14.5" customHeight="1" x14ac:dyDescent="0.35">
      <c r="A3000" t="s">
        <v>73</v>
      </c>
      <c r="B3000" t="s">
        <v>2187</v>
      </c>
      <c r="C3000" t="s">
        <v>47</v>
      </c>
      <c r="D3000">
        <v>3100546</v>
      </c>
      <c r="E3000">
        <v>3100562</v>
      </c>
      <c r="F3000" t="s">
        <v>2188</v>
      </c>
      <c r="G3000" t="s">
        <v>2189</v>
      </c>
      <c r="H3000" t="s">
        <v>54</v>
      </c>
      <c r="I3000">
        <v>9924292</v>
      </c>
      <c r="J3000" s="12">
        <v>46123</v>
      </c>
      <c r="K3000" s="12">
        <v>46123</v>
      </c>
      <c r="L3000" s="12">
        <v>46155</v>
      </c>
      <c r="M3000">
        <v>-23</v>
      </c>
      <c r="N3000">
        <v>1645597</v>
      </c>
      <c r="O3000">
        <v>0</v>
      </c>
      <c r="P3000">
        <v>1645597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 t="s">
        <v>47</v>
      </c>
      <c r="AA3000" t="s">
        <v>501</v>
      </c>
      <c r="AB3000" t="s">
        <v>51</v>
      </c>
      <c r="AC3000" t="s">
        <v>51</v>
      </c>
      <c r="AD3000" t="s">
        <v>51</v>
      </c>
      <c r="AE3000" t="s">
        <v>1191</v>
      </c>
      <c r="AF3000" t="s">
        <v>163</v>
      </c>
    </row>
    <row r="3001" spans="1:32" ht="14.5" customHeight="1" x14ac:dyDescent="0.35">
      <c r="A3001" t="s">
        <v>73</v>
      </c>
      <c r="B3001" t="s">
        <v>2187</v>
      </c>
      <c r="C3001" t="s">
        <v>47</v>
      </c>
      <c r="D3001">
        <v>3100546</v>
      </c>
      <c r="E3001">
        <v>3100562</v>
      </c>
      <c r="F3001" t="s">
        <v>2188</v>
      </c>
      <c r="G3001" t="s">
        <v>2189</v>
      </c>
      <c r="H3001" t="s">
        <v>54</v>
      </c>
      <c r="I3001">
        <v>9924999</v>
      </c>
      <c r="J3001" s="12">
        <v>46126</v>
      </c>
      <c r="K3001" s="12">
        <v>46126</v>
      </c>
      <c r="L3001" s="12">
        <v>46158</v>
      </c>
      <c r="M3001">
        <v>-26</v>
      </c>
      <c r="N3001">
        <v>278450318</v>
      </c>
      <c r="O3001">
        <v>0</v>
      </c>
      <c r="P3001">
        <v>278450318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 t="s">
        <v>47</v>
      </c>
      <c r="AA3001" t="s">
        <v>501</v>
      </c>
      <c r="AB3001" t="s">
        <v>51</v>
      </c>
      <c r="AC3001" t="s">
        <v>51</v>
      </c>
      <c r="AD3001" t="s">
        <v>51</v>
      </c>
      <c r="AE3001" t="s">
        <v>2235</v>
      </c>
      <c r="AF3001" t="s">
        <v>62</v>
      </c>
    </row>
    <row r="3002" spans="1:32" ht="14.5" customHeight="1" x14ac:dyDescent="0.35">
      <c r="A3002" t="s">
        <v>73</v>
      </c>
      <c r="B3002" t="s">
        <v>2187</v>
      </c>
      <c r="C3002" t="s">
        <v>846</v>
      </c>
      <c r="D3002">
        <v>3100546</v>
      </c>
      <c r="E3002">
        <v>3101026</v>
      </c>
      <c r="F3002" t="s">
        <v>2188</v>
      </c>
      <c r="G3002" t="s">
        <v>2202</v>
      </c>
      <c r="H3002" t="s">
        <v>54</v>
      </c>
      <c r="I3002">
        <v>9925414</v>
      </c>
      <c r="J3002" s="12">
        <v>46126</v>
      </c>
      <c r="K3002" s="12">
        <v>46126</v>
      </c>
      <c r="L3002" s="12">
        <v>46158</v>
      </c>
      <c r="M3002">
        <v>-26</v>
      </c>
      <c r="N3002">
        <v>111957883</v>
      </c>
      <c r="O3002">
        <v>0</v>
      </c>
      <c r="P3002">
        <v>111957883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 t="s">
        <v>846</v>
      </c>
      <c r="AA3002" t="s">
        <v>501</v>
      </c>
      <c r="AB3002" t="s">
        <v>51</v>
      </c>
      <c r="AC3002" t="s">
        <v>51</v>
      </c>
      <c r="AD3002" t="s">
        <v>51</v>
      </c>
      <c r="AE3002" t="s">
        <v>2236</v>
      </c>
      <c r="AF3002" t="s">
        <v>195</v>
      </c>
    </row>
    <row r="3003" spans="1:32" ht="14.5" customHeight="1" x14ac:dyDescent="0.35">
      <c r="A3003" t="s">
        <v>73</v>
      </c>
      <c r="B3003" t="s">
        <v>2187</v>
      </c>
      <c r="C3003" t="s">
        <v>47</v>
      </c>
      <c r="D3003">
        <v>3100546</v>
      </c>
      <c r="E3003">
        <v>3100562</v>
      </c>
      <c r="F3003" t="s">
        <v>2188</v>
      </c>
      <c r="G3003" t="s">
        <v>2189</v>
      </c>
      <c r="H3003" t="s">
        <v>54</v>
      </c>
      <c r="I3003">
        <v>9925547</v>
      </c>
      <c r="J3003" s="12">
        <v>46126</v>
      </c>
      <c r="K3003" s="12">
        <v>46126</v>
      </c>
      <c r="L3003" s="12">
        <v>46158</v>
      </c>
      <c r="M3003">
        <v>-26</v>
      </c>
      <c r="N3003">
        <v>107133852</v>
      </c>
      <c r="O3003">
        <v>0</v>
      </c>
      <c r="P3003">
        <v>107133852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 t="s">
        <v>47</v>
      </c>
      <c r="AA3003" t="s">
        <v>501</v>
      </c>
      <c r="AB3003" t="s">
        <v>51</v>
      </c>
      <c r="AC3003" t="s">
        <v>51</v>
      </c>
      <c r="AD3003" t="s">
        <v>51</v>
      </c>
      <c r="AE3003" t="s">
        <v>2237</v>
      </c>
      <c r="AF3003" t="s">
        <v>62</v>
      </c>
    </row>
    <row r="3004" spans="1:32" ht="14.5" customHeight="1" x14ac:dyDescent="0.35">
      <c r="A3004" t="s">
        <v>73</v>
      </c>
      <c r="B3004" t="s">
        <v>2187</v>
      </c>
      <c r="C3004" t="s">
        <v>47</v>
      </c>
      <c r="D3004">
        <v>3100546</v>
      </c>
      <c r="E3004">
        <v>3100563</v>
      </c>
      <c r="F3004" t="s">
        <v>2188</v>
      </c>
      <c r="G3004" t="s">
        <v>2196</v>
      </c>
      <c r="H3004" t="s">
        <v>54</v>
      </c>
      <c r="I3004">
        <v>9925621</v>
      </c>
      <c r="J3004" s="12">
        <v>46127</v>
      </c>
      <c r="K3004" s="12">
        <v>46127</v>
      </c>
      <c r="L3004" s="12">
        <v>46159</v>
      </c>
      <c r="M3004">
        <v>-27</v>
      </c>
      <c r="N3004">
        <v>254280356</v>
      </c>
      <c r="O3004">
        <v>0</v>
      </c>
      <c r="P3004">
        <v>254280356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 t="s">
        <v>47</v>
      </c>
      <c r="AA3004" t="s">
        <v>501</v>
      </c>
      <c r="AB3004" t="s">
        <v>51</v>
      </c>
      <c r="AC3004" t="s">
        <v>51</v>
      </c>
      <c r="AD3004" t="s">
        <v>51</v>
      </c>
      <c r="AE3004" t="s">
        <v>2238</v>
      </c>
      <c r="AF3004" t="s">
        <v>62</v>
      </c>
    </row>
    <row r="3005" spans="1:32" ht="14.5" customHeight="1" x14ac:dyDescent="0.35">
      <c r="A3005" t="s">
        <v>73</v>
      </c>
      <c r="B3005" t="s">
        <v>2187</v>
      </c>
      <c r="C3005" t="s">
        <v>47</v>
      </c>
      <c r="D3005">
        <v>3100546</v>
      </c>
      <c r="E3005">
        <v>3100564</v>
      </c>
      <c r="F3005" t="s">
        <v>2188</v>
      </c>
      <c r="G3005" t="s">
        <v>2208</v>
      </c>
      <c r="H3005" t="s">
        <v>54</v>
      </c>
      <c r="I3005">
        <v>9926029</v>
      </c>
      <c r="J3005" s="12">
        <v>46127</v>
      </c>
      <c r="K3005" s="12">
        <v>46127</v>
      </c>
      <c r="L3005" s="12">
        <v>46159</v>
      </c>
      <c r="M3005">
        <v>-27</v>
      </c>
      <c r="N3005">
        <v>121890698</v>
      </c>
      <c r="O3005">
        <v>0</v>
      </c>
      <c r="P3005">
        <v>121890698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 t="s">
        <v>47</v>
      </c>
      <c r="AA3005" t="s">
        <v>501</v>
      </c>
      <c r="AB3005" t="s">
        <v>51</v>
      </c>
      <c r="AC3005" t="s">
        <v>51</v>
      </c>
      <c r="AD3005" t="s">
        <v>51</v>
      </c>
      <c r="AE3005" t="s">
        <v>2239</v>
      </c>
      <c r="AF3005" t="s">
        <v>932</v>
      </c>
    </row>
    <row r="3006" spans="1:32" ht="14.5" customHeight="1" x14ac:dyDescent="0.35">
      <c r="A3006" t="s">
        <v>73</v>
      </c>
      <c r="B3006" t="s">
        <v>2187</v>
      </c>
      <c r="C3006" t="s">
        <v>47</v>
      </c>
      <c r="D3006">
        <v>3100546</v>
      </c>
      <c r="E3006">
        <v>3100565</v>
      </c>
      <c r="F3006" t="s">
        <v>2188</v>
      </c>
      <c r="G3006" t="s">
        <v>2195</v>
      </c>
      <c r="H3006" t="s">
        <v>54</v>
      </c>
      <c r="I3006">
        <v>9926131</v>
      </c>
      <c r="J3006" s="12">
        <v>46127</v>
      </c>
      <c r="K3006" s="12">
        <v>46127</v>
      </c>
      <c r="L3006" s="12">
        <v>46159</v>
      </c>
      <c r="M3006">
        <v>-27</v>
      </c>
      <c r="N3006">
        <v>520239329</v>
      </c>
      <c r="O3006">
        <v>0</v>
      </c>
      <c r="P3006">
        <v>520239329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 t="s">
        <v>47</v>
      </c>
      <c r="AA3006" t="s">
        <v>501</v>
      </c>
      <c r="AB3006" t="s">
        <v>51</v>
      </c>
      <c r="AC3006" t="s">
        <v>51</v>
      </c>
      <c r="AD3006" t="s">
        <v>51</v>
      </c>
      <c r="AE3006" t="s">
        <v>2240</v>
      </c>
      <c r="AF3006" t="s">
        <v>189</v>
      </c>
    </row>
    <row r="3007" spans="1:32" ht="14.5" customHeight="1" x14ac:dyDescent="0.35">
      <c r="A3007" t="s">
        <v>73</v>
      </c>
      <c r="B3007" t="s">
        <v>2187</v>
      </c>
      <c r="C3007" t="s">
        <v>47</v>
      </c>
      <c r="D3007">
        <v>3100546</v>
      </c>
      <c r="E3007">
        <v>3100565</v>
      </c>
      <c r="F3007" t="s">
        <v>2188</v>
      </c>
      <c r="G3007" t="s">
        <v>2195</v>
      </c>
      <c r="H3007" t="s">
        <v>54</v>
      </c>
      <c r="I3007">
        <v>9926132</v>
      </c>
      <c r="J3007" s="12">
        <v>46127</v>
      </c>
      <c r="K3007" s="12">
        <v>46127</v>
      </c>
      <c r="L3007" s="12">
        <v>46159</v>
      </c>
      <c r="M3007">
        <v>-27</v>
      </c>
      <c r="N3007">
        <v>658239</v>
      </c>
      <c r="O3007">
        <v>0</v>
      </c>
      <c r="P3007">
        <v>658239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 t="s">
        <v>47</v>
      </c>
      <c r="AA3007" t="s">
        <v>501</v>
      </c>
      <c r="AB3007" t="s">
        <v>51</v>
      </c>
      <c r="AC3007" t="s">
        <v>51</v>
      </c>
      <c r="AD3007" t="s">
        <v>51</v>
      </c>
      <c r="AE3007" t="s">
        <v>1198</v>
      </c>
      <c r="AF3007" t="s">
        <v>163</v>
      </c>
    </row>
    <row r="3008" spans="1:32" ht="14.5" customHeight="1" x14ac:dyDescent="0.35">
      <c r="A3008" t="s">
        <v>73</v>
      </c>
      <c r="B3008" t="s">
        <v>2187</v>
      </c>
      <c r="C3008" t="s">
        <v>846</v>
      </c>
      <c r="D3008">
        <v>3100546</v>
      </c>
      <c r="E3008">
        <v>3101026</v>
      </c>
      <c r="F3008" t="s">
        <v>2188</v>
      </c>
      <c r="G3008" t="s">
        <v>2202</v>
      </c>
      <c r="H3008" t="s">
        <v>54</v>
      </c>
      <c r="I3008">
        <v>9927410</v>
      </c>
      <c r="J3008" s="12">
        <v>46130</v>
      </c>
      <c r="K3008" s="12">
        <v>46130</v>
      </c>
      <c r="L3008" s="12">
        <v>46162</v>
      </c>
      <c r="M3008">
        <v>-30</v>
      </c>
      <c r="N3008">
        <v>148840131</v>
      </c>
      <c r="O3008">
        <v>0</v>
      </c>
      <c r="P3008">
        <v>148840131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 t="s">
        <v>846</v>
      </c>
      <c r="AA3008" t="s">
        <v>501</v>
      </c>
      <c r="AB3008" t="s">
        <v>51</v>
      </c>
      <c r="AC3008" t="s">
        <v>51</v>
      </c>
      <c r="AD3008" t="s">
        <v>51</v>
      </c>
      <c r="AE3008" t="s">
        <v>2241</v>
      </c>
      <c r="AF3008" t="s">
        <v>69</v>
      </c>
    </row>
    <row r="3009" spans="1:32" ht="14.5" customHeight="1" x14ac:dyDescent="0.35">
      <c r="A3009" t="s">
        <v>73</v>
      </c>
      <c r="B3009" t="s">
        <v>2187</v>
      </c>
      <c r="C3009" t="s">
        <v>47</v>
      </c>
      <c r="D3009">
        <v>3100546</v>
      </c>
      <c r="E3009">
        <v>3100563</v>
      </c>
      <c r="F3009" t="s">
        <v>2188</v>
      </c>
      <c r="G3009" t="s">
        <v>2196</v>
      </c>
      <c r="H3009" t="s">
        <v>54</v>
      </c>
      <c r="I3009">
        <v>9927517</v>
      </c>
      <c r="J3009" s="12">
        <v>46131</v>
      </c>
      <c r="K3009" s="12">
        <v>46131</v>
      </c>
      <c r="L3009" s="12">
        <v>46163</v>
      </c>
      <c r="M3009">
        <v>-31</v>
      </c>
      <c r="N3009">
        <v>178380296</v>
      </c>
      <c r="O3009">
        <v>0</v>
      </c>
      <c r="P3009">
        <v>178380296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 t="s">
        <v>47</v>
      </c>
      <c r="AA3009" t="s">
        <v>501</v>
      </c>
      <c r="AB3009" t="s">
        <v>51</v>
      </c>
      <c r="AC3009" t="s">
        <v>51</v>
      </c>
      <c r="AD3009" t="s">
        <v>51</v>
      </c>
      <c r="AE3009" t="s">
        <v>2242</v>
      </c>
      <c r="AF3009" t="s">
        <v>1256</v>
      </c>
    </row>
    <row r="3010" spans="1:32" ht="14.5" customHeight="1" x14ac:dyDescent="0.35">
      <c r="A3010" t="s">
        <v>73</v>
      </c>
      <c r="B3010" t="s">
        <v>2187</v>
      </c>
      <c r="C3010" t="s">
        <v>47</v>
      </c>
      <c r="D3010">
        <v>3100556</v>
      </c>
      <c r="E3010">
        <v>3100565</v>
      </c>
      <c r="F3010" t="s">
        <v>2243</v>
      </c>
      <c r="G3010" t="s">
        <v>2195</v>
      </c>
      <c r="H3010" t="s">
        <v>111</v>
      </c>
      <c r="I3010">
        <v>6959471</v>
      </c>
      <c r="J3010" s="12">
        <v>46127</v>
      </c>
      <c r="K3010" s="12">
        <v>46127</v>
      </c>
      <c r="L3010" s="12">
        <v>46127</v>
      </c>
      <c r="M3010">
        <v>5</v>
      </c>
      <c r="N3010">
        <v>-186813</v>
      </c>
      <c r="O3010">
        <v>-186813</v>
      </c>
      <c r="P3010">
        <v>0</v>
      </c>
      <c r="Q3010">
        <v>-186813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 t="s">
        <v>47</v>
      </c>
      <c r="AA3010" t="s">
        <v>501</v>
      </c>
      <c r="AB3010" t="s">
        <v>51</v>
      </c>
      <c r="AC3010" t="s">
        <v>51</v>
      </c>
      <c r="AD3010" t="s">
        <v>51</v>
      </c>
      <c r="AE3010" t="s">
        <v>51</v>
      </c>
      <c r="AF3010" t="s">
        <v>530</v>
      </c>
    </row>
    <row r="3011" spans="1:32" ht="14.5" customHeight="1" x14ac:dyDescent="0.35">
      <c r="A3011" t="s">
        <v>774</v>
      </c>
      <c r="B3011" t="s">
        <v>775</v>
      </c>
      <c r="C3011" t="s">
        <v>47</v>
      </c>
      <c r="D3011">
        <v>3100557</v>
      </c>
      <c r="E3011">
        <v>3100557</v>
      </c>
      <c r="F3011" t="s">
        <v>2244</v>
      </c>
      <c r="G3011" t="s">
        <v>2244</v>
      </c>
      <c r="H3011" t="s">
        <v>54</v>
      </c>
      <c r="I3011">
        <v>6958970</v>
      </c>
      <c r="J3011" s="12">
        <v>46125</v>
      </c>
      <c r="K3011" s="12">
        <v>46125</v>
      </c>
      <c r="L3011" s="12">
        <v>46125</v>
      </c>
      <c r="M3011">
        <v>7</v>
      </c>
      <c r="N3011">
        <v>-888250</v>
      </c>
      <c r="O3011">
        <v>-888250</v>
      </c>
      <c r="P3011">
        <v>0</v>
      </c>
      <c r="Q3011">
        <v>-888250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 t="s">
        <v>47</v>
      </c>
      <c r="AA3011" t="s">
        <v>76</v>
      </c>
      <c r="AB3011" t="s">
        <v>51</v>
      </c>
      <c r="AC3011" t="s">
        <v>51</v>
      </c>
      <c r="AD3011" t="s">
        <v>51</v>
      </c>
      <c r="AE3011" t="s">
        <v>51</v>
      </c>
      <c r="AF3011" t="s">
        <v>2245</v>
      </c>
    </row>
    <row r="3012" spans="1:32" ht="14.5" customHeight="1" x14ac:dyDescent="0.35">
      <c r="A3012" t="s">
        <v>774</v>
      </c>
      <c r="B3012" t="s">
        <v>775</v>
      </c>
      <c r="C3012" t="s">
        <v>47</v>
      </c>
      <c r="D3012">
        <v>3100557</v>
      </c>
      <c r="E3012">
        <v>3100557</v>
      </c>
      <c r="F3012" t="s">
        <v>2244</v>
      </c>
      <c r="G3012" t="s">
        <v>2244</v>
      </c>
      <c r="H3012" t="s">
        <v>54</v>
      </c>
      <c r="I3012">
        <v>6958971</v>
      </c>
      <c r="J3012" s="12">
        <v>46125</v>
      </c>
      <c r="K3012" s="12">
        <v>46125</v>
      </c>
      <c r="L3012" s="12">
        <v>46125</v>
      </c>
      <c r="M3012">
        <v>7</v>
      </c>
      <c r="N3012">
        <v>-1028500</v>
      </c>
      <c r="O3012">
        <v>-1028500</v>
      </c>
      <c r="P3012">
        <v>0</v>
      </c>
      <c r="Q3012">
        <v>-1028500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 t="s">
        <v>47</v>
      </c>
      <c r="AA3012" t="s">
        <v>76</v>
      </c>
      <c r="AB3012" t="s">
        <v>51</v>
      </c>
      <c r="AC3012" t="s">
        <v>51</v>
      </c>
      <c r="AD3012" t="s">
        <v>51</v>
      </c>
      <c r="AE3012" t="s">
        <v>51</v>
      </c>
      <c r="AF3012" t="s">
        <v>2246</v>
      </c>
    </row>
    <row r="3013" spans="1:32" ht="14.5" customHeight="1" x14ac:dyDescent="0.35">
      <c r="A3013" t="s">
        <v>774</v>
      </c>
      <c r="B3013" t="s">
        <v>775</v>
      </c>
      <c r="C3013" t="s">
        <v>47</v>
      </c>
      <c r="D3013">
        <v>3100557</v>
      </c>
      <c r="E3013">
        <v>3100557</v>
      </c>
      <c r="F3013" t="s">
        <v>2244</v>
      </c>
      <c r="G3013" t="s">
        <v>2244</v>
      </c>
      <c r="H3013" t="s">
        <v>54</v>
      </c>
      <c r="I3013">
        <v>6958972</v>
      </c>
      <c r="J3013" s="12">
        <v>46125</v>
      </c>
      <c r="K3013" s="12">
        <v>46125</v>
      </c>
      <c r="L3013" s="12">
        <v>46125</v>
      </c>
      <c r="M3013">
        <v>7</v>
      </c>
      <c r="N3013">
        <v>-3923739</v>
      </c>
      <c r="O3013">
        <v>-3923739</v>
      </c>
      <c r="P3013">
        <v>0</v>
      </c>
      <c r="Q3013">
        <v>-3923739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 t="s">
        <v>47</v>
      </c>
      <c r="AA3013" t="s">
        <v>76</v>
      </c>
      <c r="AB3013" t="s">
        <v>51</v>
      </c>
      <c r="AC3013" t="s">
        <v>51</v>
      </c>
      <c r="AD3013" t="s">
        <v>51</v>
      </c>
      <c r="AE3013" t="s">
        <v>51</v>
      </c>
      <c r="AF3013" t="s">
        <v>2245</v>
      </c>
    </row>
    <row r="3014" spans="1:32" ht="14.5" customHeight="1" x14ac:dyDescent="0.35">
      <c r="A3014" t="s">
        <v>774</v>
      </c>
      <c r="B3014" t="s">
        <v>775</v>
      </c>
      <c r="C3014" t="s">
        <v>47</v>
      </c>
      <c r="D3014">
        <v>3100557</v>
      </c>
      <c r="E3014">
        <v>3100557</v>
      </c>
      <c r="F3014" t="s">
        <v>2244</v>
      </c>
      <c r="G3014" t="s">
        <v>2244</v>
      </c>
      <c r="H3014" t="s">
        <v>54</v>
      </c>
      <c r="I3014">
        <v>6959029</v>
      </c>
      <c r="J3014" s="12">
        <v>46125</v>
      </c>
      <c r="K3014" s="12">
        <v>46125</v>
      </c>
      <c r="L3014" s="12">
        <v>46125</v>
      </c>
      <c r="M3014">
        <v>7</v>
      </c>
      <c r="N3014">
        <v>-882000</v>
      </c>
      <c r="O3014">
        <v>-882000</v>
      </c>
      <c r="P3014">
        <v>0</v>
      </c>
      <c r="Q3014">
        <v>-882000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 t="s">
        <v>47</v>
      </c>
      <c r="AA3014" t="s">
        <v>76</v>
      </c>
      <c r="AB3014" t="s">
        <v>51</v>
      </c>
      <c r="AC3014" t="s">
        <v>51</v>
      </c>
      <c r="AD3014" t="s">
        <v>51</v>
      </c>
      <c r="AE3014" t="s">
        <v>51</v>
      </c>
      <c r="AF3014" t="s">
        <v>2247</v>
      </c>
    </row>
    <row r="3015" spans="1:32" ht="14.5" customHeight="1" x14ac:dyDescent="0.35">
      <c r="A3015" t="s">
        <v>774</v>
      </c>
      <c r="B3015" t="s">
        <v>775</v>
      </c>
      <c r="C3015" t="s">
        <v>47</v>
      </c>
      <c r="D3015">
        <v>3100557</v>
      </c>
      <c r="E3015">
        <v>3100557</v>
      </c>
      <c r="F3015" t="s">
        <v>2244</v>
      </c>
      <c r="G3015" t="s">
        <v>2244</v>
      </c>
      <c r="H3015" t="s">
        <v>54</v>
      </c>
      <c r="I3015">
        <v>6959176</v>
      </c>
      <c r="J3015" s="12">
        <v>46126</v>
      </c>
      <c r="K3015" s="12">
        <v>46126</v>
      </c>
      <c r="L3015" s="12">
        <v>46126</v>
      </c>
      <c r="M3015">
        <v>6</v>
      </c>
      <c r="N3015">
        <v>-496594</v>
      </c>
      <c r="O3015">
        <v>-496594</v>
      </c>
      <c r="P3015">
        <v>0</v>
      </c>
      <c r="Q3015">
        <v>-496594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 t="s">
        <v>47</v>
      </c>
      <c r="AA3015" t="s">
        <v>76</v>
      </c>
      <c r="AB3015" t="s">
        <v>51</v>
      </c>
      <c r="AC3015" t="s">
        <v>51</v>
      </c>
      <c r="AD3015" t="s">
        <v>51</v>
      </c>
      <c r="AE3015" t="s">
        <v>51</v>
      </c>
      <c r="AF3015" t="s">
        <v>2248</v>
      </c>
    </row>
    <row r="3016" spans="1:32" ht="14.5" customHeight="1" x14ac:dyDescent="0.35">
      <c r="A3016" t="s">
        <v>774</v>
      </c>
      <c r="B3016" t="s">
        <v>775</v>
      </c>
      <c r="C3016" t="s">
        <v>47</v>
      </c>
      <c r="D3016">
        <v>3100557</v>
      </c>
      <c r="E3016">
        <v>3100557</v>
      </c>
      <c r="F3016" t="s">
        <v>2244</v>
      </c>
      <c r="G3016" t="s">
        <v>2244</v>
      </c>
      <c r="H3016" t="s">
        <v>54</v>
      </c>
      <c r="I3016">
        <v>6959422</v>
      </c>
      <c r="J3016" s="12">
        <v>46127</v>
      </c>
      <c r="K3016" s="12">
        <v>46127</v>
      </c>
      <c r="L3016" s="12">
        <v>46127</v>
      </c>
      <c r="M3016">
        <v>5</v>
      </c>
      <c r="N3016">
        <v>-1470000</v>
      </c>
      <c r="O3016">
        <v>-1470000</v>
      </c>
      <c r="P3016">
        <v>0</v>
      </c>
      <c r="Q3016">
        <v>-1470000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 t="s">
        <v>47</v>
      </c>
      <c r="AA3016" t="s">
        <v>76</v>
      </c>
      <c r="AB3016" t="s">
        <v>51</v>
      </c>
      <c r="AC3016" t="s">
        <v>51</v>
      </c>
      <c r="AD3016" t="s">
        <v>51</v>
      </c>
      <c r="AE3016" t="s">
        <v>51</v>
      </c>
      <c r="AF3016" t="s">
        <v>2249</v>
      </c>
    </row>
    <row r="3017" spans="1:32" ht="14.5" customHeight="1" x14ac:dyDescent="0.35">
      <c r="A3017" t="s">
        <v>774</v>
      </c>
      <c r="B3017" t="s">
        <v>775</v>
      </c>
      <c r="C3017" t="s">
        <v>47</v>
      </c>
      <c r="D3017">
        <v>3100557</v>
      </c>
      <c r="E3017">
        <v>3100557</v>
      </c>
      <c r="F3017" t="s">
        <v>2244</v>
      </c>
      <c r="G3017" t="s">
        <v>2244</v>
      </c>
      <c r="H3017" t="s">
        <v>54</v>
      </c>
      <c r="I3017">
        <v>6959436</v>
      </c>
      <c r="J3017" s="12">
        <v>46127</v>
      </c>
      <c r="K3017" s="12">
        <v>46127</v>
      </c>
      <c r="L3017" s="12">
        <v>46127</v>
      </c>
      <c r="M3017">
        <v>5</v>
      </c>
      <c r="N3017">
        <v>-16350000</v>
      </c>
      <c r="O3017">
        <v>-16350000</v>
      </c>
      <c r="P3017">
        <v>0</v>
      </c>
      <c r="Q3017">
        <v>-16350000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 t="s">
        <v>47</v>
      </c>
      <c r="AA3017" t="s">
        <v>76</v>
      </c>
      <c r="AB3017" t="s">
        <v>51</v>
      </c>
      <c r="AC3017" t="s">
        <v>51</v>
      </c>
      <c r="AD3017" t="s">
        <v>51</v>
      </c>
      <c r="AE3017" t="s">
        <v>51</v>
      </c>
      <c r="AF3017" t="s">
        <v>2250</v>
      </c>
    </row>
    <row r="3018" spans="1:32" ht="14.5" customHeight="1" x14ac:dyDescent="0.35">
      <c r="A3018" t="s">
        <v>774</v>
      </c>
      <c r="B3018" t="s">
        <v>775</v>
      </c>
      <c r="C3018" t="s">
        <v>47</v>
      </c>
      <c r="D3018">
        <v>3100557</v>
      </c>
      <c r="E3018">
        <v>3100557</v>
      </c>
      <c r="F3018" t="s">
        <v>2244</v>
      </c>
      <c r="G3018" t="s">
        <v>2244</v>
      </c>
      <c r="H3018" t="s">
        <v>54</v>
      </c>
      <c r="I3018">
        <v>6959437</v>
      </c>
      <c r="J3018" s="12">
        <v>46127</v>
      </c>
      <c r="K3018" s="12">
        <v>46127</v>
      </c>
      <c r="L3018" s="12">
        <v>46127</v>
      </c>
      <c r="M3018">
        <v>5</v>
      </c>
      <c r="N3018">
        <v>-456011</v>
      </c>
      <c r="O3018">
        <v>-456011</v>
      </c>
      <c r="P3018">
        <v>0</v>
      </c>
      <c r="Q3018">
        <v>-456011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 t="s">
        <v>47</v>
      </c>
      <c r="AA3018" t="s">
        <v>76</v>
      </c>
      <c r="AB3018" t="s">
        <v>51</v>
      </c>
      <c r="AC3018" t="s">
        <v>51</v>
      </c>
      <c r="AD3018" t="s">
        <v>51</v>
      </c>
      <c r="AE3018" t="s">
        <v>51</v>
      </c>
      <c r="AF3018" t="s">
        <v>2251</v>
      </c>
    </row>
    <row r="3019" spans="1:32" ht="14.5" customHeight="1" x14ac:dyDescent="0.35">
      <c r="A3019" t="s">
        <v>774</v>
      </c>
      <c r="B3019" t="s">
        <v>775</v>
      </c>
      <c r="C3019" t="s">
        <v>47</v>
      </c>
      <c r="D3019">
        <v>3100557</v>
      </c>
      <c r="E3019">
        <v>3100557</v>
      </c>
      <c r="F3019" t="s">
        <v>2244</v>
      </c>
      <c r="G3019" t="s">
        <v>2244</v>
      </c>
      <c r="H3019" t="s">
        <v>54</v>
      </c>
      <c r="I3019">
        <v>6959672</v>
      </c>
      <c r="J3019" s="12">
        <v>46128</v>
      </c>
      <c r="K3019" s="12">
        <v>46128</v>
      </c>
      <c r="L3019" s="12">
        <v>46128</v>
      </c>
      <c r="M3019">
        <v>4</v>
      </c>
      <c r="N3019">
        <v>-16350000</v>
      </c>
      <c r="O3019">
        <v>-16350000</v>
      </c>
      <c r="P3019">
        <v>0</v>
      </c>
      <c r="Q3019">
        <v>-16350000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 t="s">
        <v>47</v>
      </c>
      <c r="AA3019" t="s">
        <v>76</v>
      </c>
      <c r="AB3019" t="s">
        <v>51</v>
      </c>
      <c r="AC3019" t="s">
        <v>51</v>
      </c>
      <c r="AD3019" t="s">
        <v>51</v>
      </c>
      <c r="AE3019" t="s">
        <v>51</v>
      </c>
      <c r="AF3019" t="s">
        <v>2252</v>
      </c>
    </row>
    <row r="3020" spans="1:32" ht="14.5" customHeight="1" x14ac:dyDescent="0.35">
      <c r="A3020" t="s">
        <v>774</v>
      </c>
      <c r="B3020" t="s">
        <v>775</v>
      </c>
      <c r="C3020" t="s">
        <v>47</v>
      </c>
      <c r="D3020">
        <v>3100557</v>
      </c>
      <c r="E3020">
        <v>3100557</v>
      </c>
      <c r="F3020" t="s">
        <v>2244</v>
      </c>
      <c r="G3020" t="s">
        <v>2244</v>
      </c>
      <c r="H3020" t="s">
        <v>54</v>
      </c>
      <c r="I3020">
        <v>6959673</v>
      </c>
      <c r="J3020" s="12">
        <v>46128</v>
      </c>
      <c r="K3020" s="12">
        <v>46128</v>
      </c>
      <c r="L3020" s="12">
        <v>46128</v>
      </c>
      <c r="M3020">
        <v>4</v>
      </c>
      <c r="N3020">
        <v>-16350000</v>
      </c>
      <c r="O3020">
        <v>-16350000</v>
      </c>
      <c r="P3020">
        <v>0</v>
      </c>
      <c r="Q3020">
        <v>-16350000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 t="s">
        <v>47</v>
      </c>
      <c r="AA3020" t="s">
        <v>76</v>
      </c>
      <c r="AB3020" t="s">
        <v>51</v>
      </c>
      <c r="AC3020" t="s">
        <v>51</v>
      </c>
      <c r="AD3020" t="s">
        <v>51</v>
      </c>
      <c r="AE3020" t="s">
        <v>51</v>
      </c>
      <c r="AF3020" t="s">
        <v>2253</v>
      </c>
    </row>
    <row r="3021" spans="1:32" ht="14.5" customHeight="1" x14ac:dyDescent="0.35">
      <c r="A3021" t="s">
        <v>774</v>
      </c>
      <c r="B3021" t="s">
        <v>775</v>
      </c>
      <c r="C3021" t="s">
        <v>47</v>
      </c>
      <c r="D3021">
        <v>3100557</v>
      </c>
      <c r="E3021">
        <v>3100557</v>
      </c>
      <c r="F3021" t="s">
        <v>2244</v>
      </c>
      <c r="G3021" t="s">
        <v>2244</v>
      </c>
      <c r="H3021" t="s">
        <v>54</v>
      </c>
      <c r="I3021">
        <v>9915596</v>
      </c>
      <c r="J3021" s="12">
        <v>46096</v>
      </c>
      <c r="K3021" s="12">
        <v>46096</v>
      </c>
      <c r="L3021" s="12">
        <v>46132</v>
      </c>
      <c r="M3021">
        <v>0</v>
      </c>
      <c r="N3021">
        <v>176556846</v>
      </c>
      <c r="O3021">
        <v>0</v>
      </c>
      <c r="P3021">
        <v>176556846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 t="s">
        <v>47</v>
      </c>
      <c r="AA3021" t="s">
        <v>76</v>
      </c>
      <c r="AB3021" t="s">
        <v>2254</v>
      </c>
      <c r="AC3021" t="s">
        <v>51</v>
      </c>
      <c r="AD3021" t="s">
        <v>51</v>
      </c>
      <c r="AE3021" t="s">
        <v>51</v>
      </c>
      <c r="AF3021" t="s">
        <v>530</v>
      </c>
    </row>
    <row r="3022" spans="1:32" ht="14.5" customHeight="1" x14ac:dyDescent="0.35">
      <c r="A3022" t="s">
        <v>774</v>
      </c>
      <c r="B3022" t="s">
        <v>775</v>
      </c>
      <c r="C3022" t="s">
        <v>47</v>
      </c>
      <c r="D3022">
        <v>3100557</v>
      </c>
      <c r="E3022">
        <v>3100557</v>
      </c>
      <c r="F3022" t="s">
        <v>2244</v>
      </c>
      <c r="G3022" t="s">
        <v>2244</v>
      </c>
      <c r="H3022" t="s">
        <v>54</v>
      </c>
      <c r="I3022">
        <v>9915598</v>
      </c>
      <c r="J3022" s="12">
        <v>46096</v>
      </c>
      <c r="K3022" s="12">
        <v>46096</v>
      </c>
      <c r="L3022" s="12">
        <v>46132</v>
      </c>
      <c r="M3022">
        <v>0</v>
      </c>
      <c r="N3022">
        <v>183743584</v>
      </c>
      <c r="O3022">
        <v>0</v>
      </c>
      <c r="P3022">
        <v>183743584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 t="s">
        <v>47</v>
      </c>
      <c r="AA3022" t="s">
        <v>76</v>
      </c>
      <c r="AB3022" t="s">
        <v>2255</v>
      </c>
      <c r="AC3022" t="s">
        <v>51</v>
      </c>
      <c r="AD3022" t="s">
        <v>51</v>
      </c>
      <c r="AE3022" t="s">
        <v>51</v>
      </c>
      <c r="AF3022" t="s">
        <v>1168</v>
      </c>
    </row>
    <row r="3023" spans="1:32" ht="14.5" customHeight="1" x14ac:dyDescent="0.35">
      <c r="A3023" t="s">
        <v>774</v>
      </c>
      <c r="B3023" t="s">
        <v>775</v>
      </c>
      <c r="C3023" t="s">
        <v>47</v>
      </c>
      <c r="D3023">
        <v>3100557</v>
      </c>
      <c r="E3023">
        <v>3100557</v>
      </c>
      <c r="F3023" t="s">
        <v>2244</v>
      </c>
      <c r="G3023" t="s">
        <v>2244</v>
      </c>
      <c r="H3023" t="s">
        <v>140</v>
      </c>
      <c r="I3023">
        <v>9917033</v>
      </c>
      <c r="J3023" s="12">
        <v>46099</v>
      </c>
      <c r="K3023" s="12">
        <v>46099</v>
      </c>
      <c r="L3023" s="12">
        <v>46134</v>
      </c>
      <c r="M3023">
        <v>-2</v>
      </c>
      <c r="N3023">
        <v>54803</v>
      </c>
      <c r="O3023">
        <v>0</v>
      </c>
      <c r="P3023">
        <v>54803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 t="s">
        <v>47</v>
      </c>
      <c r="AA3023" t="s">
        <v>76</v>
      </c>
      <c r="AB3023" t="s">
        <v>51</v>
      </c>
      <c r="AC3023" t="s">
        <v>2256</v>
      </c>
      <c r="AD3023" t="s">
        <v>51</v>
      </c>
      <c r="AE3023" t="s">
        <v>51</v>
      </c>
      <c r="AF3023" t="s">
        <v>461</v>
      </c>
    </row>
    <row r="3024" spans="1:32" ht="14.5" customHeight="1" x14ac:dyDescent="0.35">
      <c r="A3024" t="s">
        <v>774</v>
      </c>
      <c r="B3024" t="s">
        <v>775</v>
      </c>
      <c r="C3024" t="s">
        <v>47</v>
      </c>
      <c r="D3024">
        <v>3100557</v>
      </c>
      <c r="E3024">
        <v>3100557</v>
      </c>
      <c r="F3024" t="s">
        <v>2244</v>
      </c>
      <c r="G3024" t="s">
        <v>2244</v>
      </c>
      <c r="H3024" t="s">
        <v>54</v>
      </c>
      <c r="I3024">
        <v>9922196</v>
      </c>
      <c r="J3024" s="12">
        <v>46116</v>
      </c>
      <c r="K3024" s="12">
        <v>46116</v>
      </c>
      <c r="L3024" s="12">
        <v>46152</v>
      </c>
      <c r="M3024">
        <v>-20</v>
      </c>
      <c r="N3024">
        <v>294924633</v>
      </c>
      <c r="O3024">
        <v>0</v>
      </c>
      <c r="P3024">
        <v>294924633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 t="s">
        <v>47</v>
      </c>
      <c r="AA3024" t="s">
        <v>76</v>
      </c>
      <c r="AB3024" t="s">
        <v>51</v>
      </c>
      <c r="AC3024" t="s">
        <v>51</v>
      </c>
      <c r="AD3024" t="s">
        <v>51</v>
      </c>
      <c r="AE3024" t="s">
        <v>2257</v>
      </c>
      <c r="AF3024" t="s">
        <v>153</v>
      </c>
    </row>
    <row r="3025" spans="1:32" ht="14.5" customHeight="1" x14ac:dyDescent="0.35">
      <c r="A3025" t="s">
        <v>774</v>
      </c>
      <c r="B3025" t="s">
        <v>775</v>
      </c>
      <c r="C3025" t="s">
        <v>47</v>
      </c>
      <c r="D3025">
        <v>3100557</v>
      </c>
      <c r="E3025">
        <v>3100557</v>
      </c>
      <c r="F3025" t="s">
        <v>2244</v>
      </c>
      <c r="G3025" t="s">
        <v>2244</v>
      </c>
      <c r="H3025" t="s">
        <v>54</v>
      </c>
      <c r="I3025">
        <v>9924265</v>
      </c>
      <c r="J3025" s="12">
        <v>46123</v>
      </c>
      <c r="K3025" s="12">
        <v>46123</v>
      </c>
      <c r="L3025" s="12">
        <v>46159</v>
      </c>
      <c r="M3025">
        <v>-27</v>
      </c>
      <c r="N3025">
        <v>987358</v>
      </c>
      <c r="O3025">
        <v>0</v>
      </c>
      <c r="P3025">
        <v>987358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 t="s">
        <v>47</v>
      </c>
      <c r="AA3025" t="s">
        <v>76</v>
      </c>
      <c r="AB3025" t="s">
        <v>51</v>
      </c>
      <c r="AC3025" t="s">
        <v>51</v>
      </c>
      <c r="AD3025" t="s">
        <v>51</v>
      </c>
      <c r="AE3025" t="s">
        <v>848</v>
      </c>
      <c r="AF3025" t="s">
        <v>163</v>
      </c>
    </row>
    <row r="3026" spans="1:32" ht="14.5" customHeight="1" x14ac:dyDescent="0.35">
      <c r="A3026" t="s">
        <v>774</v>
      </c>
      <c r="B3026" t="s">
        <v>775</v>
      </c>
      <c r="C3026" t="s">
        <v>47</v>
      </c>
      <c r="D3026">
        <v>3100557</v>
      </c>
      <c r="E3026">
        <v>3100557</v>
      </c>
      <c r="F3026" t="s">
        <v>2244</v>
      </c>
      <c r="G3026" t="s">
        <v>2244</v>
      </c>
      <c r="H3026" t="s">
        <v>54</v>
      </c>
      <c r="I3026">
        <v>9924277</v>
      </c>
      <c r="J3026" s="12">
        <v>46123</v>
      </c>
      <c r="K3026" s="12">
        <v>46123</v>
      </c>
      <c r="L3026" s="12">
        <v>46159</v>
      </c>
      <c r="M3026">
        <v>-27</v>
      </c>
      <c r="N3026">
        <v>156616553</v>
      </c>
      <c r="O3026">
        <v>0</v>
      </c>
      <c r="P3026">
        <v>156616553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 t="s">
        <v>47</v>
      </c>
      <c r="AA3026" t="s">
        <v>76</v>
      </c>
      <c r="AB3026" t="s">
        <v>51</v>
      </c>
      <c r="AC3026" t="s">
        <v>51</v>
      </c>
      <c r="AD3026" t="s">
        <v>51</v>
      </c>
      <c r="AE3026" t="s">
        <v>2258</v>
      </c>
      <c r="AF3026" t="s">
        <v>165</v>
      </c>
    </row>
    <row r="3027" spans="1:32" ht="14.5" customHeight="1" x14ac:dyDescent="0.35">
      <c r="A3027" t="s">
        <v>774</v>
      </c>
      <c r="B3027" t="s">
        <v>775</v>
      </c>
      <c r="C3027" t="s">
        <v>47</v>
      </c>
      <c r="D3027">
        <v>3100557</v>
      </c>
      <c r="E3027">
        <v>3100557</v>
      </c>
      <c r="F3027" t="s">
        <v>2244</v>
      </c>
      <c r="G3027" t="s">
        <v>2244</v>
      </c>
      <c r="H3027" t="s">
        <v>54</v>
      </c>
      <c r="I3027">
        <v>9927490</v>
      </c>
      <c r="J3027" s="12">
        <v>46130</v>
      </c>
      <c r="K3027" s="12">
        <v>46130</v>
      </c>
      <c r="L3027" s="12">
        <v>46166</v>
      </c>
      <c r="M3027">
        <v>-34</v>
      </c>
      <c r="N3027">
        <v>409568315</v>
      </c>
      <c r="O3027">
        <v>0</v>
      </c>
      <c r="P3027">
        <v>409568315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 t="s">
        <v>47</v>
      </c>
      <c r="AA3027" t="s">
        <v>76</v>
      </c>
      <c r="AB3027" t="s">
        <v>51</v>
      </c>
      <c r="AC3027" t="s">
        <v>51</v>
      </c>
      <c r="AD3027" t="s">
        <v>51</v>
      </c>
      <c r="AE3027" t="s">
        <v>2259</v>
      </c>
      <c r="AF3027" t="s">
        <v>1396</v>
      </c>
    </row>
    <row r="3028" spans="1:32" ht="14.5" customHeight="1" x14ac:dyDescent="0.35">
      <c r="A3028" t="s">
        <v>498</v>
      </c>
      <c r="B3028" t="s">
        <v>968</v>
      </c>
      <c r="C3028" t="s">
        <v>47</v>
      </c>
      <c r="D3028">
        <v>3100561</v>
      </c>
      <c r="E3028">
        <v>3100586</v>
      </c>
      <c r="F3028" t="s">
        <v>2260</v>
      </c>
      <c r="G3028" t="s">
        <v>2260</v>
      </c>
      <c r="H3028" t="s">
        <v>54</v>
      </c>
      <c r="I3028">
        <v>6955569</v>
      </c>
      <c r="J3028" s="12">
        <v>46095</v>
      </c>
      <c r="K3028" s="12">
        <v>46095</v>
      </c>
      <c r="L3028" s="12">
        <v>46095</v>
      </c>
      <c r="M3028">
        <v>37</v>
      </c>
      <c r="N3028">
        <v>-4571999</v>
      </c>
      <c r="O3028">
        <v>-4571999</v>
      </c>
      <c r="P3028">
        <v>0</v>
      </c>
      <c r="Q3028">
        <v>0</v>
      </c>
      <c r="R3028">
        <v>-4571999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 t="s">
        <v>47</v>
      </c>
      <c r="AA3028" t="s">
        <v>2113</v>
      </c>
      <c r="AB3028" t="s">
        <v>51</v>
      </c>
      <c r="AC3028" t="s">
        <v>51</v>
      </c>
      <c r="AD3028" t="s">
        <v>51</v>
      </c>
      <c r="AE3028" t="s">
        <v>51</v>
      </c>
      <c r="AF3028" t="s">
        <v>309</v>
      </c>
    </row>
    <row r="3029" spans="1:32" ht="14.5" customHeight="1" x14ac:dyDescent="0.35">
      <c r="A3029" t="s">
        <v>498</v>
      </c>
      <c r="B3029" t="s">
        <v>968</v>
      </c>
      <c r="C3029" t="s">
        <v>47</v>
      </c>
      <c r="D3029">
        <v>3100561</v>
      </c>
      <c r="E3029">
        <v>3100586</v>
      </c>
      <c r="F3029" t="s">
        <v>2260</v>
      </c>
      <c r="G3029" t="s">
        <v>2260</v>
      </c>
      <c r="H3029" t="s">
        <v>54</v>
      </c>
      <c r="I3029">
        <v>6957748</v>
      </c>
      <c r="J3029" s="12">
        <v>46112</v>
      </c>
      <c r="K3029" s="12">
        <v>46112</v>
      </c>
      <c r="L3029" s="12">
        <v>46112</v>
      </c>
      <c r="M3029">
        <v>20</v>
      </c>
      <c r="N3029">
        <v>-242489</v>
      </c>
      <c r="O3029">
        <v>-242489</v>
      </c>
      <c r="P3029">
        <v>0</v>
      </c>
      <c r="Q3029">
        <v>-242489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 t="s">
        <v>47</v>
      </c>
      <c r="AA3029" t="s">
        <v>2113</v>
      </c>
      <c r="AB3029" t="s">
        <v>51</v>
      </c>
      <c r="AC3029" t="s">
        <v>51</v>
      </c>
      <c r="AD3029" t="s">
        <v>51</v>
      </c>
      <c r="AE3029" t="s">
        <v>51</v>
      </c>
      <c r="AF3029" t="s">
        <v>2261</v>
      </c>
    </row>
    <row r="3030" spans="1:32" ht="14.5" customHeight="1" x14ac:dyDescent="0.35">
      <c r="A3030" t="s">
        <v>498</v>
      </c>
      <c r="B3030" t="s">
        <v>968</v>
      </c>
      <c r="C3030" t="s">
        <v>47</v>
      </c>
      <c r="D3030">
        <v>3100561</v>
      </c>
      <c r="E3030">
        <v>3100586</v>
      </c>
      <c r="F3030" t="s">
        <v>2260</v>
      </c>
      <c r="G3030" t="s">
        <v>2260</v>
      </c>
      <c r="H3030" t="s">
        <v>54</v>
      </c>
      <c r="I3030">
        <v>6959189</v>
      </c>
      <c r="J3030" s="12">
        <v>46126</v>
      </c>
      <c r="K3030" s="12">
        <v>46126</v>
      </c>
      <c r="L3030" s="12">
        <v>46126</v>
      </c>
      <c r="M3030">
        <v>6</v>
      </c>
      <c r="N3030">
        <v>-616250</v>
      </c>
      <c r="O3030">
        <v>-616250</v>
      </c>
      <c r="P3030">
        <v>0</v>
      </c>
      <c r="Q3030">
        <v>-616250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 t="s">
        <v>47</v>
      </c>
      <c r="AA3030" t="s">
        <v>2113</v>
      </c>
      <c r="AB3030" t="s">
        <v>51</v>
      </c>
      <c r="AC3030" t="s">
        <v>51</v>
      </c>
      <c r="AD3030" t="s">
        <v>51</v>
      </c>
      <c r="AE3030" t="s">
        <v>51</v>
      </c>
      <c r="AF3030" t="s">
        <v>2262</v>
      </c>
    </row>
    <row r="3031" spans="1:32" ht="14.5" customHeight="1" x14ac:dyDescent="0.35">
      <c r="A3031" t="s">
        <v>498</v>
      </c>
      <c r="B3031" t="s">
        <v>968</v>
      </c>
      <c r="C3031" t="s">
        <v>47</v>
      </c>
      <c r="D3031">
        <v>3100561</v>
      </c>
      <c r="E3031">
        <v>3100586</v>
      </c>
      <c r="F3031" t="s">
        <v>2260</v>
      </c>
      <c r="G3031" t="s">
        <v>2260</v>
      </c>
      <c r="H3031" t="s">
        <v>54</v>
      </c>
      <c r="I3031">
        <v>6960235</v>
      </c>
      <c r="J3031" s="12">
        <v>46130</v>
      </c>
      <c r="K3031" s="12">
        <v>46130</v>
      </c>
      <c r="L3031" s="12">
        <v>46130</v>
      </c>
      <c r="M3031">
        <v>2</v>
      </c>
      <c r="N3031">
        <v>-13879123</v>
      </c>
      <c r="O3031">
        <v>-13879123</v>
      </c>
      <c r="P3031">
        <v>0</v>
      </c>
      <c r="Q3031">
        <v>-13879123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 t="s">
        <v>47</v>
      </c>
      <c r="AA3031" t="s">
        <v>2113</v>
      </c>
      <c r="AB3031" t="s">
        <v>51</v>
      </c>
      <c r="AC3031" t="s">
        <v>51</v>
      </c>
      <c r="AD3031" t="s">
        <v>51</v>
      </c>
      <c r="AE3031" t="s">
        <v>51</v>
      </c>
      <c r="AF3031" t="s">
        <v>312</v>
      </c>
    </row>
    <row r="3032" spans="1:32" ht="14.5" customHeight="1" x14ac:dyDescent="0.35">
      <c r="A3032" t="s">
        <v>498</v>
      </c>
      <c r="B3032" t="s">
        <v>499</v>
      </c>
      <c r="C3032" t="s">
        <v>47</v>
      </c>
      <c r="D3032">
        <v>3100628</v>
      </c>
      <c r="E3032">
        <v>3100642</v>
      </c>
      <c r="F3032" t="s">
        <v>2263</v>
      </c>
      <c r="G3032" t="s">
        <v>2263</v>
      </c>
      <c r="H3032" t="s">
        <v>54</v>
      </c>
      <c r="I3032">
        <v>6956537</v>
      </c>
      <c r="J3032" s="12">
        <v>46105</v>
      </c>
      <c r="K3032" s="12">
        <v>46105</v>
      </c>
      <c r="L3032" s="12">
        <v>46105</v>
      </c>
      <c r="M3032">
        <v>27</v>
      </c>
      <c r="N3032">
        <v>-1827500</v>
      </c>
      <c r="O3032">
        <v>-1827500</v>
      </c>
      <c r="P3032">
        <v>0</v>
      </c>
      <c r="Q3032">
        <v>-1827500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 t="s">
        <v>929</v>
      </c>
      <c r="AA3032" t="s">
        <v>501</v>
      </c>
      <c r="AB3032" t="s">
        <v>51</v>
      </c>
      <c r="AC3032" t="s">
        <v>51</v>
      </c>
      <c r="AD3032" t="s">
        <v>51</v>
      </c>
      <c r="AE3032" t="s">
        <v>51</v>
      </c>
      <c r="AF3032" t="s">
        <v>2264</v>
      </c>
    </row>
    <row r="3033" spans="1:32" ht="14.5" customHeight="1" x14ac:dyDescent="0.35">
      <c r="A3033" t="s">
        <v>498</v>
      </c>
      <c r="B3033" t="s">
        <v>499</v>
      </c>
      <c r="C3033" t="s">
        <v>596</v>
      </c>
      <c r="D3033">
        <v>3100628</v>
      </c>
      <c r="E3033">
        <v>3100668</v>
      </c>
      <c r="F3033" t="s">
        <v>2263</v>
      </c>
      <c r="G3033" t="s">
        <v>2263</v>
      </c>
      <c r="H3033" t="s">
        <v>54</v>
      </c>
      <c r="I3033">
        <v>9910607</v>
      </c>
      <c r="J3033" s="12">
        <v>46081</v>
      </c>
      <c r="K3033" s="12">
        <v>46081</v>
      </c>
      <c r="L3033" s="12">
        <v>46143</v>
      </c>
      <c r="M3033">
        <v>-11</v>
      </c>
      <c r="N3033">
        <v>410843210</v>
      </c>
      <c r="O3033">
        <v>0</v>
      </c>
      <c r="P3033">
        <v>410843210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 t="s">
        <v>596</v>
      </c>
      <c r="Z3033" s="12">
        <v>46113</v>
      </c>
      <c r="AA3033" t="s">
        <v>501</v>
      </c>
      <c r="AB3033" t="s">
        <v>51</v>
      </c>
      <c r="AC3033" t="s">
        <v>51</v>
      </c>
      <c r="AD3033" t="s">
        <v>2265</v>
      </c>
      <c r="AE3033" t="s">
        <v>51</v>
      </c>
      <c r="AF3033" t="s">
        <v>279</v>
      </c>
    </row>
    <row r="3034" spans="1:32" ht="14.5" customHeight="1" x14ac:dyDescent="0.35">
      <c r="A3034" t="s">
        <v>498</v>
      </c>
      <c r="B3034" t="s">
        <v>499</v>
      </c>
      <c r="C3034" t="s">
        <v>596</v>
      </c>
      <c r="D3034">
        <v>3100628</v>
      </c>
      <c r="E3034">
        <v>3100668</v>
      </c>
      <c r="F3034" t="s">
        <v>2263</v>
      </c>
      <c r="G3034" t="s">
        <v>2263</v>
      </c>
      <c r="H3034" t="s">
        <v>54</v>
      </c>
      <c r="I3034">
        <v>9910608</v>
      </c>
      <c r="J3034" s="12">
        <v>46081</v>
      </c>
      <c r="K3034" s="12">
        <v>46081</v>
      </c>
      <c r="L3034" s="12">
        <v>46143</v>
      </c>
      <c r="M3034">
        <v>-11</v>
      </c>
      <c r="N3034">
        <v>370181546</v>
      </c>
      <c r="O3034">
        <v>0</v>
      </c>
      <c r="P3034">
        <v>370181546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 t="s">
        <v>596</v>
      </c>
      <c r="Z3034" s="12">
        <v>46113</v>
      </c>
      <c r="AA3034" t="s">
        <v>501</v>
      </c>
      <c r="AB3034" t="s">
        <v>51</v>
      </c>
      <c r="AC3034" t="s">
        <v>51</v>
      </c>
      <c r="AD3034" t="s">
        <v>2266</v>
      </c>
      <c r="AE3034" t="s">
        <v>51</v>
      </c>
      <c r="AF3034" t="s">
        <v>62</v>
      </c>
    </row>
    <row r="3035" spans="1:32" ht="14.5" customHeight="1" x14ac:dyDescent="0.35">
      <c r="A3035" t="s">
        <v>498</v>
      </c>
      <c r="B3035" t="s">
        <v>499</v>
      </c>
      <c r="C3035" t="s">
        <v>47</v>
      </c>
      <c r="D3035">
        <v>3100628</v>
      </c>
      <c r="E3035">
        <v>3100642</v>
      </c>
      <c r="F3035" t="s">
        <v>2263</v>
      </c>
      <c r="G3035" t="s">
        <v>2263</v>
      </c>
      <c r="H3035" t="s">
        <v>140</v>
      </c>
      <c r="I3035">
        <v>9917210</v>
      </c>
      <c r="J3035" s="12">
        <v>46103</v>
      </c>
      <c r="K3035" s="12">
        <v>46103</v>
      </c>
      <c r="L3035" s="12">
        <v>46133</v>
      </c>
      <c r="M3035">
        <v>-1</v>
      </c>
      <c r="N3035">
        <v>548888</v>
      </c>
      <c r="O3035">
        <v>0</v>
      </c>
      <c r="P3035">
        <v>548888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 t="s">
        <v>929</v>
      </c>
      <c r="AA3035" t="s">
        <v>501</v>
      </c>
      <c r="AB3035" t="s">
        <v>51</v>
      </c>
      <c r="AC3035" t="s">
        <v>2267</v>
      </c>
      <c r="AD3035" t="s">
        <v>51</v>
      </c>
      <c r="AE3035" t="s">
        <v>51</v>
      </c>
      <c r="AF3035" t="s">
        <v>525</v>
      </c>
    </row>
    <row r="3036" spans="1:32" ht="14.5" customHeight="1" x14ac:dyDescent="0.35">
      <c r="A3036" t="s">
        <v>498</v>
      </c>
      <c r="B3036" t="s">
        <v>499</v>
      </c>
      <c r="C3036" t="s">
        <v>596</v>
      </c>
      <c r="D3036">
        <v>3100628</v>
      </c>
      <c r="E3036">
        <v>3100668</v>
      </c>
      <c r="F3036" t="s">
        <v>2263</v>
      </c>
      <c r="G3036" t="s">
        <v>2263</v>
      </c>
      <c r="H3036" t="s">
        <v>54</v>
      </c>
      <c r="I3036">
        <v>9917303</v>
      </c>
      <c r="J3036" s="12">
        <v>46105</v>
      </c>
      <c r="K3036" s="12">
        <v>46105</v>
      </c>
      <c r="L3036" s="12">
        <v>46136</v>
      </c>
      <c r="M3036">
        <v>-4</v>
      </c>
      <c r="N3036">
        <v>437365600</v>
      </c>
      <c r="O3036">
        <v>0</v>
      </c>
      <c r="P3036">
        <v>437365600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 t="s">
        <v>596</v>
      </c>
      <c r="AA3036" t="s">
        <v>501</v>
      </c>
      <c r="AB3036" t="s">
        <v>51</v>
      </c>
      <c r="AC3036" t="s">
        <v>2268</v>
      </c>
      <c r="AD3036" t="s">
        <v>51</v>
      </c>
      <c r="AE3036" t="s">
        <v>51</v>
      </c>
      <c r="AF3036" t="s">
        <v>195</v>
      </c>
    </row>
    <row r="3037" spans="1:32" ht="14.5" customHeight="1" x14ac:dyDescent="0.35">
      <c r="A3037" t="s">
        <v>498</v>
      </c>
      <c r="B3037" t="s">
        <v>499</v>
      </c>
      <c r="C3037" t="s">
        <v>596</v>
      </c>
      <c r="D3037">
        <v>3100628</v>
      </c>
      <c r="E3037">
        <v>3100668</v>
      </c>
      <c r="F3037" t="s">
        <v>2263</v>
      </c>
      <c r="G3037" t="s">
        <v>2263</v>
      </c>
      <c r="H3037" t="s">
        <v>54</v>
      </c>
      <c r="I3037">
        <v>9917304</v>
      </c>
      <c r="J3037" s="12">
        <v>46105</v>
      </c>
      <c r="K3037" s="12">
        <v>46105</v>
      </c>
      <c r="L3037" s="12">
        <v>46136</v>
      </c>
      <c r="M3037">
        <v>-4</v>
      </c>
      <c r="N3037">
        <v>6621003</v>
      </c>
      <c r="O3037">
        <v>0</v>
      </c>
      <c r="P3037">
        <v>6621003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 t="s">
        <v>596</v>
      </c>
      <c r="AA3037" t="s">
        <v>501</v>
      </c>
      <c r="AB3037" t="s">
        <v>51</v>
      </c>
      <c r="AC3037" t="s">
        <v>2269</v>
      </c>
      <c r="AD3037" t="s">
        <v>51</v>
      </c>
      <c r="AE3037" t="s">
        <v>51</v>
      </c>
      <c r="AF3037" t="s">
        <v>64</v>
      </c>
    </row>
    <row r="3038" spans="1:32" ht="14.5" customHeight="1" x14ac:dyDescent="0.35">
      <c r="A3038" t="s">
        <v>498</v>
      </c>
      <c r="B3038" t="s">
        <v>499</v>
      </c>
      <c r="C3038" t="s">
        <v>596</v>
      </c>
      <c r="D3038">
        <v>3100628</v>
      </c>
      <c r="E3038">
        <v>3100668</v>
      </c>
      <c r="F3038" t="s">
        <v>2263</v>
      </c>
      <c r="G3038" t="s">
        <v>2263</v>
      </c>
      <c r="H3038" t="s">
        <v>54</v>
      </c>
      <c r="I3038">
        <v>9920910</v>
      </c>
      <c r="J3038" s="12">
        <v>46112</v>
      </c>
      <c r="K3038" s="12">
        <v>46112</v>
      </c>
      <c r="L3038" s="12">
        <v>46143</v>
      </c>
      <c r="M3038">
        <v>-11</v>
      </c>
      <c r="N3038">
        <v>401320109</v>
      </c>
      <c r="O3038">
        <v>0</v>
      </c>
      <c r="P3038">
        <v>401320109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 t="s">
        <v>596</v>
      </c>
      <c r="AA3038" t="s">
        <v>501</v>
      </c>
      <c r="AB3038" t="s">
        <v>51</v>
      </c>
      <c r="AC3038" t="s">
        <v>51</v>
      </c>
      <c r="AD3038" t="s">
        <v>2270</v>
      </c>
      <c r="AE3038" t="s">
        <v>51</v>
      </c>
      <c r="AF3038" t="s">
        <v>521</v>
      </c>
    </row>
    <row r="3039" spans="1:32" ht="14.5" customHeight="1" x14ac:dyDescent="0.35">
      <c r="A3039" t="s">
        <v>498</v>
      </c>
      <c r="B3039" t="s">
        <v>499</v>
      </c>
      <c r="C3039" t="s">
        <v>596</v>
      </c>
      <c r="D3039">
        <v>3100628</v>
      </c>
      <c r="E3039">
        <v>3100628</v>
      </c>
      <c r="F3039" t="s">
        <v>2263</v>
      </c>
      <c r="G3039" t="s">
        <v>2263</v>
      </c>
      <c r="H3039" t="s">
        <v>49</v>
      </c>
      <c r="I3039">
        <v>9102074317</v>
      </c>
      <c r="J3039" s="12">
        <v>46112</v>
      </c>
      <c r="K3039" s="12">
        <v>46112</v>
      </c>
      <c r="L3039" s="12">
        <v>46112</v>
      </c>
      <c r="M3039">
        <v>20</v>
      </c>
      <c r="N3039">
        <v>5732490</v>
      </c>
      <c r="O3039">
        <v>0</v>
      </c>
      <c r="P3039">
        <v>0</v>
      </c>
      <c r="Q3039">
        <v>5732490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 t="s">
        <v>47</v>
      </c>
      <c r="AA3039" t="s">
        <v>50</v>
      </c>
      <c r="AB3039" t="s">
        <v>51</v>
      </c>
      <c r="AC3039" t="s">
        <v>51</v>
      </c>
      <c r="AD3039" t="s">
        <v>51</v>
      </c>
      <c r="AE3039" t="s">
        <v>51</v>
      </c>
      <c r="AF3039" t="s">
        <v>2271</v>
      </c>
    </row>
    <row r="3040" spans="1:32" ht="14.5" customHeight="1" x14ac:dyDescent="0.35">
      <c r="A3040" t="s">
        <v>498</v>
      </c>
      <c r="B3040" t="s">
        <v>499</v>
      </c>
      <c r="C3040" t="s">
        <v>47</v>
      </c>
      <c r="D3040">
        <v>3100631</v>
      </c>
      <c r="E3040">
        <v>3100631</v>
      </c>
      <c r="F3040" t="s">
        <v>2272</v>
      </c>
      <c r="G3040" t="s">
        <v>2272</v>
      </c>
      <c r="H3040" t="s">
        <v>54</v>
      </c>
      <c r="I3040">
        <v>6958659</v>
      </c>
      <c r="J3040" s="12">
        <v>46122</v>
      </c>
      <c r="K3040" s="12">
        <v>46122</v>
      </c>
      <c r="L3040" s="12">
        <v>46122</v>
      </c>
      <c r="M3040">
        <v>10</v>
      </c>
      <c r="N3040">
        <v>-6601248</v>
      </c>
      <c r="O3040">
        <v>-6601248</v>
      </c>
      <c r="P3040">
        <v>0</v>
      </c>
      <c r="Q3040">
        <v>-6601248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 t="s">
        <v>47</v>
      </c>
      <c r="AA3040" t="s">
        <v>501</v>
      </c>
      <c r="AB3040" t="s">
        <v>51</v>
      </c>
      <c r="AC3040" t="s">
        <v>51</v>
      </c>
      <c r="AD3040" t="s">
        <v>51</v>
      </c>
      <c r="AE3040" t="s">
        <v>51</v>
      </c>
      <c r="AF3040" t="s">
        <v>106</v>
      </c>
    </row>
    <row r="3041" spans="1:32" ht="14.5" customHeight="1" x14ac:dyDescent="0.35">
      <c r="A3041" t="s">
        <v>498</v>
      </c>
      <c r="B3041" t="s">
        <v>499</v>
      </c>
      <c r="C3041" t="s">
        <v>47</v>
      </c>
      <c r="D3041">
        <v>3100631</v>
      </c>
      <c r="E3041">
        <v>3100631</v>
      </c>
      <c r="F3041" t="s">
        <v>2272</v>
      </c>
      <c r="G3041" t="s">
        <v>2272</v>
      </c>
      <c r="H3041" t="s">
        <v>54</v>
      </c>
      <c r="I3041">
        <v>6960163</v>
      </c>
      <c r="J3041" s="12">
        <v>46130</v>
      </c>
      <c r="K3041" s="12">
        <v>46130</v>
      </c>
      <c r="L3041" s="12">
        <v>46130</v>
      </c>
      <c r="M3041">
        <v>2</v>
      </c>
      <c r="N3041">
        <v>-6583690</v>
      </c>
      <c r="O3041">
        <v>-6583690</v>
      </c>
      <c r="P3041">
        <v>0</v>
      </c>
      <c r="Q3041">
        <v>-6583690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 t="s">
        <v>47</v>
      </c>
      <c r="AA3041" t="s">
        <v>501</v>
      </c>
      <c r="AB3041" t="s">
        <v>51</v>
      </c>
      <c r="AC3041" t="s">
        <v>51</v>
      </c>
      <c r="AD3041" t="s">
        <v>51</v>
      </c>
      <c r="AE3041" t="s">
        <v>51</v>
      </c>
      <c r="AF3041" t="s">
        <v>64</v>
      </c>
    </row>
    <row r="3042" spans="1:32" ht="14.5" customHeight="1" x14ac:dyDescent="0.35">
      <c r="A3042" t="s">
        <v>498</v>
      </c>
      <c r="B3042" t="s">
        <v>499</v>
      </c>
      <c r="C3042" t="s">
        <v>846</v>
      </c>
      <c r="D3042">
        <v>3100631</v>
      </c>
      <c r="E3042">
        <v>3100632</v>
      </c>
      <c r="F3042" t="s">
        <v>2272</v>
      </c>
      <c r="G3042" t="s">
        <v>2272</v>
      </c>
      <c r="H3042" t="s">
        <v>54</v>
      </c>
      <c r="I3042">
        <v>9914893</v>
      </c>
      <c r="J3042" s="12">
        <v>46094</v>
      </c>
      <c r="K3042" s="12">
        <v>46094</v>
      </c>
      <c r="L3042" s="12">
        <v>46145</v>
      </c>
      <c r="M3042">
        <v>-13</v>
      </c>
      <c r="N3042">
        <v>61730767</v>
      </c>
      <c r="O3042">
        <v>0</v>
      </c>
      <c r="P3042">
        <v>61730767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 t="s">
        <v>846</v>
      </c>
      <c r="AA3042" t="s">
        <v>501</v>
      </c>
      <c r="AB3042" t="s">
        <v>51</v>
      </c>
      <c r="AC3042" t="s">
        <v>51</v>
      </c>
      <c r="AD3042" t="s">
        <v>2273</v>
      </c>
      <c r="AE3042" t="s">
        <v>51</v>
      </c>
      <c r="AF3042" t="s">
        <v>352</v>
      </c>
    </row>
    <row r="3043" spans="1:32" ht="14.5" customHeight="1" x14ac:dyDescent="0.35">
      <c r="A3043" t="s">
        <v>498</v>
      </c>
      <c r="B3043" t="s">
        <v>499</v>
      </c>
      <c r="C3043" t="s">
        <v>846</v>
      </c>
      <c r="D3043">
        <v>3100631</v>
      </c>
      <c r="E3043">
        <v>3100632</v>
      </c>
      <c r="F3043" t="s">
        <v>2272</v>
      </c>
      <c r="G3043" t="s">
        <v>2272</v>
      </c>
      <c r="H3043" t="s">
        <v>54</v>
      </c>
      <c r="I3043">
        <v>9914983</v>
      </c>
      <c r="J3043" s="12">
        <v>46095</v>
      </c>
      <c r="K3043" s="12">
        <v>46095</v>
      </c>
      <c r="L3043" s="12">
        <v>46146</v>
      </c>
      <c r="M3043">
        <v>-14</v>
      </c>
      <c r="N3043">
        <v>14059700</v>
      </c>
      <c r="O3043">
        <v>0</v>
      </c>
      <c r="P3043">
        <v>14059700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 t="s">
        <v>846</v>
      </c>
      <c r="AA3043" t="s">
        <v>501</v>
      </c>
      <c r="AB3043" t="s">
        <v>51</v>
      </c>
      <c r="AC3043" t="s">
        <v>51</v>
      </c>
      <c r="AD3043" t="s">
        <v>2274</v>
      </c>
      <c r="AE3043" t="s">
        <v>51</v>
      </c>
      <c r="AF3043" t="s">
        <v>153</v>
      </c>
    </row>
    <row r="3044" spans="1:32" ht="14.5" customHeight="1" x14ac:dyDescent="0.35">
      <c r="A3044" t="s">
        <v>498</v>
      </c>
      <c r="B3044" t="s">
        <v>499</v>
      </c>
      <c r="C3044" t="s">
        <v>47</v>
      </c>
      <c r="D3044">
        <v>3100633</v>
      </c>
      <c r="E3044">
        <v>3100633</v>
      </c>
      <c r="F3044" t="s">
        <v>2275</v>
      </c>
      <c r="G3044" t="s">
        <v>2275</v>
      </c>
      <c r="H3044" t="s">
        <v>54</v>
      </c>
      <c r="I3044">
        <v>6955158</v>
      </c>
      <c r="J3044" s="12">
        <v>46092</v>
      </c>
      <c r="K3044" s="12">
        <v>46092</v>
      </c>
      <c r="L3044" s="12">
        <v>46092</v>
      </c>
      <c r="M3044">
        <v>40</v>
      </c>
      <c r="N3044">
        <v>-5618500</v>
      </c>
      <c r="O3044">
        <v>-5618500</v>
      </c>
      <c r="P3044">
        <v>0</v>
      </c>
      <c r="Q3044">
        <v>0</v>
      </c>
      <c r="R3044">
        <v>-5618500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 t="s">
        <v>47</v>
      </c>
      <c r="AA3044" t="s">
        <v>501</v>
      </c>
      <c r="AB3044" t="s">
        <v>51</v>
      </c>
      <c r="AC3044" t="s">
        <v>51</v>
      </c>
      <c r="AD3044" t="s">
        <v>51</v>
      </c>
      <c r="AE3044" t="s">
        <v>51</v>
      </c>
      <c r="AF3044" t="s">
        <v>2276</v>
      </c>
    </row>
    <row r="3045" spans="1:32" ht="14.5" customHeight="1" x14ac:dyDescent="0.35">
      <c r="A3045" t="s">
        <v>498</v>
      </c>
      <c r="B3045" t="s">
        <v>499</v>
      </c>
      <c r="C3045" t="s">
        <v>47</v>
      </c>
      <c r="D3045">
        <v>3100633</v>
      </c>
      <c r="E3045">
        <v>3100633</v>
      </c>
      <c r="F3045" t="s">
        <v>2275</v>
      </c>
      <c r="G3045" t="s">
        <v>2275</v>
      </c>
      <c r="H3045" t="s">
        <v>54</v>
      </c>
      <c r="I3045">
        <v>6955570</v>
      </c>
      <c r="J3045" s="12">
        <v>46095</v>
      </c>
      <c r="K3045" s="12">
        <v>46095</v>
      </c>
      <c r="L3045" s="12">
        <v>46095</v>
      </c>
      <c r="M3045">
        <v>37</v>
      </c>
      <c r="N3045">
        <v>-33502928</v>
      </c>
      <c r="O3045">
        <v>-33502928</v>
      </c>
      <c r="P3045">
        <v>0</v>
      </c>
      <c r="Q3045">
        <v>0</v>
      </c>
      <c r="R3045">
        <v>-33502928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 t="s">
        <v>47</v>
      </c>
      <c r="AA3045" t="s">
        <v>501</v>
      </c>
      <c r="AB3045" t="s">
        <v>51</v>
      </c>
      <c r="AC3045" t="s">
        <v>51</v>
      </c>
      <c r="AD3045" t="s">
        <v>51</v>
      </c>
      <c r="AE3045" t="s">
        <v>51</v>
      </c>
      <c r="AF3045" t="s">
        <v>106</v>
      </c>
    </row>
    <row r="3046" spans="1:32" ht="14.5" customHeight="1" x14ac:dyDescent="0.35">
      <c r="A3046" t="s">
        <v>498</v>
      </c>
      <c r="B3046" t="s">
        <v>499</v>
      </c>
      <c r="C3046" t="s">
        <v>47</v>
      </c>
      <c r="D3046">
        <v>3100633</v>
      </c>
      <c r="E3046">
        <v>3100633</v>
      </c>
      <c r="F3046" t="s">
        <v>2275</v>
      </c>
      <c r="G3046" t="s">
        <v>2275</v>
      </c>
      <c r="H3046" t="s">
        <v>54</v>
      </c>
      <c r="I3046">
        <v>6955626</v>
      </c>
      <c r="J3046" s="12">
        <v>46095</v>
      </c>
      <c r="K3046" s="12">
        <v>46095</v>
      </c>
      <c r="L3046" s="12">
        <v>46095</v>
      </c>
      <c r="M3046">
        <v>37</v>
      </c>
      <c r="N3046">
        <v>-3621000</v>
      </c>
      <c r="O3046">
        <v>-3621000</v>
      </c>
      <c r="P3046">
        <v>0</v>
      </c>
      <c r="Q3046">
        <v>0</v>
      </c>
      <c r="R3046">
        <v>-3621000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 t="s">
        <v>47</v>
      </c>
      <c r="AA3046" t="s">
        <v>501</v>
      </c>
      <c r="AB3046" t="s">
        <v>51</v>
      </c>
      <c r="AC3046" t="s">
        <v>51</v>
      </c>
      <c r="AD3046" t="s">
        <v>51</v>
      </c>
      <c r="AE3046" t="s">
        <v>51</v>
      </c>
      <c r="AF3046" t="s">
        <v>2277</v>
      </c>
    </row>
    <row r="3047" spans="1:32" ht="14.5" customHeight="1" x14ac:dyDescent="0.35">
      <c r="A3047" t="s">
        <v>498</v>
      </c>
      <c r="B3047" t="s">
        <v>499</v>
      </c>
      <c r="C3047" t="s">
        <v>47</v>
      </c>
      <c r="D3047">
        <v>3100633</v>
      </c>
      <c r="E3047">
        <v>3100633</v>
      </c>
      <c r="F3047" t="s">
        <v>2275</v>
      </c>
      <c r="G3047" t="s">
        <v>2275</v>
      </c>
      <c r="H3047" t="s">
        <v>54</v>
      </c>
      <c r="I3047">
        <v>6956610</v>
      </c>
      <c r="J3047" s="12">
        <v>46105</v>
      </c>
      <c r="K3047" s="12">
        <v>46105</v>
      </c>
      <c r="L3047" s="12">
        <v>46105</v>
      </c>
      <c r="M3047">
        <v>27</v>
      </c>
      <c r="N3047">
        <v>-4044219</v>
      </c>
      <c r="O3047">
        <v>-4044219</v>
      </c>
      <c r="P3047">
        <v>0</v>
      </c>
      <c r="Q3047">
        <v>-4044219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 t="s">
        <v>47</v>
      </c>
      <c r="AA3047" t="s">
        <v>501</v>
      </c>
      <c r="AB3047" t="s">
        <v>51</v>
      </c>
      <c r="AC3047" t="s">
        <v>51</v>
      </c>
      <c r="AD3047" t="s">
        <v>51</v>
      </c>
      <c r="AE3047" t="s">
        <v>51</v>
      </c>
      <c r="AF3047" t="s">
        <v>2278</v>
      </c>
    </row>
    <row r="3048" spans="1:32" ht="14.5" customHeight="1" x14ac:dyDescent="0.35">
      <c r="A3048" t="s">
        <v>498</v>
      </c>
      <c r="B3048" t="s">
        <v>499</v>
      </c>
      <c r="C3048" t="s">
        <v>846</v>
      </c>
      <c r="D3048">
        <v>3100633</v>
      </c>
      <c r="E3048">
        <v>3100634</v>
      </c>
      <c r="F3048" t="s">
        <v>2275</v>
      </c>
      <c r="G3048" t="s">
        <v>2275</v>
      </c>
      <c r="H3048" t="s">
        <v>54</v>
      </c>
      <c r="I3048">
        <v>9917502</v>
      </c>
      <c r="J3048" s="12">
        <v>46106</v>
      </c>
      <c r="K3048" s="12">
        <v>46106</v>
      </c>
      <c r="L3048" s="12">
        <v>46161</v>
      </c>
      <c r="M3048">
        <v>-29</v>
      </c>
      <c r="N3048">
        <v>258904854</v>
      </c>
      <c r="O3048">
        <v>0</v>
      </c>
      <c r="P3048">
        <v>258904854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 t="s">
        <v>846</v>
      </c>
      <c r="AA3048" t="s">
        <v>501</v>
      </c>
      <c r="AB3048" t="s">
        <v>51</v>
      </c>
      <c r="AC3048" t="s">
        <v>51</v>
      </c>
      <c r="AD3048" t="s">
        <v>51</v>
      </c>
      <c r="AE3048" t="s">
        <v>2279</v>
      </c>
      <c r="AF3048" t="s">
        <v>189</v>
      </c>
    </row>
    <row r="3049" spans="1:32" ht="14.5" customHeight="1" x14ac:dyDescent="0.35">
      <c r="A3049" t="s">
        <v>498</v>
      </c>
      <c r="B3049" t="s">
        <v>499</v>
      </c>
      <c r="C3049" t="s">
        <v>846</v>
      </c>
      <c r="D3049">
        <v>3100633</v>
      </c>
      <c r="E3049">
        <v>3100634</v>
      </c>
      <c r="F3049" t="s">
        <v>2275</v>
      </c>
      <c r="G3049" t="s">
        <v>2275</v>
      </c>
      <c r="H3049" t="s">
        <v>54</v>
      </c>
      <c r="I3049">
        <v>9927418</v>
      </c>
      <c r="J3049" s="12">
        <v>46130</v>
      </c>
      <c r="K3049" s="12">
        <v>46130</v>
      </c>
      <c r="L3049" s="12">
        <v>46185</v>
      </c>
      <c r="M3049">
        <v>-53</v>
      </c>
      <c r="N3049">
        <v>329632764</v>
      </c>
      <c r="O3049">
        <v>0</v>
      </c>
      <c r="P3049">
        <v>329632764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 t="s">
        <v>846</v>
      </c>
      <c r="AA3049" t="s">
        <v>501</v>
      </c>
      <c r="AB3049" t="s">
        <v>51</v>
      </c>
      <c r="AC3049" t="s">
        <v>51</v>
      </c>
      <c r="AD3049" t="s">
        <v>51</v>
      </c>
      <c r="AE3049" t="s">
        <v>2280</v>
      </c>
      <c r="AF3049" t="s">
        <v>334</v>
      </c>
    </row>
    <row r="3050" spans="1:32" ht="14.5" customHeight="1" x14ac:dyDescent="0.35">
      <c r="A3050" t="s">
        <v>498</v>
      </c>
      <c r="B3050" t="s">
        <v>546</v>
      </c>
      <c r="C3050" t="s">
        <v>929</v>
      </c>
      <c r="D3050">
        <v>3100649</v>
      </c>
      <c r="E3050">
        <v>3100652</v>
      </c>
      <c r="F3050" t="s">
        <v>2281</v>
      </c>
      <c r="G3050" t="s">
        <v>2281</v>
      </c>
      <c r="H3050" t="s">
        <v>111</v>
      </c>
      <c r="I3050">
        <v>6957908</v>
      </c>
      <c r="J3050" s="12">
        <v>46116</v>
      </c>
      <c r="K3050" s="12">
        <v>46116</v>
      </c>
      <c r="L3050" s="12">
        <v>46116</v>
      </c>
      <c r="M3050">
        <v>16</v>
      </c>
      <c r="N3050">
        <v>-731148</v>
      </c>
      <c r="O3050">
        <v>-731148</v>
      </c>
      <c r="P3050">
        <v>0</v>
      </c>
      <c r="Q3050">
        <v>-731148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 t="s">
        <v>929</v>
      </c>
      <c r="AA3050" t="s">
        <v>501</v>
      </c>
      <c r="AB3050" t="s">
        <v>51</v>
      </c>
      <c r="AC3050" t="s">
        <v>51</v>
      </c>
      <c r="AD3050" t="s">
        <v>51</v>
      </c>
      <c r="AE3050" t="s">
        <v>51</v>
      </c>
      <c r="AF3050" t="s">
        <v>312</v>
      </c>
    </row>
    <row r="3051" spans="1:32" ht="14.5" customHeight="1" x14ac:dyDescent="0.35">
      <c r="A3051" t="s">
        <v>498</v>
      </c>
      <c r="B3051" t="s">
        <v>546</v>
      </c>
      <c r="C3051" t="s">
        <v>929</v>
      </c>
      <c r="D3051">
        <v>3100649</v>
      </c>
      <c r="E3051">
        <v>3100652</v>
      </c>
      <c r="F3051" t="s">
        <v>2281</v>
      </c>
      <c r="G3051" t="s">
        <v>2281</v>
      </c>
      <c r="H3051" t="s">
        <v>111</v>
      </c>
      <c r="I3051">
        <v>6958246</v>
      </c>
      <c r="J3051" s="12">
        <v>46120</v>
      </c>
      <c r="K3051" s="12">
        <v>46120</v>
      </c>
      <c r="L3051" s="12">
        <v>46120</v>
      </c>
      <c r="M3051">
        <v>12</v>
      </c>
      <c r="N3051">
        <v>-1259326</v>
      </c>
      <c r="O3051">
        <v>-1259326</v>
      </c>
      <c r="P3051">
        <v>0</v>
      </c>
      <c r="Q3051">
        <v>-1259326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 t="s">
        <v>929</v>
      </c>
      <c r="AA3051" t="s">
        <v>501</v>
      </c>
      <c r="AB3051" t="s">
        <v>51</v>
      </c>
      <c r="AC3051" t="s">
        <v>51</v>
      </c>
      <c r="AD3051" t="s">
        <v>51</v>
      </c>
      <c r="AE3051" t="s">
        <v>51</v>
      </c>
      <c r="AF3051" t="s">
        <v>320</v>
      </c>
    </row>
    <row r="3052" spans="1:32" ht="14.5" customHeight="1" x14ac:dyDescent="0.35">
      <c r="A3052" t="s">
        <v>498</v>
      </c>
      <c r="B3052" t="s">
        <v>546</v>
      </c>
      <c r="C3052" t="s">
        <v>929</v>
      </c>
      <c r="D3052">
        <v>3100649</v>
      </c>
      <c r="E3052">
        <v>3100652</v>
      </c>
      <c r="F3052" t="s">
        <v>2281</v>
      </c>
      <c r="G3052" t="s">
        <v>2281</v>
      </c>
      <c r="H3052" t="s">
        <v>54</v>
      </c>
      <c r="I3052">
        <v>9916316</v>
      </c>
      <c r="J3052" s="12">
        <v>46098</v>
      </c>
      <c r="K3052" s="12">
        <v>46098</v>
      </c>
      <c r="L3052" s="12">
        <v>46129</v>
      </c>
      <c r="M3052">
        <v>3</v>
      </c>
      <c r="N3052">
        <v>54994505</v>
      </c>
      <c r="O3052">
        <v>0</v>
      </c>
      <c r="P3052">
        <v>0</v>
      </c>
      <c r="Q3052">
        <v>54994505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 t="s">
        <v>929</v>
      </c>
      <c r="AA3052" t="s">
        <v>501</v>
      </c>
      <c r="AB3052" t="s">
        <v>51</v>
      </c>
      <c r="AC3052" t="s">
        <v>51</v>
      </c>
      <c r="AD3052" t="s">
        <v>51</v>
      </c>
      <c r="AE3052" t="s">
        <v>51</v>
      </c>
      <c r="AF3052" t="s">
        <v>62</v>
      </c>
    </row>
    <row r="3053" spans="1:32" ht="14.5" customHeight="1" x14ac:dyDescent="0.35">
      <c r="A3053" t="s">
        <v>498</v>
      </c>
      <c r="B3053" t="s">
        <v>546</v>
      </c>
      <c r="C3053" t="s">
        <v>929</v>
      </c>
      <c r="D3053">
        <v>3100649</v>
      </c>
      <c r="E3053">
        <v>3100652</v>
      </c>
      <c r="F3053" t="s">
        <v>2281</v>
      </c>
      <c r="G3053" t="s">
        <v>2281</v>
      </c>
      <c r="H3053" t="s">
        <v>54</v>
      </c>
      <c r="I3053">
        <v>9921893</v>
      </c>
      <c r="J3053" s="12">
        <v>46116</v>
      </c>
      <c r="K3053" s="12">
        <v>46116</v>
      </c>
      <c r="L3053" s="12">
        <v>46147</v>
      </c>
      <c r="M3053">
        <v>-15</v>
      </c>
      <c r="N3053">
        <v>647272</v>
      </c>
      <c r="O3053">
        <v>0</v>
      </c>
      <c r="P3053">
        <v>647272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 t="s">
        <v>929</v>
      </c>
      <c r="AA3053" t="s">
        <v>501</v>
      </c>
      <c r="AB3053" t="s">
        <v>51</v>
      </c>
      <c r="AC3053" t="s">
        <v>51</v>
      </c>
      <c r="AD3053" t="s">
        <v>51</v>
      </c>
      <c r="AE3053" t="s">
        <v>2282</v>
      </c>
      <c r="AF3053" t="s">
        <v>153</v>
      </c>
    </row>
    <row r="3054" spans="1:32" ht="14.5" customHeight="1" x14ac:dyDescent="0.35">
      <c r="A3054" t="s">
        <v>498</v>
      </c>
      <c r="B3054" t="s">
        <v>546</v>
      </c>
      <c r="C3054" t="s">
        <v>929</v>
      </c>
      <c r="D3054">
        <v>3100649</v>
      </c>
      <c r="E3054">
        <v>3100652</v>
      </c>
      <c r="F3054" t="s">
        <v>2281</v>
      </c>
      <c r="G3054" t="s">
        <v>2281</v>
      </c>
      <c r="H3054" t="s">
        <v>54</v>
      </c>
      <c r="I3054">
        <v>9922782</v>
      </c>
      <c r="J3054" s="12">
        <v>46120</v>
      </c>
      <c r="K3054" s="12">
        <v>46120</v>
      </c>
      <c r="L3054" s="12">
        <v>46151</v>
      </c>
      <c r="M3054">
        <v>-19</v>
      </c>
      <c r="N3054">
        <v>830022</v>
      </c>
      <c r="O3054">
        <v>0</v>
      </c>
      <c r="P3054">
        <v>830022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 t="s">
        <v>929</v>
      </c>
      <c r="AA3054" t="s">
        <v>501</v>
      </c>
      <c r="AB3054" t="s">
        <v>51</v>
      </c>
      <c r="AC3054" t="s">
        <v>51</v>
      </c>
      <c r="AD3054" t="s">
        <v>51</v>
      </c>
      <c r="AE3054" t="s">
        <v>2283</v>
      </c>
      <c r="AF3054" t="s">
        <v>151</v>
      </c>
    </row>
    <row r="3055" spans="1:32" ht="14.5" customHeight="1" x14ac:dyDescent="0.35">
      <c r="A3055" t="s">
        <v>498</v>
      </c>
      <c r="B3055" t="s">
        <v>546</v>
      </c>
      <c r="C3055" t="s">
        <v>929</v>
      </c>
      <c r="D3055">
        <v>3100649</v>
      </c>
      <c r="E3055">
        <v>3100652</v>
      </c>
      <c r="F3055" t="s">
        <v>2281</v>
      </c>
      <c r="G3055" t="s">
        <v>2281</v>
      </c>
      <c r="H3055" t="s">
        <v>54</v>
      </c>
      <c r="I3055">
        <v>9922940</v>
      </c>
      <c r="J3055" s="12">
        <v>46120</v>
      </c>
      <c r="K3055" s="12">
        <v>46120</v>
      </c>
      <c r="L3055" s="12">
        <v>46151</v>
      </c>
      <c r="M3055">
        <v>-19</v>
      </c>
      <c r="N3055">
        <v>77889968</v>
      </c>
      <c r="O3055">
        <v>0</v>
      </c>
      <c r="P3055">
        <v>77889968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 t="s">
        <v>929</v>
      </c>
      <c r="AA3055" t="s">
        <v>501</v>
      </c>
      <c r="AB3055" t="s">
        <v>51</v>
      </c>
      <c r="AC3055" t="s">
        <v>51</v>
      </c>
      <c r="AD3055" t="s">
        <v>51</v>
      </c>
      <c r="AE3055" t="s">
        <v>2284</v>
      </c>
      <c r="AF3055" t="s">
        <v>62</v>
      </c>
    </row>
    <row r="3056" spans="1:32" ht="14.5" customHeight="1" x14ac:dyDescent="0.35">
      <c r="A3056" t="s">
        <v>45</v>
      </c>
      <c r="B3056" t="s">
        <v>46</v>
      </c>
      <c r="C3056" t="s">
        <v>47</v>
      </c>
      <c r="D3056">
        <v>3100656</v>
      </c>
      <c r="E3056">
        <v>3100656</v>
      </c>
      <c r="F3056" t="s">
        <v>2285</v>
      </c>
      <c r="G3056" t="s">
        <v>2285</v>
      </c>
      <c r="H3056" t="s">
        <v>54</v>
      </c>
      <c r="I3056">
        <v>6954951</v>
      </c>
      <c r="J3056" s="12">
        <v>46091</v>
      </c>
      <c r="K3056" s="12">
        <v>46091</v>
      </c>
      <c r="L3056" s="12">
        <v>46091</v>
      </c>
      <c r="M3056">
        <v>41</v>
      </c>
      <c r="N3056">
        <v>-370101</v>
      </c>
      <c r="O3056">
        <v>-370101</v>
      </c>
      <c r="P3056">
        <v>0</v>
      </c>
      <c r="Q3056">
        <v>0</v>
      </c>
      <c r="R3056">
        <v>-370101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 t="s">
        <v>47</v>
      </c>
      <c r="AA3056" t="s">
        <v>501</v>
      </c>
      <c r="AB3056" t="s">
        <v>51</v>
      </c>
      <c r="AC3056" t="s">
        <v>51</v>
      </c>
      <c r="AD3056" t="s">
        <v>51</v>
      </c>
      <c r="AE3056" t="s">
        <v>51</v>
      </c>
      <c r="AF3056" t="s">
        <v>1485</v>
      </c>
    </row>
    <row r="3057" spans="1:32" ht="14.5" customHeight="1" x14ac:dyDescent="0.35">
      <c r="A3057" t="s">
        <v>45</v>
      </c>
      <c r="B3057" t="s">
        <v>46</v>
      </c>
      <c r="C3057" t="s">
        <v>47</v>
      </c>
      <c r="D3057">
        <v>3100656</v>
      </c>
      <c r="E3057">
        <v>3100656</v>
      </c>
      <c r="F3057" t="s">
        <v>2285</v>
      </c>
      <c r="G3057" t="s">
        <v>2285</v>
      </c>
      <c r="H3057" t="s">
        <v>54</v>
      </c>
      <c r="I3057">
        <v>6957751</v>
      </c>
      <c r="J3057" s="12">
        <v>46112</v>
      </c>
      <c r="K3057" s="12">
        <v>46112</v>
      </c>
      <c r="L3057" s="12">
        <v>46112</v>
      </c>
      <c r="M3057">
        <v>20</v>
      </c>
      <c r="N3057">
        <v>-48315909</v>
      </c>
      <c r="O3057">
        <v>-48315909</v>
      </c>
      <c r="P3057">
        <v>0</v>
      </c>
      <c r="Q3057">
        <v>-48315909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 t="s">
        <v>47</v>
      </c>
      <c r="AA3057" t="s">
        <v>501</v>
      </c>
      <c r="AB3057" t="s">
        <v>51</v>
      </c>
      <c r="AC3057" t="s">
        <v>51</v>
      </c>
      <c r="AD3057" t="s">
        <v>51</v>
      </c>
      <c r="AE3057" t="s">
        <v>51</v>
      </c>
      <c r="AF3057" t="s">
        <v>2286</v>
      </c>
    </row>
    <row r="3058" spans="1:32" ht="14.5" customHeight="1" x14ac:dyDescent="0.35">
      <c r="A3058" t="s">
        <v>45</v>
      </c>
      <c r="B3058" t="s">
        <v>46</v>
      </c>
      <c r="C3058" t="s">
        <v>47</v>
      </c>
      <c r="D3058">
        <v>3100656</v>
      </c>
      <c r="E3058">
        <v>3100656</v>
      </c>
      <c r="F3058" t="s">
        <v>2285</v>
      </c>
      <c r="G3058" t="s">
        <v>2285</v>
      </c>
      <c r="H3058" t="s">
        <v>54</v>
      </c>
      <c r="I3058">
        <v>6957752</v>
      </c>
      <c r="J3058" s="12">
        <v>46112</v>
      </c>
      <c r="K3058" s="12">
        <v>46112</v>
      </c>
      <c r="L3058" s="12">
        <v>46112</v>
      </c>
      <c r="M3058">
        <v>20</v>
      </c>
      <c r="N3058">
        <v>-31999508</v>
      </c>
      <c r="O3058">
        <v>-31999508</v>
      </c>
      <c r="P3058">
        <v>0</v>
      </c>
      <c r="Q3058">
        <v>-31999508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 t="s">
        <v>47</v>
      </c>
      <c r="AA3058" t="s">
        <v>501</v>
      </c>
      <c r="AB3058" t="s">
        <v>51</v>
      </c>
      <c r="AC3058" t="s">
        <v>51</v>
      </c>
      <c r="AD3058" t="s">
        <v>51</v>
      </c>
      <c r="AE3058" t="s">
        <v>51</v>
      </c>
      <c r="AF3058" t="s">
        <v>2287</v>
      </c>
    </row>
    <row r="3059" spans="1:32" ht="14.5" customHeight="1" x14ac:dyDescent="0.35">
      <c r="A3059" t="s">
        <v>45</v>
      </c>
      <c r="B3059" t="s">
        <v>46</v>
      </c>
      <c r="C3059" t="s">
        <v>47</v>
      </c>
      <c r="D3059">
        <v>3100656</v>
      </c>
      <c r="E3059">
        <v>3100656</v>
      </c>
      <c r="F3059" t="s">
        <v>2285</v>
      </c>
      <c r="G3059" t="s">
        <v>2285</v>
      </c>
      <c r="H3059" t="s">
        <v>54</v>
      </c>
      <c r="I3059">
        <v>6957753</v>
      </c>
      <c r="J3059" s="12">
        <v>46112</v>
      </c>
      <c r="K3059" s="12">
        <v>46112</v>
      </c>
      <c r="L3059" s="12">
        <v>46112</v>
      </c>
      <c r="M3059">
        <v>20</v>
      </c>
      <c r="N3059">
        <v>-33625624</v>
      </c>
      <c r="O3059">
        <v>-33625624</v>
      </c>
      <c r="P3059">
        <v>0</v>
      </c>
      <c r="Q3059">
        <v>-33625624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 t="s">
        <v>47</v>
      </c>
      <c r="AA3059" t="s">
        <v>501</v>
      </c>
      <c r="AB3059" t="s">
        <v>51</v>
      </c>
      <c r="AC3059" t="s">
        <v>51</v>
      </c>
      <c r="AD3059" t="s">
        <v>51</v>
      </c>
      <c r="AE3059" t="s">
        <v>51</v>
      </c>
      <c r="AF3059" t="s">
        <v>2288</v>
      </c>
    </row>
    <row r="3060" spans="1:32" ht="14.5" customHeight="1" x14ac:dyDescent="0.35">
      <c r="A3060" t="s">
        <v>45</v>
      </c>
      <c r="B3060" t="s">
        <v>46</v>
      </c>
      <c r="C3060" t="s">
        <v>47</v>
      </c>
      <c r="D3060">
        <v>3100656</v>
      </c>
      <c r="E3060">
        <v>3100656</v>
      </c>
      <c r="F3060" t="s">
        <v>2285</v>
      </c>
      <c r="G3060" t="s">
        <v>2285</v>
      </c>
      <c r="H3060" t="s">
        <v>54</v>
      </c>
      <c r="I3060">
        <v>6957754</v>
      </c>
      <c r="J3060" s="12">
        <v>46112</v>
      </c>
      <c r="K3060" s="12">
        <v>46112</v>
      </c>
      <c r="L3060" s="12">
        <v>46112</v>
      </c>
      <c r="M3060">
        <v>20</v>
      </c>
      <c r="N3060">
        <v>-30032299</v>
      </c>
      <c r="O3060">
        <v>-30032299</v>
      </c>
      <c r="P3060">
        <v>0</v>
      </c>
      <c r="Q3060">
        <v>-30032299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 t="s">
        <v>47</v>
      </c>
      <c r="AA3060" t="s">
        <v>501</v>
      </c>
      <c r="AB3060" t="s">
        <v>51</v>
      </c>
      <c r="AC3060" t="s">
        <v>51</v>
      </c>
      <c r="AD3060" t="s">
        <v>51</v>
      </c>
      <c r="AE3060" t="s">
        <v>51</v>
      </c>
      <c r="AF3060" t="s">
        <v>2289</v>
      </c>
    </row>
    <row r="3061" spans="1:32" ht="14.5" customHeight="1" x14ac:dyDescent="0.35">
      <c r="A3061" t="s">
        <v>45</v>
      </c>
      <c r="B3061" t="s">
        <v>46</v>
      </c>
      <c r="C3061" t="s">
        <v>47</v>
      </c>
      <c r="D3061">
        <v>3100656</v>
      </c>
      <c r="E3061">
        <v>3100656</v>
      </c>
      <c r="F3061" t="s">
        <v>2285</v>
      </c>
      <c r="G3061" t="s">
        <v>2285</v>
      </c>
      <c r="H3061" t="s">
        <v>54</v>
      </c>
      <c r="I3061">
        <v>6957755</v>
      </c>
      <c r="J3061" s="12">
        <v>46112</v>
      </c>
      <c r="K3061" s="12">
        <v>46112</v>
      </c>
      <c r="L3061" s="12">
        <v>46112</v>
      </c>
      <c r="M3061">
        <v>20</v>
      </c>
      <c r="N3061">
        <v>-27517530</v>
      </c>
      <c r="O3061">
        <v>-27517530</v>
      </c>
      <c r="P3061">
        <v>0</v>
      </c>
      <c r="Q3061">
        <v>-27517530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 t="s">
        <v>47</v>
      </c>
      <c r="AA3061" t="s">
        <v>501</v>
      </c>
      <c r="AB3061" t="s">
        <v>51</v>
      </c>
      <c r="AC3061" t="s">
        <v>51</v>
      </c>
      <c r="AD3061" t="s">
        <v>51</v>
      </c>
      <c r="AE3061" t="s">
        <v>51</v>
      </c>
      <c r="AF3061" t="s">
        <v>2290</v>
      </c>
    </row>
    <row r="3062" spans="1:32" ht="14.5" customHeight="1" x14ac:dyDescent="0.35">
      <c r="A3062" t="s">
        <v>45</v>
      </c>
      <c r="B3062" t="s">
        <v>46</v>
      </c>
      <c r="C3062" t="s">
        <v>47</v>
      </c>
      <c r="D3062">
        <v>3100656</v>
      </c>
      <c r="E3062">
        <v>3100656</v>
      </c>
      <c r="F3062" t="s">
        <v>2285</v>
      </c>
      <c r="G3062" t="s">
        <v>2285</v>
      </c>
      <c r="H3062" t="s">
        <v>54</v>
      </c>
      <c r="I3062">
        <v>6957756</v>
      </c>
      <c r="J3062" s="12">
        <v>46112</v>
      </c>
      <c r="K3062" s="12">
        <v>46112</v>
      </c>
      <c r="L3062" s="12">
        <v>46112</v>
      </c>
      <c r="M3062">
        <v>20</v>
      </c>
      <c r="N3062">
        <v>-52143651</v>
      </c>
      <c r="O3062">
        <v>-52143651</v>
      </c>
      <c r="P3062">
        <v>0</v>
      </c>
      <c r="Q3062">
        <v>-52143651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 t="s">
        <v>47</v>
      </c>
      <c r="AA3062" t="s">
        <v>501</v>
      </c>
      <c r="AB3062" t="s">
        <v>51</v>
      </c>
      <c r="AC3062" t="s">
        <v>51</v>
      </c>
      <c r="AD3062" t="s">
        <v>51</v>
      </c>
      <c r="AE3062" t="s">
        <v>51</v>
      </c>
      <c r="AF3062" t="s">
        <v>2291</v>
      </c>
    </row>
    <row r="3063" spans="1:32" ht="14.5" customHeight="1" x14ac:dyDescent="0.35">
      <c r="A3063" t="s">
        <v>45</v>
      </c>
      <c r="B3063" t="s">
        <v>46</v>
      </c>
      <c r="C3063" t="s">
        <v>47</v>
      </c>
      <c r="D3063">
        <v>3100656</v>
      </c>
      <c r="E3063">
        <v>3100656</v>
      </c>
      <c r="F3063" t="s">
        <v>2285</v>
      </c>
      <c r="G3063" t="s">
        <v>2285</v>
      </c>
      <c r="H3063" t="s">
        <v>54</v>
      </c>
      <c r="I3063">
        <v>6957757</v>
      </c>
      <c r="J3063" s="12">
        <v>46112</v>
      </c>
      <c r="K3063" s="12">
        <v>46112</v>
      </c>
      <c r="L3063" s="12">
        <v>46112</v>
      </c>
      <c r="M3063">
        <v>20</v>
      </c>
      <c r="N3063">
        <v>-46901578</v>
      </c>
      <c r="O3063">
        <v>-46901578</v>
      </c>
      <c r="P3063">
        <v>0</v>
      </c>
      <c r="Q3063">
        <v>-46901578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 t="s">
        <v>47</v>
      </c>
      <c r="AA3063" t="s">
        <v>501</v>
      </c>
      <c r="AB3063" t="s">
        <v>51</v>
      </c>
      <c r="AC3063" t="s">
        <v>51</v>
      </c>
      <c r="AD3063" t="s">
        <v>51</v>
      </c>
      <c r="AE3063" t="s">
        <v>51</v>
      </c>
      <c r="AF3063" t="s">
        <v>2292</v>
      </c>
    </row>
    <row r="3064" spans="1:32" ht="14.5" customHeight="1" x14ac:dyDescent="0.35">
      <c r="A3064" t="s">
        <v>45</v>
      </c>
      <c r="B3064" t="s">
        <v>46</v>
      </c>
      <c r="C3064" t="s">
        <v>47</v>
      </c>
      <c r="D3064">
        <v>3100656</v>
      </c>
      <c r="E3064">
        <v>3100656</v>
      </c>
      <c r="F3064" t="s">
        <v>2285</v>
      </c>
      <c r="G3064" t="s">
        <v>2285</v>
      </c>
      <c r="H3064" t="s">
        <v>54</v>
      </c>
      <c r="I3064">
        <v>6957758</v>
      </c>
      <c r="J3064" s="12">
        <v>46112</v>
      </c>
      <c r="K3064" s="12">
        <v>46112</v>
      </c>
      <c r="L3064" s="12">
        <v>46112</v>
      </c>
      <c r="M3064">
        <v>20</v>
      </c>
      <c r="N3064">
        <v>-46698296</v>
      </c>
      <c r="O3064">
        <v>-46698296</v>
      </c>
      <c r="P3064">
        <v>0</v>
      </c>
      <c r="Q3064">
        <v>-46698296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 t="s">
        <v>47</v>
      </c>
      <c r="AA3064" t="s">
        <v>501</v>
      </c>
      <c r="AB3064" t="s">
        <v>51</v>
      </c>
      <c r="AC3064" t="s">
        <v>51</v>
      </c>
      <c r="AD3064" t="s">
        <v>51</v>
      </c>
      <c r="AE3064" t="s">
        <v>51</v>
      </c>
      <c r="AF3064" t="s">
        <v>2293</v>
      </c>
    </row>
    <row r="3065" spans="1:32" ht="14.5" customHeight="1" x14ac:dyDescent="0.35">
      <c r="A3065" t="s">
        <v>45</v>
      </c>
      <c r="B3065" t="s">
        <v>46</v>
      </c>
      <c r="C3065" t="s">
        <v>47</v>
      </c>
      <c r="D3065">
        <v>3100656</v>
      </c>
      <c r="E3065">
        <v>3100656</v>
      </c>
      <c r="F3065" t="s">
        <v>2285</v>
      </c>
      <c r="G3065" t="s">
        <v>2285</v>
      </c>
      <c r="H3065" t="s">
        <v>54</v>
      </c>
      <c r="I3065">
        <v>6957759</v>
      </c>
      <c r="J3065" s="12">
        <v>46112</v>
      </c>
      <c r="K3065" s="12">
        <v>46112</v>
      </c>
      <c r="L3065" s="12">
        <v>46112</v>
      </c>
      <c r="M3065">
        <v>20</v>
      </c>
      <c r="N3065">
        <v>-49331298</v>
      </c>
      <c r="O3065">
        <v>-49331298</v>
      </c>
      <c r="P3065">
        <v>0</v>
      </c>
      <c r="Q3065">
        <v>-49331298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 t="s">
        <v>47</v>
      </c>
      <c r="AA3065" t="s">
        <v>501</v>
      </c>
      <c r="AB3065" t="s">
        <v>51</v>
      </c>
      <c r="AC3065" t="s">
        <v>51</v>
      </c>
      <c r="AD3065" t="s">
        <v>51</v>
      </c>
      <c r="AE3065" t="s">
        <v>51</v>
      </c>
      <c r="AF3065" t="s">
        <v>2294</v>
      </c>
    </row>
    <row r="3066" spans="1:32" ht="14.5" customHeight="1" x14ac:dyDescent="0.35">
      <c r="A3066" t="s">
        <v>45</v>
      </c>
      <c r="B3066" t="s">
        <v>46</v>
      </c>
      <c r="C3066" t="s">
        <v>47</v>
      </c>
      <c r="D3066">
        <v>3100656</v>
      </c>
      <c r="E3066">
        <v>3100656</v>
      </c>
      <c r="F3066" t="s">
        <v>2285</v>
      </c>
      <c r="G3066" t="s">
        <v>2285</v>
      </c>
      <c r="H3066" t="s">
        <v>54</v>
      </c>
      <c r="I3066">
        <v>6957760</v>
      </c>
      <c r="J3066" s="12">
        <v>46112</v>
      </c>
      <c r="K3066" s="12">
        <v>46112</v>
      </c>
      <c r="L3066" s="12">
        <v>46112</v>
      </c>
      <c r="M3066">
        <v>20</v>
      </c>
      <c r="N3066">
        <v>-43357733</v>
      </c>
      <c r="O3066">
        <v>-43357733</v>
      </c>
      <c r="P3066">
        <v>0</v>
      </c>
      <c r="Q3066">
        <v>-43357733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 t="s">
        <v>47</v>
      </c>
      <c r="AA3066" t="s">
        <v>501</v>
      </c>
      <c r="AB3066" t="s">
        <v>51</v>
      </c>
      <c r="AC3066" t="s">
        <v>51</v>
      </c>
      <c r="AD3066" t="s">
        <v>51</v>
      </c>
      <c r="AE3066" t="s">
        <v>51</v>
      </c>
      <c r="AF3066" t="s">
        <v>2295</v>
      </c>
    </row>
    <row r="3067" spans="1:32" ht="14.5" customHeight="1" x14ac:dyDescent="0.35">
      <c r="A3067" t="s">
        <v>45</v>
      </c>
      <c r="B3067" t="s">
        <v>46</v>
      </c>
      <c r="C3067" t="s">
        <v>47</v>
      </c>
      <c r="D3067">
        <v>3100656</v>
      </c>
      <c r="E3067">
        <v>3100656</v>
      </c>
      <c r="F3067" t="s">
        <v>2285</v>
      </c>
      <c r="G3067" t="s">
        <v>2285</v>
      </c>
      <c r="H3067" t="s">
        <v>54</v>
      </c>
      <c r="I3067">
        <v>6958511</v>
      </c>
      <c r="J3067" s="12">
        <v>46121</v>
      </c>
      <c r="K3067" s="12">
        <v>46121</v>
      </c>
      <c r="L3067" s="12">
        <v>46121</v>
      </c>
      <c r="M3067">
        <v>11</v>
      </c>
      <c r="N3067">
        <v>-10980178</v>
      </c>
      <c r="O3067">
        <v>-10980178</v>
      </c>
      <c r="P3067">
        <v>0</v>
      </c>
      <c r="Q3067">
        <v>-10980178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 t="s">
        <v>47</v>
      </c>
      <c r="AA3067" t="s">
        <v>501</v>
      </c>
      <c r="AB3067" t="s">
        <v>51</v>
      </c>
      <c r="AC3067" t="s">
        <v>51</v>
      </c>
      <c r="AD3067" t="s">
        <v>51</v>
      </c>
      <c r="AE3067" t="s">
        <v>51</v>
      </c>
      <c r="AF3067" t="s">
        <v>2296</v>
      </c>
    </row>
    <row r="3068" spans="1:32" ht="14.5" customHeight="1" x14ac:dyDescent="0.35">
      <c r="A3068" t="s">
        <v>45</v>
      </c>
      <c r="B3068" t="s">
        <v>46</v>
      </c>
      <c r="C3068" t="s">
        <v>47</v>
      </c>
      <c r="D3068">
        <v>3100656</v>
      </c>
      <c r="E3068">
        <v>3100656</v>
      </c>
      <c r="F3068" t="s">
        <v>2285</v>
      </c>
      <c r="G3068" t="s">
        <v>2285</v>
      </c>
      <c r="H3068" t="s">
        <v>54</v>
      </c>
      <c r="I3068">
        <v>6959247</v>
      </c>
      <c r="J3068" s="12">
        <v>46126</v>
      </c>
      <c r="K3068" s="12">
        <v>46126</v>
      </c>
      <c r="L3068" s="12">
        <v>46126</v>
      </c>
      <c r="M3068">
        <v>6</v>
      </c>
      <c r="N3068">
        <v>-127541675</v>
      </c>
      <c r="O3068">
        <v>-127541675</v>
      </c>
      <c r="P3068">
        <v>0</v>
      </c>
      <c r="Q3068">
        <v>-127541675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 t="s">
        <v>47</v>
      </c>
      <c r="AA3068" t="s">
        <v>501</v>
      </c>
      <c r="AB3068" t="s">
        <v>51</v>
      </c>
      <c r="AC3068" t="s">
        <v>51</v>
      </c>
      <c r="AD3068" t="s">
        <v>51</v>
      </c>
      <c r="AE3068" t="s">
        <v>51</v>
      </c>
      <c r="AF3068" t="s">
        <v>285</v>
      </c>
    </row>
    <row r="3069" spans="1:32" ht="14.5" customHeight="1" x14ac:dyDescent="0.35">
      <c r="A3069" t="s">
        <v>45</v>
      </c>
      <c r="B3069" t="s">
        <v>46</v>
      </c>
      <c r="C3069" t="s">
        <v>47</v>
      </c>
      <c r="D3069">
        <v>3100656</v>
      </c>
      <c r="E3069">
        <v>3100656</v>
      </c>
      <c r="F3069" t="s">
        <v>2285</v>
      </c>
      <c r="G3069" t="s">
        <v>2285</v>
      </c>
      <c r="H3069" t="s">
        <v>54</v>
      </c>
      <c r="I3069">
        <v>6959248</v>
      </c>
      <c r="J3069" s="12">
        <v>46126</v>
      </c>
      <c r="K3069" s="12">
        <v>46126</v>
      </c>
      <c r="L3069" s="12">
        <v>46126</v>
      </c>
      <c r="M3069">
        <v>6</v>
      </c>
      <c r="N3069">
        <v>-203312285</v>
      </c>
      <c r="O3069">
        <v>-203312285</v>
      </c>
      <c r="P3069">
        <v>0</v>
      </c>
      <c r="Q3069">
        <v>-203312285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 t="s">
        <v>47</v>
      </c>
      <c r="AA3069" t="s">
        <v>501</v>
      </c>
      <c r="AB3069" t="s">
        <v>51</v>
      </c>
      <c r="AC3069" t="s">
        <v>51</v>
      </c>
      <c r="AD3069" t="s">
        <v>51</v>
      </c>
      <c r="AE3069" t="s">
        <v>51</v>
      </c>
      <c r="AF3069" t="s">
        <v>325</v>
      </c>
    </row>
    <row r="3070" spans="1:32" ht="14.5" customHeight="1" x14ac:dyDescent="0.35">
      <c r="A3070" t="s">
        <v>45</v>
      </c>
      <c r="B3070" t="s">
        <v>46</v>
      </c>
      <c r="C3070" t="s">
        <v>47</v>
      </c>
      <c r="D3070">
        <v>3100656</v>
      </c>
      <c r="E3070">
        <v>3100656</v>
      </c>
      <c r="F3070" t="s">
        <v>2285</v>
      </c>
      <c r="G3070" t="s">
        <v>2285</v>
      </c>
      <c r="H3070" t="s">
        <v>54</v>
      </c>
      <c r="I3070">
        <v>6959765</v>
      </c>
      <c r="J3070" s="12">
        <v>46128</v>
      </c>
      <c r="K3070" s="12">
        <v>46128</v>
      </c>
      <c r="L3070" s="12">
        <v>46128</v>
      </c>
      <c r="M3070">
        <v>4</v>
      </c>
      <c r="N3070">
        <v>-1899324</v>
      </c>
      <c r="O3070">
        <v>-1899324</v>
      </c>
      <c r="P3070">
        <v>0</v>
      </c>
      <c r="Q3070">
        <v>-1899324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 t="s">
        <v>47</v>
      </c>
      <c r="AA3070" t="s">
        <v>501</v>
      </c>
      <c r="AB3070" t="s">
        <v>51</v>
      </c>
      <c r="AC3070" t="s">
        <v>51</v>
      </c>
      <c r="AD3070" t="s">
        <v>51</v>
      </c>
      <c r="AE3070" t="s">
        <v>51</v>
      </c>
      <c r="AF3070" t="s">
        <v>64</v>
      </c>
    </row>
    <row r="3071" spans="1:32" ht="14.5" customHeight="1" x14ac:dyDescent="0.35">
      <c r="A3071" t="s">
        <v>45</v>
      </c>
      <c r="B3071" t="s">
        <v>46</v>
      </c>
      <c r="C3071" t="s">
        <v>47</v>
      </c>
      <c r="D3071">
        <v>3100656</v>
      </c>
      <c r="E3071">
        <v>3100656</v>
      </c>
      <c r="F3071" t="s">
        <v>2285</v>
      </c>
      <c r="G3071" t="s">
        <v>2285</v>
      </c>
      <c r="H3071" t="s">
        <v>54</v>
      </c>
      <c r="I3071">
        <v>6959766</v>
      </c>
      <c r="J3071" s="12">
        <v>46128</v>
      </c>
      <c r="K3071" s="12">
        <v>46128</v>
      </c>
      <c r="L3071" s="12">
        <v>46128</v>
      </c>
      <c r="M3071">
        <v>4</v>
      </c>
      <c r="N3071">
        <v>-38996</v>
      </c>
      <c r="O3071">
        <v>-38996</v>
      </c>
      <c r="P3071">
        <v>0</v>
      </c>
      <c r="Q3071">
        <v>-38996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 t="s">
        <v>47</v>
      </c>
      <c r="AA3071" t="s">
        <v>501</v>
      </c>
      <c r="AB3071" t="s">
        <v>51</v>
      </c>
      <c r="AC3071" t="s">
        <v>51</v>
      </c>
      <c r="AD3071" t="s">
        <v>51</v>
      </c>
      <c r="AE3071" t="s">
        <v>51</v>
      </c>
      <c r="AF3071" t="s">
        <v>2297</v>
      </c>
    </row>
    <row r="3072" spans="1:32" ht="14.5" customHeight="1" x14ac:dyDescent="0.35">
      <c r="A3072" t="s">
        <v>45</v>
      </c>
      <c r="B3072" t="s">
        <v>46</v>
      </c>
      <c r="C3072" t="s">
        <v>47</v>
      </c>
      <c r="D3072">
        <v>3100656</v>
      </c>
      <c r="E3072">
        <v>3100656</v>
      </c>
      <c r="F3072" t="s">
        <v>2285</v>
      </c>
      <c r="G3072" t="s">
        <v>2285</v>
      </c>
      <c r="H3072" t="s">
        <v>54</v>
      </c>
      <c r="I3072">
        <v>6959767</v>
      </c>
      <c r="J3072" s="12">
        <v>46128</v>
      </c>
      <c r="K3072" s="12">
        <v>46128</v>
      </c>
      <c r="L3072" s="12">
        <v>46128</v>
      </c>
      <c r="M3072">
        <v>4</v>
      </c>
      <c r="N3072">
        <v>-15335</v>
      </c>
      <c r="O3072">
        <v>-15335</v>
      </c>
      <c r="P3072">
        <v>0</v>
      </c>
      <c r="Q3072">
        <v>-15335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 t="s">
        <v>47</v>
      </c>
      <c r="AA3072" t="s">
        <v>501</v>
      </c>
      <c r="AB3072" t="s">
        <v>51</v>
      </c>
      <c r="AC3072" t="s">
        <v>51</v>
      </c>
      <c r="AD3072" t="s">
        <v>51</v>
      </c>
      <c r="AE3072" t="s">
        <v>51</v>
      </c>
      <c r="AF3072" t="s">
        <v>2298</v>
      </c>
    </row>
    <row r="3073" spans="1:32" ht="14.5" customHeight="1" x14ac:dyDescent="0.35">
      <c r="A3073" t="s">
        <v>45</v>
      </c>
      <c r="B3073" t="s">
        <v>46</v>
      </c>
      <c r="C3073" t="s">
        <v>47</v>
      </c>
      <c r="D3073">
        <v>3100656</v>
      </c>
      <c r="E3073">
        <v>3100656</v>
      </c>
      <c r="F3073" t="s">
        <v>2285</v>
      </c>
      <c r="G3073" t="s">
        <v>2285</v>
      </c>
      <c r="H3073" t="s">
        <v>54</v>
      </c>
      <c r="I3073">
        <v>6959768</v>
      </c>
      <c r="J3073" s="12">
        <v>46128</v>
      </c>
      <c r="K3073" s="12">
        <v>46128</v>
      </c>
      <c r="L3073" s="12">
        <v>46128</v>
      </c>
      <c r="M3073">
        <v>4</v>
      </c>
      <c r="N3073">
        <v>-187000</v>
      </c>
      <c r="O3073">
        <v>-187000</v>
      </c>
      <c r="P3073">
        <v>0</v>
      </c>
      <c r="Q3073">
        <v>-187000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 t="s">
        <v>47</v>
      </c>
      <c r="AA3073" t="s">
        <v>501</v>
      </c>
      <c r="AB3073" t="s">
        <v>51</v>
      </c>
      <c r="AC3073" t="s">
        <v>51</v>
      </c>
      <c r="AD3073" t="s">
        <v>51</v>
      </c>
      <c r="AE3073" t="s">
        <v>51</v>
      </c>
      <c r="AF3073" t="s">
        <v>2299</v>
      </c>
    </row>
    <row r="3074" spans="1:32" ht="14.5" customHeight="1" x14ac:dyDescent="0.35">
      <c r="A3074" t="s">
        <v>45</v>
      </c>
      <c r="B3074" t="s">
        <v>46</v>
      </c>
      <c r="C3074" t="s">
        <v>47</v>
      </c>
      <c r="D3074">
        <v>3100656</v>
      </c>
      <c r="E3074">
        <v>3100656</v>
      </c>
      <c r="F3074" t="s">
        <v>2285</v>
      </c>
      <c r="G3074" t="s">
        <v>2285</v>
      </c>
      <c r="H3074" t="s">
        <v>54</v>
      </c>
      <c r="I3074">
        <v>6959769</v>
      </c>
      <c r="J3074" s="12">
        <v>46128</v>
      </c>
      <c r="K3074" s="12">
        <v>46128</v>
      </c>
      <c r="L3074" s="12">
        <v>46128</v>
      </c>
      <c r="M3074">
        <v>4</v>
      </c>
      <c r="N3074">
        <v>-495550</v>
      </c>
      <c r="O3074">
        <v>-495550</v>
      </c>
      <c r="P3074">
        <v>0</v>
      </c>
      <c r="Q3074">
        <v>-495550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 t="s">
        <v>47</v>
      </c>
      <c r="AA3074" t="s">
        <v>501</v>
      </c>
      <c r="AB3074" t="s">
        <v>51</v>
      </c>
      <c r="AC3074" t="s">
        <v>51</v>
      </c>
      <c r="AD3074" t="s">
        <v>51</v>
      </c>
      <c r="AE3074" t="s">
        <v>51</v>
      </c>
      <c r="AF3074" t="s">
        <v>2300</v>
      </c>
    </row>
    <row r="3075" spans="1:32" ht="14.5" customHeight="1" x14ac:dyDescent="0.35">
      <c r="A3075" t="s">
        <v>45</v>
      </c>
      <c r="B3075" t="s">
        <v>46</v>
      </c>
      <c r="C3075" t="s">
        <v>47</v>
      </c>
      <c r="D3075">
        <v>3100656</v>
      </c>
      <c r="E3075">
        <v>3100656</v>
      </c>
      <c r="F3075" t="s">
        <v>2285</v>
      </c>
      <c r="G3075" t="s">
        <v>2285</v>
      </c>
      <c r="H3075" t="s">
        <v>54</v>
      </c>
      <c r="I3075">
        <v>6960108</v>
      </c>
      <c r="J3075" s="12">
        <v>46130</v>
      </c>
      <c r="K3075" s="12">
        <v>46130</v>
      </c>
      <c r="L3075" s="12">
        <v>46130</v>
      </c>
      <c r="M3075">
        <v>2</v>
      </c>
      <c r="N3075">
        <v>-1028500</v>
      </c>
      <c r="O3075">
        <v>-1028500</v>
      </c>
      <c r="P3075">
        <v>0</v>
      </c>
      <c r="Q3075">
        <v>-1028500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 t="s">
        <v>47</v>
      </c>
      <c r="AA3075" t="s">
        <v>501</v>
      </c>
      <c r="AB3075" t="s">
        <v>51</v>
      </c>
      <c r="AC3075" t="s">
        <v>51</v>
      </c>
      <c r="AD3075" t="s">
        <v>51</v>
      </c>
      <c r="AE3075" t="s">
        <v>51</v>
      </c>
      <c r="AF3075" t="s">
        <v>2301</v>
      </c>
    </row>
    <row r="3076" spans="1:32" ht="14.5" customHeight="1" x14ac:dyDescent="0.35">
      <c r="A3076" t="s">
        <v>45</v>
      </c>
      <c r="B3076" t="s">
        <v>46</v>
      </c>
      <c r="C3076" t="s">
        <v>47</v>
      </c>
      <c r="D3076">
        <v>3100656</v>
      </c>
      <c r="E3076">
        <v>3100656</v>
      </c>
      <c r="F3076" t="s">
        <v>2285</v>
      </c>
      <c r="G3076" t="s">
        <v>2285</v>
      </c>
      <c r="H3076" t="s">
        <v>54</v>
      </c>
      <c r="I3076">
        <v>6960109</v>
      </c>
      <c r="J3076" s="12">
        <v>46130</v>
      </c>
      <c r="K3076" s="12">
        <v>46130</v>
      </c>
      <c r="L3076" s="12">
        <v>46130</v>
      </c>
      <c r="M3076">
        <v>2</v>
      </c>
      <c r="N3076">
        <v>-233750</v>
      </c>
      <c r="O3076">
        <v>-233750</v>
      </c>
      <c r="P3076">
        <v>0</v>
      </c>
      <c r="Q3076">
        <v>-233750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 t="s">
        <v>47</v>
      </c>
      <c r="AA3076" t="s">
        <v>501</v>
      </c>
      <c r="AB3076" t="s">
        <v>51</v>
      </c>
      <c r="AC3076" t="s">
        <v>51</v>
      </c>
      <c r="AD3076" t="s">
        <v>51</v>
      </c>
      <c r="AE3076" t="s">
        <v>51</v>
      </c>
      <c r="AF3076" t="s">
        <v>2302</v>
      </c>
    </row>
    <row r="3077" spans="1:32" ht="14.5" customHeight="1" x14ac:dyDescent="0.35">
      <c r="A3077" t="s">
        <v>45</v>
      </c>
      <c r="B3077" t="s">
        <v>46</v>
      </c>
      <c r="C3077" t="s">
        <v>47</v>
      </c>
      <c r="D3077">
        <v>3100656</v>
      </c>
      <c r="E3077">
        <v>3100656</v>
      </c>
      <c r="F3077" t="s">
        <v>2285</v>
      </c>
      <c r="G3077" t="s">
        <v>2285</v>
      </c>
      <c r="H3077" t="s">
        <v>54</v>
      </c>
      <c r="I3077">
        <v>6960110</v>
      </c>
      <c r="J3077" s="12">
        <v>46130</v>
      </c>
      <c r="K3077" s="12">
        <v>46130</v>
      </c>
      <c r="L3077" s="12">
        <v>46130</v>
      </c>
      <c r="M3077">
        <v>2</v>
      </c>
      <c r="N3077">
        <v>-338992</v>
      </c>
      <c r="O3077">
        <v>-338992</v>
      </c>
      <c r="P3077">
        <v>0</v>
      </c>
      <c r="Q3077">
        <v>-338992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 t="s">
        <v>47</v>
      </c>
      <c r="AA3077" t="s">
        <v>501</v>
      </c>
      <c r="AB3077" t="s">
        <v>51</v>
      </c>
      <c r="AC3077" t="s">
        <v>51</v>
      </c>
      <c r="AD3077" t="s">
        <v>51</v>
      </c>
      <c r="AE3077" t="s">
        <v>51</v>
      </c>
      <c r="AF3077" t="s">
        <v>2303</v>
      </c>
    </row>
    <row r="3078" spans="1:32" ht="14.5" customHeight="1" x14ac:dyDescent="0.35">
      <c r="A3078" t="s">
        <v>45</v>
      </c>
      <c r="B3078" t="s">
        <v>46</v>
      </c>
      <c r="C3078" t="s">
        <v>47</v>
      </c>
      <c r="D3078">
        <v>3100656</v>
      </c>
      <c r="E3078">
        <v>3100656</v>
      </c>
      <c r="F3078" t="s">
        <v>2285</v>
      </c>
      <c r="G3078" t="s">
        <v>2285</v>
      </c>
      <c r="H3078" t="s">
        <v>54</v>
      </c>
      <c r="I3078">
        <v>6960111</v>
      </c>
      <c r="J3078" s="12">
        <v>46130</v>
      </c>
      <c r="K3078" s="12">
        <v>46130</v>
      </c>
      <c r="L3078" s="12">
        <v>46130</v>
      </c>
      <c r="M3078">
        <v>2</v>
      </c>
      <c r="N3078">
        <v>-486914</v>
      </c>
      <c r="O3078">
        <v>-486914</v>
      </c>
      <c r="P3078">
        <v>0</v>
      </c>
      <c r="Q3078">
        <v>-486914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 t="s">
        <v>47</v>
      </c>
      <c r="AA3078" t="s">
        <v>501</v>
      </c>
      <c r="AB3078" t="s">
        <v>51</v>
      </c>
      <c r="AC3078" t="s">
        <v>51</v>
      </c>
      <c r="AD3078" t="s">
        <v>51</v>
      </c>
      <c r="AE3078" t="s">
        <v>51</v>
      </c>
      <c r="AF3078" t="s">
        <v>2304</v>
      </c>
    </row>
    <row r="3079" spans="1:32" ht="14.5" customHeight="1" x14ac:dyDescent="0.35">
      <c r="A3079" t="s">
        <v>45</v>
      </c>
      <c r="B3079" t="s">
        <v>46</v>
      </c>
      <c r="C3079" t="s">
        <v>47</v>
      </c>
      <c r="D3079">
        <v>3100656</v>
      </c>
      <c r="E3079">
        <v>3100656</v>
      </c>
      <c r="F3079" t="s">
        <v>2285</v>
      </c>
      <c r="G3079" t="s">
        <v>2285</v>
      </c>
      <c r="H3079" t="s">
        <v>54</v>
      </c>
      <c r="I3079">
        <v>6960112</v>
      </c>
      <c r="J3079" s="12">
        <v>46130</v>
      </c>
      <c r="K3079" s="12">
        <v>46130</v>
      </c>
      <c r="L3079" s="12">
        <v>46130</v>
      </c>
      <c r="M3079">
        <v>2</v>
      </c>
      <c r="N3079">
        <v>-421030</v>
      </c>
      <c r="O3079">
        <v>-421030</v>
      </c>
      <c r="P3079">
        <v>0</v>
      </c>
      <c r="Q3079">
        <v>-421030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 t="s">
        <v>47</v>
      </c>
      <c r="AA3079" t="s">
        <v>501</v>
      </c>
      <c r="AB3079" t="s">
        <v>51</v>
      </c>
      <c r="AC3079" t="s">
        <v>51</v>
      </c>
      <c r="AD3079" t="s">
        <v>51</v>
      </c>
      <c r="AE3079" t="s">
        <v>51</v>
      </c>
      <c r="AF3079" t="s">
        <v>2305</v>
      </c>
    </row>
    <row r="3080" spans="1:32" ht="14.5" customHeight="1" x14ac:dyDescent="0.35">
      <c r="A3080" t="s">
        <v>45</v>
      </c>
      <c r="B3080" t="s">
        <v>46</v>
      </c>
      <c r="C3080" t="s">
        <v>47</v>
      </c>
      <c r="D3080">
        <v>3100656</v>
      </c>
      <c r="E3080">
        <v>3100656</v>
      </c>
      <c r="F3080" t="s">
        <v>2285</v>
      </c>
      <c r="G3080" t="s">
        <v>2285</v>
      </c>
      <c r="H3080" t="s">
        <v>54</v>
      </c>
      <c r="I3080">
        <v>6960113</v>
      </c>
      <c r="J3080" s="12">
        <v>46130</v>
      </c>
      <c r="K3080" s="12">
        <v>46130</v>
      </c>
      <c r="L3080" s="12">
        <v>46130</v>
      </c>
      <c r="M3080">
        <v>2</v>
      </c>
      <c r="N3080">
        <v>-532612</v>
      </c>
      <c r="O3080">
        <v>-532612</v>
      </c>
      <c r="P3080">
        <v>0</v>
      </c>
      <c r="Q3080">
        <v>-532612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 t="s">
        <v>47</v>
      </c>
      <c r="AA3080" t="s">
        <v>501</v>
      </c>
      <c r="AB3080" t="s">
        <v>51</v>
      </c>
      <c r="AC3080" t="s">
        <v>51</v>
      </c>
      <c r="AD3080" t="s">
        <v>51</v>
      </c>
      <c r="AE3080" t="s">
        <v>51</v>
      </c>
      <c r="AF3080" t="s">
        <v>2306</v>
      </c>
    </row>
    <row r="3081" spans="1:32" ht="14.5" customHeight="1" x14ac:dyDescent="0.35">
      <c r="A3081" t="s">
        <v>45</v>
      </c>
      <c r="B3081" t="s">
        <v>46</v>
      </c>
      <c r="C3081" t="s">
        <v>47</v>
      </c>
      <c r="D3081">
        <v>3100656</v>
      </c>
      <c r="E3081">
        <v>3100656</v>
      </c>
      <c r="F3081" t="s">
        <v>2285</v>
      </c>
      <c r="G3081" t="s">
        <v>2285</v>
      </c>
      <c r="H3081" t="s">
        <v>54</v>
      </c>
      <c r="I3081">
        <v>6960114</v>
      </c>
      <c r="J3081" s="12">
        <v>46130</v>
      </c>
      <c r="K3081" s="12">
        <v>46130</v>
      </c>
      <c r="L3081" s="12">
        <v>46130</v>
      </c>
      <c r="M3081">
        <v>2</v>
      </c>
      <c r="N3081">
        <v>-970448</v>
      </c>
      <c r="O3081">
        <v>-970448</v>
      </c>
      <c r="P3081">
        <v>0</v>
      </c>
      <c r="Q3081">
        <v>-970448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 t="s">
        <v>47</v>
      </c>
      <c r="AA3081" t="s">
        <v>501</v>
      </c>
      <c r="AB3081" t="s">
        <v>51</v>
      </c>
      <c r="AC3081" t="s">
        <v>51</v>
      </c>
      <c r="AD3081" t="s">
        <v>51</v>
      </c>
      <c r="AE3081" t="s">
        <v>51</v>
      </c>
      <c r="AF3081" t="s">
        <v>2307</v>
      </c>
    </row>
    <row r="3082" spans="1:32" ht="14.5" customHeight="1" x14ac:dyDescent="0.35">
      <c r="A3082" t="s">
        <v>45</v>
      </c>
      <c r="B3082" t="s">
        <v>46</v>
      </c>
      <c r="C3082" t="s">
        <v>47</v>
      </c>
      <c r="D3082">
        <v>3100656</v>
      </c>
      <c r="E3082">
        <v>3100656</v>
      </c>
      <c r="F3082" t="s">
        <v>2285</v>
      </c>
      <c r="G3082" t="s">
        <v>2285</v>
      </c>
      <c r="H3082" t="s">
        <v>54</v>
      </c>
      <c r="I3082">
        <v>6960115</v>
      </c>
      <c r="J3082" s="12">
        <v>46130</v>
      </c>
      <c r="K3082" s="12">
        <v>46130</v>
      </c>
      <c r="L3082" s="12">
        <v>46130</v>
      </c>
      <c r="M3082">
        <v>2</v>
      </c>
      <c r="N3082">
        <v>-611610</v>
      </c>
      <c r="O3082">
        <v>-611610</v>
      </c>
      <c r="P3082">
        <v>0</v>
      </c>
      <c r="Q3082">
        <v>-611610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 t="s">
        <v>47</v>
      </c>
      <c r="AA3082" t="s">
        <v>501</v>
      </c>
      <c r="AB3082" t="s">
        <v>51</v>
      </c>
      <c r="AC3082" t="s">
        <v>51</v>
      </c>
      <c r="AD3082" t="s">
        <v>51</v>
      </c>
      <c r="AE3082" t="s">
        <v>51</v>
      </c>
      <c r="AF3082" t="s">
        <v>2308</v>
      </c>
    </row>
    <row r="3083" spans="1:32" ht="14.5" customHeight="1" x14ac:dyDescent="0.35">
      <c r="A3083" t="s">
        <v>45</v>
      </c>
      <c r="B3083" t="s">
        <v>46</v>
      </c>
      <c r="C3083" t="s">
        <v>47</v>
      </c>
      <c r="D3083">
        <v>3100656</v>
      </c>
      <c r="E3083">
        <v>3100656</v>
      </c>
      <c r="F3083" t="s">
        <v>2285</v>
      </c>
      <c r="G3083" t="s">
        <v>2285</v>
      </c>
      <c r="H3083" t="s">
        <v>54</v>
      </c>
      <c r="I3083">
        <v>6960116</v>
      </c>
      <c r="J3083" s="12">
        <v>46130</v>
      </c>
      <c r="K3083" s="12">
        <v>46130</v>
      </c>
      <c r="L3083" s="12">
        <v>46130</v>
      </c>
      <c r="M3083">
        <v>2</v>
      </c>
      <c r="N3083">
        <v>-621317</v>
      </c>
      <c r="O3083">
        <v>-621317</v>
      </c>
      <c r="P3083">
        <v>0</v>
      </c>
      <c r="Q3083">
        <v>-621317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 t="s">
        <v>47</v>
      </c>
      <c r="AA3083" t="s">
        <v>501</v>
      </c>
      <c r="AB3083" t="s">
        <v>51</v>
      </c>
      <c r="AC3083" t="s">
        <v>51</v>
      </c>
      <c r="AD3083" t="s">
        <v>51</v>
      </c>
      <c r="AE3083" t="s">
        <v>51</v>
      </c>
      <c r="AF3083" t="s">
        <v>2309</v>
      </c>
    </row>
    <row r="3084" spans="1:32" ht="14.5" customHeight="1" x14ac:dyDescent="0.35">
      <c r="A3084" t="s">
        <v>45</v>
      </c>
      <c r="B3084" t="s">
        <v>46</v>
      </c>
      <c r="C3084" t="s">
        <v>47</v>
      </c>
      <c r="D3084">
        <v>3100656</v>
      </c>
      <c r="E3084">
        <v>3100656</v>
      </c>
      <c r="F3084" t="s">
        <v>2285</v>
      </c>
      <c r="G3084" t="s">
        <v>2285</v>
      </c>
      <c r="H3084" t="s">
        <v>54</v>
      </c>
      <c r="I3084">
        <v>6960117</v>
      </c>
      <c r="J3084" s="12">
        <v>46130</v>
      </c>
      <c r="K3084" s="12">
        <v>46130</v>
      </c>
      <c r="L3084" s="12">
        <v>46130</v>
      </c>
      <c r="M3084">
        <v>2</v>
      </c>
      <c r="N3084">
        <v>-410337</v>
      </c>
      <c r="O3084">
        <v>-410337</v>
      </c>
      <c r="P3084">
        <v>0</v>
      </c>
      <c r="Q3084">
        <v>-410337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 t="s">
        <v>47</v>
      </c>
      <c r="AA3084" t="s">
        <v>501</v>
      </c>
      <c r="AB3084" t="s">
        <v>51</v>
      </c>
      <c r="AC3084" t="s">
        <v>51</v>
      </c>
      <c r="AD3084" t="s">
        <v>51</v>
      </c>
      <c r="AE3084" t="s">
        <v>51</v>
      </c>
      <c r="AF3084" t="s">
        <v>2310</v>
      </c>
    </row>
    <row r="3085" spans="1:32" ht="14.5" customHeight="1" x14ac:dyDescent="0.35">
      <c r="A3085" t="s">
        <v>45</v>
      </c>
      <c r="B3085" t="s">
        <v>46</v>
      </c>
      <c r="C3085" t="s">
        <v>47</v>
      </c>
      <c r="D3085">
        <v>3100656</v>
      </c>
      <c r="E3085">
        <v>3100656</v>
      </c>
      <c r="F3085" t="s">
        <v>2285</v>
      </c>
      <c r="G3085" t="s">
        <v>2285</v>
      </c>
      <c r="H3085" t="s">
        <v>54</v>
      </c>
      <c r="I3085">
        <v>6960118</v>
      </c>
      <c r="J3085" s="12">
        <v>46130</v>
      </c>
      <c r="K3085" s="12">
        <v>46130</v>
      </c>
      <c r="L3085" s="12">
        <v>46130</v>
      </c>
      <c r="M3085">
        <v>2</v>
      </c>
      <c r="N3085">
        <v>-416201</v>
      </c>
      <c r="O3085">
        <v>-416201</v>
      </c>
      <c r="P3085">
        <v>0</v>
      </c>
      <c r="Q3085">
        <v>-416201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 t="s">
        <v>47</v>
      </c>
      <c r="AA3085" t="s">
        <v>501</v>
      </c>
      <c r="AB3085" t="s">
        <v>51</v>
      </c>
      <c r="AC3085" t="s">
        <v>51</v>
      </c>
      <c r="AD3085" t="s">
        <v>51</v>
      </c>
      <c r="AE3085" t="s">
        <v>51</v>
      </c>
      <c r="AF3085" t="s">
        <v>2311</v>
      </c>
    </row>
    <row r="3086" spans="1:32" ht="14.5" customHeight="1" x14ac:dyDescent="0.35">
      <c r="A3086" t="s">
        <v>45</v>
      </c>
      <c r="B3086" t="s">
        <v>46</v>
      </c>
      <c r="C3086" t="s">
        <v>47</v>
      </c>
      <c r="D3086">
        <v>3100656</v>
      </c>
      <c r="E3086">
        <v>3100656</v>
      </c>
      <c r="F3086" t="s">
        <v>2285</v>
      </c>
      <c r="G3086" t="s">
        <v>2285</v>
      </c>
      <c r="H3086" t="s">
        <v>54</v>
      </c>
      <c r="I3086">
        <v>6960119</v>
      </c>
      <c r="J3086" s="12">
        <v>46130</v>
      </c>
      <c r="K3086" s="12">
        <v>46130</v>
      </c>
      <c r="L3086" s="12">
        <v>46130</v>
      </c>
      <c r="M3086">
        <v>2</v>
      </c>
      <c r="N3086">
        <v>-504935</v>
      </c>
      <c r="O3086">
        <v>-504935</v>
      </c>
      <c r="P3086">
        <v>0</v>
      </c>
      <c r="Q3086">
        <v>-504935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 t="s">
        <v>47</v>
      </c>
      <c r="AA3086" t="s">
        <v>501</v>
      </c>
      <c r="AB3086" t="s">
        <v>51</v>
      </c>
      <c r="AC3086" t="s">
        <v>51</v>
      </c>
      <c r="AD3086" t="s">
        <v>51</v>
      </c>
      <c r="AE3086" t="s">
        <v>51</v>
      </c>
      <c r="AF3086" t="s">
        <v>2312</v>
      </c>
    </row>
    <row r="3087" spans="1:32" ht="14.5" customHeight="1" x14ac:dyDescent="0.35">
      <c r="A3087" t="s">
        <v>45</v>
      </c>
      <c r="B3087" t="s">
        <v>46</v>
      </c>
      <c r="C3087" t="s">
        <v>47</v>
      </c>
      <c r="D3087">
        <v>3100656</v>
      </c>
      <c r="E3087">
        <v>3100656</v>
      </c>
      <c r="F3087" t="s">
        <v>2285</v>
      </c>
      <c r="G3087" t="s">
        <v>2285</v>
      </c>
      <c r="H3087" t="s">
        <v>54</v>
      </c>
      <c r="I3087">
        <v>6960120</v>
      </c>
      <c r="J3087" s="12">
        <v>46130</v>
      </c>
      <c r="K3087" s="12">
        <v>46130</v>
      </c>
      <c r="L3087" s="12">
        <v>46130</v>
      </c>
      <c r="M3087">
        <v>2</v>
      </c>
      <c r="N3087">
        <v>-709929</v>
      </c>
      <c r="O3087">
        <v>-709929</v>
      </c>
      <c r="P3087">
        <v>0</v>
      </c>
      <c r="Q3087">
        <v>-709929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 t="s">
        <v>47</v>
      </c>
      <c r="AA3087" t="s">
        <v>501</v>
      </c>
      <c r="AB3087" t="s">
        <v>51</v>
      </c>
      <c r="AC3087" t="s">
        <v>51</v>
      </c>
      <c r="AD3087" t="s">
        <v>51</v>
      </c>
      <c r="AE3087" t="s">
        <v>51</v>
      </c>
      <c r="AF3087" t="s">
        <v>2313</v>
      </c>
    </row>
    <row r="3088" spans="1:32" ht="14.5" customHeight="1" x14ac:dyDescent="0.35">
      <c r="A3088" t="s">
        <v>45</v>
      </c>
      <c r="B3088" t="s">
        <v>46</v>
      </c>
      <c r="C3088" t="s">
        <v>47</v>
      </c>
      <c r="D3088">
        <v>3100656</v>
      </c>
      <c r="E3088">
        <v>3100656</v>
      </c>
      <c r="F3088" t="s">
        <v>2285</v>
      </c>
      <c r="G3088" t="s">
        <v>2285</v>
      </c>
      <c r="H3088" t="s">
        <v>54</v>
      </c>
      <c r="I3088">
        <v>6960121</v>
      </c>
      <c r="J3088" s="12">
        <v>46130</v>
      </c>
      <c r="K3088" s="12">
        <v>46130</v>
      </c>
      <c r="L3088" s="12">
        <v>46130</v>
      </c>
      <c r="M3088">
        <v>2</v>
      </c>
      <c r="N3088">
        <v>-2403625</v>
      </c>
      <c r="O3088">
        <v>-2403625</v>
      </c>
      <c r="P3088">
        <v>0</v>
      </c>
      <c r="Q3088">
        <v>-2403625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 t="s">
        <v>47</v>
      </c>
      <c r="AA3088" t="s">
        <v>501</v>
      </c>
      <c r="AB3088" t="s">
        <v>51</v>
      </c>
      <c r="AC3088" t="s">
        <v>51</v>
      </c>
      <c r="AD3088" t="s">
        <v>51</v>
      </c>
      <c r="AE3088" t="s">
        <v>51</v>
      </c>
      <c r="AF3088" t="s">
        <v>2314</v>
      </c>
    </row>
    <row r="3089" spans="1:32" ht="14.5" customHeight="1" x14ac:dyDescent="0.35">
      <c r="A3089" t="s">
        <v>45</v>
      </c>
      <c r="B3089" t="s">
        <v>46</v>
      </c>
      <c r="C3089" t="s">
        <v>47</v>
      </c>
      <c r="D3089">
        <v>3100656</v>
      </c>
      <c r="E3089">
        <v>3100656</v>
      </c>
      <c r="F3089" t="s">
        <v>2285</v>
      </c>
      <c r="G3089" t="s">
        <v>2285</v>
      </c>
      <c r="H3089" t="s">
        <v>54</v>
      </c>
      <c r="I3089">
        <v>6960122</v>
      </c>
      <c r="J3089" s="12">
        <v>46130</v>
      </c>
      <c r="K3089" s="12">
        <v>46130</v>
      </c>
      <c r="L3089" s="12">
        <v>46130</v>
      </c>
      <c r="M3089">
        <v>2</v>
      </c>
      <c r="N3089">
        <v>-2036445</v>
      </c>
      <c r="O3089">
        <v>-2036445</v>
      </c>
      <c r="P3089">
        <v>0</v>
      </c>
      <c r="Q3089">
        <v>-2036445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 t="s">
        <v>47</v>
      </c>
      <c r="AA3089" t="s">
        <v>501</v>
      </c>
      <c r="AB3089" t="s">
        <v>51</v>
      </c>
      <c r="AC3089" t="s">
        <v>51</v>
      </c>
      <c r="AD3089" t="s">
        <v>51</v>
      </c>
      <c r="AE3089" t="s">
        <v>51</v>
      </c>
      <c r="AF3089" t="s">
        <v>2315</v>
      </c>
    </row>
    <row r="3090" spans="1:32" ht="14.5" customHeight="1" x14ac:dyDescent="0.35">
      <c r="A3090" t="s">
        <v>45</v>
      </c>
      <c r="B3090" t="s">
        <v>46</v>
      </c>
      <c r="C3090" t="s">
        <v>47</v>
      </c>
      <c r="D3090">
        <v>3100656</v>
      </c>
      <c r="E3090">
        <v>3100656</v>
      </c>
      <c r="F3090" t="s">
        <v>2285</v>
      </c>
      <c r="G3090" t="s">
        <v>2285</v>
      </c>
      <c r="H3090" t="s">
        <v>54</v>
      </c>
      <c r="I3090">
        <v>6960123</v>
      </c>
      <c r="J3090" s="12">
        <v>46130</v>
      </c>
      <c r="K3090" s="12">
        <v>46130</v>
      </c>
      <c r="L3090" s="12">
        <v>46130</v>
      </c>
      <c r="M3090">
        <v>2</v>
      </c>
      <c r="N3090">
        <v>-2082401</v>
      </c>
      <c r="O3090">
        <v>-2082401</v>
      </c>
      <c r="P3090">
        <v>0</v>
      </c>
      <c r="Q3090">
        <v>-2082401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 t="s">
        <v>47</v>
      </c>
      <c r="AA3090" t="s">
        <v>501</v>
      </c>
      <c r="AB3090" t="s">
        <v>51</v>
      </c>
      <c r="AC3090" t="s">
        <v>51</v>
      </c>
      <c r="AD3090" t="s">
        <v>51</v>
      </c>
      <c r="AE3090" t="s">
        <v>51</v>
      </c>
      <c r="AF3090" t="s">
        <v>2315</v>
      </c>
    </row>
    <row r="3091" spans="1:32" ht="14.5" customHeight="1" x14ac:dyDescent="0.35">
      <c r="A3091" t="s">
        <v>45</v>
      </c>
      <c r="B3091" t="s">
        <v>46</v>
      </c>
      <c r="C3091" t="s">
        <v>47</v>
      </c>
      <c r="D3091">
        <v>3100656</v>
      </c>
      <c r="E3091">
        <v>3100656</v>
      </c>
      <c r="F3091" t="s">
        <v>2285</v>
      </c>
      <c r="G3091" t="s">
        <v>2285</v>
      </c>
      <c r="H3091" t="s">
        <v>54</v>
      </c>
      <c r="I3091">
        <v>6960310</v>
      </c>
      <c r="J3091" s="12">
        <v>46132</v>
      </c>
      <c r="K3091" s="12">
        <v>46132</v>
      </c>
      <c r="L3091" s="12">
        <v>46132</v>
      </c>
      <c r="M3091">
        <v>0</v>
      </c>
      <c r="N3091">
        <v>-2730000</v>
      </c>
      <c r="O3091">
        <v>-2730000</v>
      </c>
      <c r="P3091">
        <v>-2730000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 t="s">
        <v>47</v>
      </c>
      <c r="AA3091" t="s">
        <v>501</v>
      </c>
      <c r="AB3091" t="s">
        <v>2316</v>
      </c>
      <c r="AC3091" t="s">
        <v>51</v>
      </c>
      <c r="AD3091" t="s">
        <v>51</v>
      </c>
      <c r="AE3091" t="s">
        <v>51</v>
      </c>
      <c r="AF3091" t="s">
        <v>2317</v>
      </c>
    </row>
    <row r="3092" spans="1:32" ht="14.5" customHeight="1" x14ac:dyDescent="0.35">
      <c r="A3092" t="s">
        <v>45</v>
      </c>
      <c r="B3092" t="s">
        <v>46</v>
      </c>
      <c r="C3092" t="s">
        <v>47</v>
      </c>
      <c r="D3092">
        <v>3100656</v>
      </c>
      <c r="E3092">
        <v>3100656</v>
      </c>
      <c r="F3092" t="s">
        <v>2285</v>
      </c>
      <c r="G3092" t="s">
        <v>2285</v>
      </c>
      <c r="H3092" t="s">
        <v>54</v>
      </c>
      <c r="I3092">
        <v>9914809</v>
      </c>
      <c r="J3092" s="12">
        <v>46094</v>
      </c>
      <c r="K3092" s="12">
        <v>46094</v>
      </c>
      <c r="L3092" s="12">
        <v>46138</v>
      </c>
      <c r="M3092">
        <v>-6</v>
      </c>
      <c r="N3092">
        <v>487551441</v>
      </c>
      <c r="O3092">
        <v>0</v>
      </c>
      <c r="P3092">
        <v>487551441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 t="s">
        <v>47</v>
      </c>
      <c r="AA3092" t="s">
        <v>501</v>
      </c>
      <c r="AB3092" t="s">
        <v>51</v>
      </c>
      <c r="AC3092" t="s">
        <v>2318</v>
      </c>
      <c r="AD3092" t="s">
        <v>51</v>
      </c>
      <c r="AE3092" t="s">
        <v>51</v>
      </c>
      <c r="AF3092" t="s">
        <v>1587</v>
      </c>
    </row>
    <row r="3093" spans="1:32" ht="14.5" customHeight="1" x14ac:dyDescent="0.35">
      <c r="A3093" t="s">
        <v>45</v>
      </c>
      <c r="B3093" t="s">
        <v>46</v>
      </c>
      <c r="C3093" t="s">
        <v>47</v>
      </c>
      <c r="D3093">
        <v>3100656</v>
      </c>
      <c r="E3093">
        <v>3100656</v>
      </c>
      <c r="F3093" t="s">
        <v>2285</v>
      </c>
      <c r="G3093" t="s">
        <v>2285</v>
      </c>
      <c r="H3093" t="s">
        <v>54</v>
      </c>
      <c r="I3093">
        <v>9914854</v>
      </c>
      <c r="J3093" s="12">
        <v>46094</v>
      </c>
      <c r="K3093" s="12">
        <v>46094</v>
      </c>
      <c r="L3093" s="12">
        <v>46138</v>
      </c>
      <c r="M3093">
        <v>-6</v>
      </c>
      <c r="N3093">
        <v>322904122</v>
      </c>
      <c r="O3093">
        <v>0</v>
      </c>
      <c r="P3093">
        <v>322904122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 t="s">
        <v>47</v>
      </c>
      <c r="AA3093" t="s">
        <v>501</v>
      </c>
      <c r="AB3093" t="s">
        <v>51</v>
      </c>
      <c r="AC3093" t="s">
        <v>2319</v>
      </c>
      <c r="AD3093" t="s">
        <v>51</v>
      </c>
      <c r="AE3093" t="s">
        <v>51</v>
      </c>
      <c r="AF3093" t="s">
        <v>178</v>
      </c>
    </row>
    <row r="3094" spans="1:32" ht="14.5" customHeight="1" x14ac:dyDescent="0.35">
      <c r="A3094" t="s">
        <v>45</v>
      </c>
      <c r="B3094" t="s">
        <v>46</v>
      </c>
      <c r="C3094" t="s">
        <v>47</v>
      </c>
      <c r="D3094">
        <v>3100656</v>
      </c>
      <c r="E3094">
        <v>3100656</v>
      </c>
      <c r="F3094" t="s">
        <v>2285</v>
      </c>
      <c r="G3094" t="s">
        <v>2285</v>
      </c>
      <c r="H3094" t="s">
        <v>54</v>
      </c>
      <c r="I3094">
        <v>9914855</v>
      </c>
      <c r="J3094" s="12">
        <v>46094</v>
      </c>
      <c r="K3094" s="12">
        <v>46094</v>
      </c>
      <c r="L3094" s="12">
        <v>46138</v>
      </c>
      <c r="M3094">
        <v>-6</v>
      </c>
      <c r="N3094">
        <v>339313114</v>
      </c>
      <c r="O3094">
        <v>0</v>
      </c>
      <c r="P3094">
        <v>339313114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 t="s">
        <v>47</v>
      </c>
      <c r="AA3094" t="s">
        <v>501</v>
      </c>
      <c r="AB3094" t="s">
        <v>51</v>
      </c>
      <c r="AC3094" t="s">
        <v>2320</v>
      </c>
      <c r="AD3094" t="s">
        <v>51</v>
      </c>
      <c r="AE3094" t="s">
        <v>51</v>
      </c>
      <c r="AF3094" t="s">
        <v>2321</v>
      </c>
    </row>
    <row r="3095" spans="1:32" ht="14.5" customHeight="1" x14ac:dyDescent="0.35">
      <c r="A3095" t="s">
        <v>45</v>
      </c>
      <c r="B3095" t="s">
        <v>46</v>
      </c>
      <c r="C3095" t="s">
        <v>47</v>
      </c>
      <c r="D3095">
        <v>3100656</v>
      </c>
      <c r="E3095">
        <v>3100656</v>
      </c>
      <c r="F3095" t="s">
        <v>2285</v>
      </c>
      <c r="G3095" t="s">
        <v>2285</v>
      </c>
      <c r="H3095" t="s">
        <v>54</v>
      </c>
      <c r="I3095">
        <v>9914856</v>
      </c>
      <c r="J3095" s="12">
        <v>46094</v>
      </c>
      <c r="K3095" s="12">
        <v>46094</v>
      </c>
      <c r="L3095" s="12">
        <v>46138</v>
      </c>
      <c r="M3095">
        <v>-6</v>
      </c>
      <c r="N3095">
        <v>303053197</v>
      </c>
      <c r="O3095">
        <v>0</v>
      </c>
      <c r="P3095">
        <v>303053197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 t="s">
        <v>47</v>
      </c>
      <c r="AA3095" t="s">
        <v>501</v>
      </c>
      <c r="AB3095" t="s">
        <v>51</v>
      </c>
      <c r="AC3095" t="s">
        <v>2322</v>
      </c>
      <c r="AD3095" t="s">
        <v>51</v>
      </c>
      <c r="AE3095" t="s">
        <v>51</v>
      </c>
      <c r="AF3095" t="s">
        <v>2323</v>
      </c>
    </row>
    <row r="3096" spans="1:32" ht="14.5" customHeight="1" x14ac:dyDescent="0.35">
      <c r="A3096" t="s">
        <v>45</v>
      </c>
      <c r="B3096" t="s">
        <v>46</v>
      </c>
      <c r="C3096" t="s">
        <v>47</v>
      </c>
      <c r="D3096">
        <v>3100656</v>
      </c>
      <c r="E3096">
        <v>3100656</v>
      </c>
      <c r="F3096" t="s">
        <v>2285</v>
      </c>
      <c r="G3096" t="s">
        <v>2285</v>
      </c>
      <c r="H3096" t="s">
        <v>54</v>
      </c>
      <c r="I3096">
        <v>9914857</v>
      </c>
      <c r="J3096" s="12">
        <v>46094</v>
      </c>
      <c r="K3096" s="12">
        <v>46094</v>
      </c>
      <c r="L3096" s="12">
        <v>46138</v>
      </c>
      <c r="M3096">
        <v>-6</v>
      </c>
      <c r="N3096">
        <v>277676894</v>
      </c>
      <c r="O3096">
        <v>0</v>
      </c>
      <c r="P3096">
        <v>277676894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 t="s">
        <v>47</v>
      </c>
      <c r="AA3096" t="s">
        <v>501</v>
      </c>
      <c r="AB3096" t="s">
        <v>51</v>
      </c>
      <c r="AC3096" t="s">
        <v>2324</v>
      </c>
      <c r="AD3096" t="s">
        <v>51</v>
      </c>
      <c r="AE3096" t="s">
        <v>51</v>
      </c>
      <c r="AF3096" t="s">
        <v>195</v>
      </c>
    </row>
    <row r="3097" spans="1:32" ht="14.5" customHeight="1" x14ac:dyDescent="0.35">
      <c r="A3097" t="s">
        <v>45</v>
      </c>
      <c r="B3097" t="s">
        <v>46</v>
      </c>
      <c r="C3097" t="s">
        <v>47</v>
      </c>
      <c r="D3097">
        <v>3100656</v>
      </c>
      <c r="E3097">
        <v>3100656</v>
      </c>
      <c r="F3097" t="s">
        <v>2285</v>
      </c>
      <c r="G3097" t="s">
        <v>2285</v>
      </c>
      <c r="H3097" t="s">
        <v>54</v>
      </c>
      <c r="I3097">
        <v>9917498</v>
      </c>
      <c r="J3097" s="12">
        <v>46106</v>
      </c>
      <c r="K3097" s="12">
        <v>46106</v>
      </c>
      <c r="L3097" s="12">
        <v>46150</v>
      </c>
      <c r="M3097">
        <v>-18</v>
      </c>
      <c r="N3097">
        <v>526176843</v>
      </c>
      <c r="O3097">
        <v>0</v>
      </c>
      <c r="P3097">
        <v>526176843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 t="s">
        <v>47</v>
      </c>
      <c r="AA3097" t="s">
        <v>501</v>
      </c>
      <c r="AB3097" t="s">
        <v>51</v>
      </c>
      <c r="AC3097" t="s">
        <v>51</v>
      </c>
      <c r="AD3097" t="s">
        <v>51</v>
      </c>
      <c r="AE3097" t="s">
        <v>2325</v>
      </c>
      <c r="AF3097" t="s">
        <v>172</v>
      </c>
    </row>
    <row r="3098" spans="1:32" ht="14.5" customHeight="1" x14ac:dyDescent="0.35">
      <c r="A3098" t="s">
        <v>45</v>
      </c>
      <c r="B3098" t="s">
        <v>46</v>
      </c>
      <c r="C3098" t="s">
        <v>47</v>
      </c>
      <c r="D3098">
        <v>3100656</v>
      </c>
      <c r="E3098">
        <v>3100656</v>
      </c>
      <c r="F3098" t="s">
        <v>2285</v>
      </c>
      <c r="G3098" t="s">
        <v>2285</v>
      </c>
      <c r="H3098" t="s">
        <v>54</v>
      </c>
      <c r="I3098">
        <v>9918442</v>
      </c>
      <c r="J3098" s="12">
        <v>46107</v>
      </c>
      <c r="K3098" s="12">
        <v>46107</v>
      </c>
      <c r="L3098" s="12">
        <v>46151</v>
      </c>
      <c r="M3098">
        <v>-19</v>
      </c>
      <c r="N3098">
        <v>473279560</v>
      </c>
      <c r="O3098">
        <v>0</v>
      </c>
      <c r="P3098">
        <v>473279560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 t="s">
        <v>47</v>
      </c>
      <c r="AA3098" t="s">
        <v>501</v>
      </c>
      <c r="AB3098" t="s">
        <v>51</v>
      </c>
      <c r="AC3098" t="s">
        <v>51</v>
      </c>
      <c r="AD3098" t="s">
        <v>51</v>
      </c>
      <c r="AE3098" t="s">
        <v>2326</v>
      </c>
      <c r="AF3098" t="s">
        <v>660</v>
      </c>
    </row>
    <row r="3099" spans="1:32" ht="14.5" customHeight="1" x14ac:dyDescent="0.35">
      <c r="A3099" t="s">
        <v>45</v>
      </c>
      <c r="B3099" t="s">
        <v>46</v>
      </c>
      <c r="C3099" t="s">
        <v>47</v>
      </c>
      <c r="D3099">
        <v>3100656</v>
      </c>
      <c r="E3099">
        <v>3100656</v>
      </c>
      <c r="F3099" t="s">
        <v>2285</v>
      </c>
      <c r="G3099" t="s">
        <v>2285</v>
      </c>
      <c r="H3099" t="s">
        <v>54</v>
      </c>
      <c r="I3099">
        <v>9918546</v>
      </c>
      <c r="J3099" s="12">
        <v>46107</v>
      </c>
      <c r="K3099" s="12">
        <v>46107</v>
      </c>
      <c r="L3099" s="12">
        <v>46151</v>
      </c>
      <c r="M3099">
        <v>-19</v>
      </c>
      <c r="N3099">
        <v>471228256</v>
      </c>
      <c r="O3099">
        <v>0</v>
      </c>
      <c r="P3099">
        <v>471228256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 t="s">
        <v>47</v>
      </c>
      <c r="AA3099" t="s">
        <v>501</v>
      </c>
      <c r="AB3099" t="s">
        <v>51</v>
      </c>
      <c r="AC3099" t="s">
        <v>51</v>
      </c>
      <c r="AD3099" t="s">
        <v>51</v>
      </c>
      <c r="AE3099" t="s">
        <v>2327</v>
      </c>
      <c r="AF3099" t="s">
        <v>328</v>
      </c>
    </row>
    <row r="3100" spans="1:32" ht="14.5" customHeight="1" x14ac:dyDescent="0.35">
      <c r="A3100" t="s">
        <v>45</v>
      </c>
      <c r="B3100" t="s">
        <v>46</v>
      </c>
      <c r="C3100" t="s">
        <v>47</v>
      </c>
      <c r="D3100">
        <v>3100656</v>
      </c>
      <c r="E3100">
        <v>3100656</v>
      </c>
      <c r="F3100" t="s">
        <v>2285</v>
      </c>
      <c r="G3100" t="s">
        <v>2285</v>
      </c>
      <c r="H3100" t="s">
        <v>54</v>
      </c>
      <c r="I3100">
        <v>9920034</v>
      </c>
      <c r="J3100" s="12">
        <v>46110</v>
      </c>
      <c r="K3100" s="12">
        <v>46110</v>
      </c>
      <c r="L3100" s="12">
        <v>46154</v>
      </c>
      <c r="M3100">
        <v>-22</v>
      </c>
      <c r="N3100">
        <v>497797644</v>
      </c>
      <c r="O3100">
        <v>0</v>
      </c>
      <c r="P3100">
        <v>497797644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 t="s">
        <v>47</v>
      </c>
      <c r="AA3100" t="s">
        <v>501</v>
      </c>
      <c r="AB3100" t="s">
        <v>51</v>
      </c>
      <c r="AC3100" t="s">
        <v>51</v>
      </c>
      <c r="AD3100" t="s">
        <v>51</v>
      </c>
      <c r="AE3100" t="s">
        <v>2328</v>
      </c>
      <c r="AF3100" t="s">
        <v>2040</v>
      </c>
    </row>
    <row r="3101" spans="1:32" ht="14.5" customHeight="1" x14ac:dyDescent="0.35">
      <c r="A3101" t="s">
        <v>45</v>
      </c>
      <c r="B3101" t="s">
        <v>46</v>
      </c>
      <c r="C3101" t="s">
        <v>47</v>
      </c>
      <c r="D3101">
        <v>3100656</v>
      </c>
      <c r="E3101">
        <v>3100656</v>
      </c>
      <c r="F3101" t="s">
        <v>2285</v>
      </c>
      <c r="G3101" t="s">
        <v>2285</v>
      </c>
      <c r="H3101" t="s">
        <v>54</v>
      </c>
      <c r="I3101">
        <v>9921348</v>
      </c>
      <c r="J3101" s="12">
        <v>46112</v>
      </c>
      <c r="K3101" s="12">
        <v>46112</v>
      </c>
      <c r="L3101" s="12">
        <v>46156</v>
      </c>
      <c r="M3101">
        <v>-24</v>
      </c>
      <c r="N3101">
        <v>437518941</v>
      </c>
      <c r="O3101">
        <v>0</v>
      </c>
      <c r="P3101">
        <v>437518941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 t="s">
        <v>47</v>
      </c>
      <c r="AA3101" t="s">
        <v>501</v>
      </c>
      <c r="AB3101" t="s">
        <v>51</v>
      </c>
      <c r="AC3101" t="s">
        <v>51</v>
      </c>
      <c r="AD3101" t="s">
        <v>51</v>
      </c>
      <c r="AE3101" t="s">
        <v>2329</v>
      </c>
      <c r="AF3101" t="s">
        <v>64</v>
      </c>
    </row>
    <row r="3102" spans="1:32" ht="14.5" customHeight="1" x14ac:dyDescent="0.35">
      <c r="A3102" t="s">
        <v>45</v>
      </c>
      <c r="B3102" t="s">
        <v>46</v>
      </c>
      <c r="C3102" t="s">
        <v>47</v>
      </c>
      <c r="D3102">
        <v>3100656</v>
      </c>
      <c r="E3102">
        <v>3100656</v>
      </c>
      <c r="F3102" t="s">
        <v>2285</v>
      </c>
      <c r="G3102" t="s">
        <v>2285</v>
      </c>
      <c r="H3102" t="s">
        <v>140</v>
      </c>
      <c r="I3102">
        <v>9925175</v>
      </c>
      <c r="J3102" s="12">
        <v>46126</v>
      </c>
      <c r="K3102" s="12">
        <v>46126</v>
      </c>
      <c r="L3102" s="12">
        <v>46156</v>
      </c>
      <c r="M3102">
        <v>-24</v>
      </c>
      <c r="N3102">
        <v>4662786</v>
      </c>
      <c r="O3102">
        <v>0</v>
      </c>
      <c r="P3102">
        <v>4662786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 t="s">
        <v>47</v>
      </c>
      <c r="AA3102" t="s">
        <v>501</v>
      </c>
      <c r="AB3102" t="s">
        <v>51</v>
      </c>
      <c r="AC3102" t="s">
        <v>51</v>
      </c>
      <c r="AD3102" t="s">
        <v>51</v>
      </c>
      <c r="AE3102" t="s">
        <v>2330</v>
      </c>
      <c r="AF3102" t="s">
        <v>939</v>
      </c>
    </row>
    <row r="3103" spans="1:32" ht="14.5" customHeight="1" x14ac:dyDescent="0.35">
      <c r="A3103" t="s">
        <v>45</v>
      </c>
      <c r="B3103" t="s">
        <v>46</v>
      </c>
      <c r="C3103" t="s">
        <v>47</v>
      </c>
      <c r="D3103">
        <v>3100656</v>
      </c>
      <c r="E3103">
        <v>3100656</v>
      </c>
      <c r="F3103" t="s">
        <v>2285</v>
      </c>
      <c r="G3103" t="s">
        <v>2285</v>
      </c>
      <c r="H3103" t="s">
        <v>54</v>
      </c>
      <c r="I3103">
        <v>9926850</v>
      </c>
      <c r="J3103" s="12">
        <v>46130</v>
      </c>
      <c r="K3103" s="12">
        <v>46130</v>
      </c>
      <c r="L3103" s="12">
        <v>46174</v>
      </c>
      <c r="M3103">
        <v>-42</v>
      </c>
      <c r="N3103">
        <v>419519714</v>
      </c>
      <c r="O3103">
        <v>0</v>
      </c>
      <c r="P3103">
        <v>419519714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 t="s">
        <v>47</v>
      </c>
      <c r="AA3103" t="s">
        <v>501</v>
      </c>
      <c r="AB3103" t="s">
        <v>51</v>
      </c>
      <c r="AC3103" t="s">
        <v>51</v>
      </c>
      <c r="AD3103" t="s">
        <v>51</v>
      </c>
      <c r="AE3103" t="s">
        <v>2331</v>
      </c>
      <c r="AF3103" t="s">
        <v>2332</v>
      </c>
    </row>
    <row r="3104" spans="1:32" ht="14.5" customHeight="1" x14ac:dyDescent="0.35">
      <c r="A3104" t="s">
        <v>45</v>
      </c>
      <c r="B3104" t="s">
        <v>46</v>
      </c>
      <c r="C3104" t="s">
        <v>47</v>
      </c>
      <c r="D3104">
        <v>3100656</v>
      </c>
      <c r="E3104">
        <v>3100656</v>
      </c>
      <c r="F3104" t="s">
        <v>2285</v>
      </c>
      <c r="G3104" t="s">
        <v>2285</v>
      </c>
      <c r="H3104" t="s">
        <v>54</v>
      </c>
      <c r="I3104">
        <v>9926851</v>
      </c>
      <c r="J3104" s="12">
        <v>46130</v>
      </c>
      <c r="K3104" s="12">
        <v>46130</v>
      </c>
      <c r="L3104" s="12">
        <v>46174</v>
      </c>
      <c r="M3104">
        <v>-42</v>
      </c>
      <c r="N3104">
        <v>441404047</v>
      </c>
      <c r="O3104">
        <v>0</v>
      </c>
      <c r="P3104">
        <v>441404047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 t="s">
        <v>47</v>
      </c>
      <c r="AA3104" t="s">
        <v>501</v>
      </c>
      <c r="AB3104" t="s">
        <v>51</v>
      </c>
      <c r="AC3104" t="s">
        <v>51</v>
      </c>
      <c r="AD3104" t="s">
        <v>51</v>
      </c>
      <c r="AE3104" t="s">
        <v>2333</v>
      </c>
      <c r="AF3104" t="s">
        <v>947</v>
      </c>
    </row>
    <row r="3105" spans="1:32" ht="14.5" customHeight="1" x14ac:dyDescent="0.35">
      <c r="A3105" t="s">
        <v>45</v>
      </c>
      <c r="B3105" t="s">
        <v>46</v>
      </c>
      <c r="C3105" t="s">
        <v>47</v>
      </c>
      <c r="D3105">
        <v>3100656</v>
      </c>
      <c r="E3105">
        <v>3100656</v>
      </c>
      <c r="F3105" t="s">
        <v>2285</v>
      </c>
      <c r="G3105" t="s">
        <v>2285</v>
      </c>
      <c r="H3105" t="s">
        <v>54</v>
      </c>
      <c r="I3105">
        <v>9927415</v>
      </c>
      <c r="J3105" s="12">
        <v>46130</v>
      </c>
      <c r="K3105" s="12">
        <v>46130</v>
      </c>
      <c r="L3105" s="12">
        <v>46174</v>
      </c>
      <c r="M3105">
        <v>-42</v>
      </c>
      <c r="N3105">
        <v>338244304</v>
      </c>
      <c r="O3105">
        <v>0</v>
      </c>
      <c r="P3105">
        <v>338244304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 t="s">
        <v>47</v>
      </c>
      <c r="AA3105" t="s">
        <v>501</v>
      </c>
      <c r="AB3105" t="s">
        <v>51</v>
      </c>
      <c r="AC3105" t="s">
        <v>51</v>
      </c>
      <c r="AD3105" t="s">
        <v>51</v>
      </c>
      <c r="AE3105" t="s">
        <v>2334</v>
      </c>
      <c r="AF3105" t="s">
        <v>281</v>
      </c>
    </row>
    <row r="3106" spans="1:32" ht="14.5" customHeight="1" x14ac:dyDescent="0.35">
      <c r="A3106" t="s">
        <v>45</v>
      </c>
      <c r="B3106" t="s">
        <v>46</v>
      </c>
      <c r="C3106" t="s">
        <v>47</v>
      </c>
      <c r="D3106">
        <v>3100656</v>
      </c>
      <c r="E3106">
        <v>3100656</v>
      </c>
      <c r="F3106" t="s">
        <v>2285</v>
      </c>
      <c r="G3106" t="s">
        <v>2285</v>
      </c>
      <c r="H3106" t="s">
        <v>54</v>
      </c>
      <c r="I3106">
        <v>9927514</v>
      </c>
      <c r="J3106" s="12">
        <v>46131</v>
      </c>
      <c r="K3106" s="12">
        <v>46131</v>
      </c>
      <c r="L3106" s="12">
        <v>46175</v>
      </c>
      <c r="M3106">
        <v>-43</v>
      </c>
      <c r="N3106">
        <v>577459953</v>
      </c>
      <c r="O3106">
        <v>0</v>
      </c>
      <c r="P3106">
        <v>577459953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 t="s">
        <v>47</v>
      </c>
      <c r="AA3106" t="s">
        <v>501</v>
      </c>
      <c r="AB3106" t="s">
        <v>51</v>
      </c>
      <c r="AC3106" t="s">
        <v>51</v>
      </c>
      <c r="AD3106" t="s">
        <v>51</v>
      </c>
      <c r="AE3106" t="s">
        <v>2335</v>
      </c>
      <c r="AF3106" t="s">
        <v>898</v>
      </c>
    </row>
    <row r="3107" spans="1:32" ht="14.5" customHeight="1" x14ac:dyDescent="0.35">
      <c r="A3107" t="s">
        <v>45</v>
      </c>
      <c r="B3107" t="s">
        <v>46</v>
      </c>
      <c r="C3107" t="s">
        <v>47</v>
      </c>
      <c r="D3107">
        <v>3100656</v>
      </c>
      <c r="E3107">
        <v>3100656</v>
      </c>
      <c r="F3107" t="s">
        <v>2285</v>
      </c>
      <c r="G3107" t="s">
        <v>2285</v>
      </c>
      <c r="H3107" t="s">
        <v>54</v>
      </c>
      <c r="I3107">
        <v>9927515</v>
      </c>
      <c r="J3107" s="12">
        <v>46131</v>
      </c>
      <c r="K3107" s="12">
        <v>46131</v>
      </c>
      <c r="L3107" s="12">
        <v>46175</v>
      </c>
      <c r="M3107">
        <v>-43</v>
      </c>
      <c r="N3107">
        <v>476672304</v>
      </c>
      <c r="O3107">
        <v>0</v>
      </c>
      <c r="P3107">
        <v>476672304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 t="s">
        <v>47</v>
      </c>
      <c r="AA3107" t="s">
        <v>501</v>
      </c>
      <c r="AB3107" t="s">
        <v>51</v>
      </c>
      <c r="AC3107" t="s">
        <v>51</v>
      </c>
      <c r="AD3107" t="s">
        <v>51</v>
      </c>
      <c r="AE3107" t="s">
        <v>2336</v>
      </c>
      <c r="AF3107" t="s">
        <v>781</v>
      </c>
    </row>
    <row r="3108" spans="1:32" ht="14.5" customHeight="1" x14ac:dyDescent="0.35">
      <c r="A3108" t="s">
        <v>498</v>
      </c>
      <c r="B3108" t="s">
        <v>499</v>
      </c>
      <c r="C3108" t="s">
        <v>47</v>
      </c>
      <c r="D3108">
        <v>3100723</v>
      </c>
      <c r="E3108">
        <v>3100723</v>
      </c>
      <c r="F3108" t="s">
        <v>2337</v>
      </c>
      <c r="G3108" t="s">
        <v>2337</v>
      </c>
      <c r="H3108" t="s">
        <v>54</v>
      </c>
      <c r="I3108">
        <v>6956493</v>
      </c>
      <c r="J3108" s="12">
        <v>46103</v>
      </c>
      <c r="K3108" s="12">
        <v>46103</v>
      </c>
      <c r="L3108" s="12">
        <v>46103</v>
      </c>
      <c r="M3108">
        <v>29</v>
      </c>
      <c r="N3108">
        <v>-4924679</v>
      </c>
      <c r="O3108">
        <v>-4924679</v>
      </c>
      <c r="P3108">
        <v>0</v>
      </c>
      <c r="Q3108">
        <v>-4924679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 t="s">
        <v>47</v>
      </c>
      <c r="AA3108" t="s">
        <v>55</v>
      </c>
      <c r="AB3108" t="s">
        <v>51</v>
      </c>
      <c r="AC3108" t="s">
        <v>51</v>
      </c>
      <c r="AD3108" t="s">
        <v>51</v>
      </c>
      <c r="AE3108" t="s">
        <v>51</v>
      </c>
      <c r="AF3108" t="s">
        <v>928</v>
      </c>
    </row>
    <row r="3109" spans="1:32" ht="14.5" customHeight="1" x14ac:dyDescent="0.35">
      <c r="A3109" t="s">
        <v>498</v>
      </c>
      <c r="B3109" t="s">
        <v>499</v>
      </c>
      <c r="C3109" t="s">
        <v>47</v>
      </c>
      <c r="D3109">
        <v>3100723</v>
      </c>
      <c r="E3109">
        <v>3100723</v>
      </c>
      <c r="F3109" t="s">
        <v>2337</v>
      </c>
      <c r="G3109" t="s">
        <v>2337</v>
      </c>
      <c r="H3109" t="s">
        <v>54</v>
      </c>
      <c r="I3109">
        <v>6959958</v>
      </c>
      <c r="J3109" s="12">
        <v>46129</v>
      </c>
      <c r="K3109" s="12">
        <v>46129</v>
      </c>
      <c r="L3109" s="12">
        <v>46129</v>
      </c>
      <c r="M3109">
        <v>3</v>
      </c>
      <c r="N3109">
        <v>-2912086</v>
      </c>
      <c r="O3109">
        <v>-2912086</v>
      </c>
      <c r="P3109">
        <v>0</v>
      </c>
      <c r="Q3109">
        <v>-2912086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 t="s">
        <v>47</v>
      </c>
      <c r="AA3109" t="s">
        <v>55</v>
      </c>
      <c r="AB3109" t="s">
        <v>51</v>
      </c>
      <c r="AC3109" t="s">
        <v>51</v>
      </c>
      <c r="AD3109" t="s">
        <v>51</v>
      </c>
      <c r="AE3109" t="s">
        <v>51</v>
      </c>
      <c r="AF3109" t="s">
        <v>493</v>
      </c>
    </row>
    <row r="3110" spans="1:32" ht="14.5" customHeight="1" x14ac:dyDescent="0.35">
      <c r="A3110" t="s">
        <v>498</v>
      </c>
      <c r="B3110" t="s">
        <v>499</v>
      </c>
      <c r="C3110" t="s">
        <v>846</v>
      </c>
      <c r="D3110">
        <v>3100723</v>
      </c>
      <c r="E3110">
        <v>3100724</v>
      </c>
      <c r="F3110" t="s">
        <v>2337</v>
      </c>
      <c r="G3110" t="s">
        <v>2337</v>
      </c>
      <c r="H3110" t="s">
        <v>54</v>
      </c>
      <c r="I3110">
        <v>9909108</v>
      </c>
      <c r="J3110" s="12">
        <v>46080</v>
      </c>
      <c r="K3110" s="12">
        <v>46080</v>
      </c>
      <c r="L3110" s="12">
        <v>46146</v>
      </c>
      <c r="M3110">
        <v>-14</v>
      </c>
      <c r="N3110">
        <v>74041706</v>
      </c>
      <c r="O3110">
        <v>0</v>
      </c>
      <c r="P3110">
        <v>74041706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 t="s">
        <v>846</v>
      </c>
      <c r="AA3110" t="s">
        <v>55</v>
      </c>
      <c r="AB3110" t="s">
        <v>51</v>
      </c>
      <c r="AC3110" t="s">
        <v>51</v>
      </c>
      <c r="AD3110" t="s">
        <v>2338</v>
      </c>
      <c r="AE3110" t="s">
        <v>51</v>
      </c>
      <c r="AF3110" t="s">
        <v>271</v>
      </c>
    </row>
    <row r="3111" spans="1:32" ht="14.5" customHeight="1" x14ac:dyDescent="0.35">
      <c r="A3111" t="s">
        <v>498</v>
      </c>
      <c r="B3111" t="s">
        <v>499</v>
      </c>
      <c r="C3111" t="s">
        <v>846</v>
      </c>
      <c r="D3111">
        <v>3100723</v>
      </c>
      <c r="E3111">
        <v>3100723</v>
      </c>
      <c r="F3111" t="s">
        <v>2337</v>
      </c>
      <c r="G3111" t="s">
        <v>2337</v>
      </c>
      <c r="H3111" t="s">
        <v>49</v>
      </c>
      <c r="I3111">
        <v>9102074307</v>
      </c>
      <c r="J3111" s="12">
        <v>46112</v>
      </c>
      <c r="K3111" s="12">
        <v>46112</v>
      </c>
      <c r="L3111" s="12">
        <v>46112</v>
      </c>
      <c r="M3111">
        <v>20</v>
      </c>
      <c r="N3111">
        <v>134406</v>
      </c>
      <c r="O3111">
        <v>0</v>
      </c>
      <c r="P3111">
        <v>0</v>
      </c>
      <c r="Q3111">
        <v>134406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 t="s">
        <v>47</v>
      </c>
      <c r="AA3111" t="s">
        <v>50</v>
      </c>
      <c r="AB3111" t="s">
        <v>51</v>
      </c>
      <c r="AC3111" t="s">
        <v>51</v>
      </c>
      <c r="AD3111" t="s">
        <v>51</v>
      </c>
      <c r="AE3111" t="s">
        <v>51</v>
      </c>
      <c r="AF3111" t="s">
        <v>2339</v>
      </c>
    </row>
    <row r="3112" spans="1:32" ht="14.5" customHeight="1" x14ac:dyDescent="0.35">
      <c r="A3112" t="s">
        <v>175</v>
      </c>
      <c r="B3112" t="s">
        <v>2152</v>
      </c>
      <c r="C3112" t="s">
        <v>47</v>
      </c>
      <c r="D3112">
        <v>3100726</v>
      </c>
      <c r="E3112">
        <v>3100577</v>
      </c>
      <c r="F3112" t="s">
        <v>2153</v>
      </c>
      <c r="G3112" t="s">
        <v>2153</v>
      </c>
      <c r="H3112" t="s">
        <v>54</v>
      </c>
      <c r="I3112">
        <v>6954189</v>
      </c>
      <c r="J3112" s="12">
        <v>46087</v>
      </c>
      <c r="K3112" s="12">
        <v>46087</v>
      </c>
      <c r="L3112" s="12">
        <v>46087</v>
      </c>
      <c r="M3112">
        <v>45</v>
      </c>
      <c r="N3112">
        <v>-344046</v>
      </c>
      <c r="O3112">
        <v>-344046</v>
      </c>
      <c r="P3112">
        <v>0</v>
      </c>
      <c r="Q3112">
        <v>0</v>
      </c>
      <c r="R3112">
        <v>-344046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 t="s">
        <v>47</v>
      </c>
      <c r="AA3112" t="s">
        <v>55</v>
      </c>
      <c r="AB3112" t="s">
        <v>51</v>
      </c>
      <c r="AC3112" t="s">
        <v>51</v>
      </c>
      <c r="AD3112" t="s">
        <v>51</v>
      </c>
      <c r="AE3112" t="s">
        <v>51</v>
      </c>
      <c r="AF3112" t="s">
        <v>64</v>
      </c>
    </row>
    <row r="3113" spans="1:32" ht="14.5" customHeight="1" x14ac:dyDescent="0.35">
      <c r="A3113" t="s">
        <v>175</v>
      </c>
      <c r="B3113" t="s">
        <v>2152</v>
      </c>
      <c r="C3113" t="s">
        <v>47</v>
      </c>
      <c r="D3113">
        <v>3100726</v>
      </c>
      <c r="E3113">
        <v>3100577</v>
      </c>
      <c r="F3113" t="s">
        <v>2153</v>
      </c>
      <c r="G3113" t="s">
        <v>2153</v>
      </c>
      <c r="H3113" t="s">
        <v>54</v>
      </c>
      <c r="I3113">
        <v>6954254</v>
      </c>
      <c r="J3113" s="12">
        <v>46088</v>
      </c>
      <c r="K3113" s="12">
        <v>46088</v>
      </c>
      <c r="L3113" s="12">
        <v>46088</v>
      </c>
      <c r="M3113">
        <v>44</v>
      </c>
      <c r="N3113">
        <v>-654000</v>
      </c>
      <c r="O3113">
        <v>-654000</v>
      </c>
      <c r="P3113">
        <v>0</v>
      </c>
      <c r="Q3113">
        <v>0</v>
      </c>
      <c r="R3113">
        <v>-654000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 t="s">
        <v>47</v>
      </c>
      <c r="AA3113" t="s">
        <v>55</v>
      </c>
      <c r="AB3113" t="s">
        <v>51</v>
      </c>
      <c r="AC3113" t="s">
        <v>51</v>
      </c>
      <c r="AD3113" t="s">
        <v>51</v>
      </c>
      <c r="AE3113" t="s">
        <v>51</v>
      </c>
      <c r="AF3113" t="s">
        <v>2340</v>
      </c>
    </row>
    <row r="3114" spans="1:32" ht="14.5" customHeight="1" x14ac:dyDescent="0.35">
      <c r="A3114" t="s">
        <v>175</v>
      </c>
      <c r="B3114" t="s">
        <v>2152</v>
      </c>
      <c r="C3114" t="s">
        <v>47</v>
      </c>
      <c r="D3114">
        <v>3100726</v>
      </c>
      <c r="E3114">
        <v>3100577</v>
      </c>
      <c r="F3114" t="s">
        <v>2153</v>
      </c>
      <c r="G3114" t="s">
        <v>2153</v>
      </c>
      <c r="H3114" t="s">
        <v>54</v>
      </c>
      <c r="I3114">
        <v>6954928</v>
      </c>
      <c r="J3114" s="12">
        <v>46091</v>
      </c>
      <c r="K3114" s="12">
        <v>46091</v>
      </c>
      <c r="L3114" s="12">
        <v>46091</v>
      </c>
      <c r="M3114">
        <v>41</v>
      </c>
      <c r="N3114">
        <v>-654000</v>
      </c>
      <c r="O3114">
        <v>-654000</v>
      </c>
      <c r="P3114">
        <v>0</v>
      </c>
      <c r="Q3114">
        <v>0</v>
      </c>
      <c r="R3114">
        <v>-654000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 t="s">
        <v>47</v>
      </c>
      <c r="AA3114" t="s">
        <v>55</v>
      </c>
      <c r="AB3114" t="s">
        <v>51</v>
      </c>
      <c r="AC3114" t="s">
        <v>51</v>
      </c>
      <c r="AD3114" t="s">
        <v>51</v>
      </c>
      <c r="AE3114" t="s">
        <v>51</v>
      </c>
      <c r="AF3114" t="s">
        <v>2341</v>
      </c>
    </row>
    <row r="3115" spans="1:32" ht="14.5" customHeight="1" x14ac:dyDescent="0.35">
      <c r="A3115" t="s">
        <v>175</v>
      </c>
      <c r="B3115" t="s">
        <v>2152</v>
      </c>
      <c r="C3115" t="s">
        <v>47</v>
      </c>
      <c r="D3115">
        <v>3100726</v>
      </c>
      <c r="E3115">
        <v>3100577</v>
      </c>
      <c r="F3115" t="s">
        <v>2153</v>
      </c>
      <c r="G3115" t="s">
        <v>2153</v>
      </c>
      <c r="H3115" t="s">
        <v>54</v>
      </c>
      <c r="I3115">
        <v>6954937</v>
      </c>
      <c r="J3115" s="12">
        <v>46091</v>
      </c>
      <c r="K3115" s="12">
        <v>46091</v>
      </c>
      <c r="L3115" s="12">
        <v>46091</v>
      </c>
      <c r="M3115">
        <v>41</v>
      </c>
      <c r="N3115">
        <v>-654000</v>
      </c>
      <c r="O3115">
        <v>-654000</v>
      </c>
      <c r="P3115">
        <v>0</v>
      </c>
      <c r="Q3115">
        <v>0</v>
      </c>
      <c r="R3115">
        <v>-654000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 t="s">
        <v>47</v>
      </c>
      <c r="AA3115" t="s">
        <v>55</v>
      </c>
      <c r="AB3115" t="s">
        <v>51</v>
      </c>
      <c r="AC3115" t="s">
        <v>51</v>
      </c>
      <c r="AD3115" t="s">
        <v>51</v>
      </c>
      <c r="AE3115" t="s">
        <v>51</v>
      </c>
      <c r="AF3115" t="s">
        <v>2342</v>
      </c>
    </row>
    <row r="3116" spans="1:32" ht="14.5" customHeight="1" x14ac:dyDescent="0.35">
      <c r="A3116" t="s">
        <v>175</v>
      </c>
      <c r="B3116" t="s">
        <v>2152</v>
      </c>
      <c r="C3116" t="s">
        <v>47</v>
      </c>
      <c r="D3116">
        <v>3100726</v>
      </c>
      <c r="E3116">
        <v>3100577</v>
      </c>
      <c r="F3116" t="s">
        <v>2153</v>
      </c>
      <c r="G3116" t="s">
        <v>2153</v>
      </c>
      <c r="H3116" t="s">
        <v>54</v>
      </c>
      <c r="I3116">
        <v>6956514</v>
      </c>
      <c r="J3116" s="12">
        <v>46103</v>
      </c>
      <c r="K3116" s="12">
        <v>46103</v>
      </c>
      <c r="L3116" s="12">
        <v>46103</v>
      </c>
      <c r="M3116">
        <v>29</v>
      </c>
      <c r="N3116">
        <v>-214160739</v>
      </c>
      <c r="O3116">
        <v>-214160739</v>
      </c>
      <c r="P3116">
        <v>0</v>
      </c>
      <c r="Q3116">
        <v>-214160739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 t="s">
        <v>47</v>
      </c>
      <c r="AA3116" t="s">
        <v>55</v>
      </c>
      <c r="AB3116" t="s">
        <v>51</v>
      </c>
      <c r="AC3116" t="s">
        <v>51</v>
      </c>
      <c r="AD3116" t="s">
        <v>51</v>
      </c>
      <c r="AE3116" t="s">
        <v>51</v>
      </c>
      <c r="AF3116" t="s">
        <v>56</v>
      </c>
    </row>
    <row r="3117" spans="1:32" ht="14.5" customHeight="1" x14ac:dyDescent="0.35">
      <c r="A3117" t="s">
        <v>175</v>
      </c>
      <c r="B3117" t="s">
        <v>2152</v>
      </c>
      <c r="C3117" t="s">
        <v>47</v>
      </c>
      <c r="D3117">
        <v>3100726</v>
      </c>
      <c r="E3117">
        <v>3100577</v>
      </c>
      <c r="F3117" t="s">
        <v>2153</v>
      </c>
      <c r="G3117" t="s">
        <v>2153</v>
      </c>
      <c r="H3117" t="s">
        <v>54</v>
      </c>
      <c r="I3117">
        <v>6956592</v>
      </c>
      <c r="J3117" s="12">
        <v>46105</v>
      </c>
      <c r="K3117" s="12">
        <v>46105</v>
      </c>
      <c r="L3117" s="12">
        <v>46105</v>
      </c>
      <c r="M3117">
        <v>27</v>
      </c>
      <c r="N3117">
        <v>-16748034</v>
      </c>
      <c r="O3117">
        <v>-16748034</v>
      </c>
      <c r="P3117">
        <v>0</v>
      </c>
      <c r="Q3117">
        <v>-16748034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 t="s">
        <v>47</v>
      </c>
      <c r="AA3117" t="s">
        <v>55</v>
      </c>
      <c r="AB3117" t="s">
        <v>51</v>
      </c>
      <c r="AC3117" t="s">
        <v>51</v>
      </c>
      <c r="AD3117" t="s">
        <v>51</v>
      </c>
      <c r="AE3117" t="s">
        <v>51</v>
      </c>
      <c r="AF3117" t="s">
        <v>2343</v>
      </c>
    </row>
    <row r="3118" spans="1:32" ht="14.5" customHeight="1" x14ac:dyDescent="0.35">
      <c r="A3118" t="s">
        <v>175</v>
      </c>
      <c r="B3118" t="s">
        <v>2152</v>
      </c>
      <c r="C3118" t="s">
        <v>47</v>
      </c>
      <c r="D3118">
        <v>3100726</v>
      </c>
      <c r="E3118">
        <v>3100577</v>
      </c>
      <c r="F3118" t="s">
        <v>2153</v>
      </c>
      <c r="G3118" t="s">
        <v>2153</v>
      </c>
      <c r="H3118" t="s">
        <v>54</v>
      </c>
      <c r="I3118">
        <v>6956639</v>
      </c>
      <c r="J3118" s="12">
        <v>46105</v>
      </c>
      <c r="K3118" s="12">
        <v>46105</v>
      </c>
      <c r="L3118" s="12">
        <v>46105</v>
      </c>
      <c r="M3118">
        <v>27</v>
      </c>
      <c r="N3118">
        <v>-6060000</v>
      </c>
      <c r="O3118">
        <v>-6060000</v>
      </c>
      <c r="P3118">
        <v>0</v>
      </c>
      <c r="Q3118">
        <v>-6060000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 t="s">
        <v>47</v>
      </c>
      <c r="AA3118" t="s">
        <v>55</v>
      </c>
      <c r="AB3118" t="s">
        <v>51</v>
      </c>
      <c r="AC3118" t="s">
        <v>51</v>
      </c>
      <c r="AD3118" t="s">
        <v>51</v>
      </c>
      <c r="AE3118" t="s">
        <v>51</v>
      </c>
      <c r="AF3118" t="s">
        <v>2344</v>
      </c>
    </row>
    <row r="3119" spans="1:32" ht="14.5" customHeight="1" x14ac:dyDescent="0.35">
      <c r="A3119" t="s">
        <v>175</v>
      </c>
      <c r="B3119" t="s">
        <v>2152</v>
      </c>
      <c r="C3119" t="s">
        <v>47</v>
      </c>
      <c r="D3119">
        <v>3100726</v>
      </c>
      <c r="E3119">
        <v>3100577</v>
      </c>
      <c r="F3119" t="s">
        <v>2153</v>
      </c>
      <c r="G3119" t="s">
        <v>2153</v>
      </c>
      <c r="H3119" t="s">
        <v>54</v>
      </c>
      <c r="I3119">
        <v>6956642</v>
      </c>
      <c r="J3119" s="12">
        <v>46105</v>
      </c>
      <c r="K3119" s="12">
        <v>46105</v>
      </c>
      <c r="L3119" s="12">
        <v>46105</v>
      </c>
      <c r="M3119">
        <v>27</v>
      </c>
      <c r="N3119">
        <v>-3030000</v>
      </c>
      <c r="O3119">
        <v>-3030000</v>
      </c>
      <c r="P3119">
        <v>0</v>
      </c>
      <c r="Q3119">
        <v>-3030000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 t="s">
        <v>47</v>
      </c>
      <c r="AA3119" t="s">
        <v>55</v>
      </c>
      <c r="AB3119" t="s">
        <v>51</v>
      </c>
      <c r="AC3119" t="s">
        <v>51</v>
      </c>
      <c r="AD3119" t="s">
        <v>51</v>
      </c>
      <c r="AE3119" t="s">
        <v>51</v>
      </c>
      <c r="AF3119" t="s">
        <v>2345</v>
      </c>
    </row>
    <row r="3120" spans="1:32" ht="14.5" customHeight="1" x14ac:dyDescent="0.35">
      <c r="A3120" t="s">
        <v>175</v>
      </c>
      <c r="B3120" t="s">
        <v>2152</v>
      </c>
      <c r="C3120" t="s">
        <v>47</v>
      </c>
      <c r="D3120">
        <v>3100726</v>
      </c>
      <c r="E3120">
        <v>3100577</v>
      </c>
      <c r="F3120" t="s">
        <v>2153</v>
      </c>
      <c r="G3120" t="s">
        <v>2153</v>
      </c>
      <c r="H3120" t="s">
        <v>54</v>
      </c>
      <c r="I3120">
        <v>6956643</v>
      </c>
      <c r="J3120" s="12">
        <v>46105</v>
      </c>
      <c r="K3120" s="12">
        <v>46105</v>
      </c>
      <c r="L3120" s="12">
        <v>46105</v>
      </c>
      <c r="M3120">
        <v>27</v>
      </c>
      <c r="N3120">
        <v>-4545000</v>
      </c>
      <c r="O3120">
        <v>-4545000</v>
      </c>
      <c r="P3120">
        <v>0</v>
      </c>
      <c r="Q3120">
        <v>-4545000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 t="s">
        <v>47</v>
      </c>
      <c r="AA3120" t="s">
        <v>55</v>
      </c>
      <c r="AB3120" t="s">
        <v>51</v>
      </c>
      <c r="AC3120" t="s">
        <v>51</v>
      </c>
      <c r="AD3120" t="s">
        <v>51</v>
      </c>
      <c r="AE3120" t="s">
        <v>51</v>
      </c>
      <c r="AF3120" t="s">
        <v>2345</v>
      </c>
    </row>
    <row r="3121" spans="1:32" ht="14.5" customHeight="1" x14ac:dyDescent="0.35">
      <c r="A3121" t="s">
        <v>175</v>
      </c>
      <c r="B3121" t="s">
        <v>2152</v>
      </c>
      <c r="C3121" t="s">
        <v>47</v>
      </c>
      <c r="D3121">
        <v>3100726</v>
      </c>
      <c r="E3121">
        <v>3100577</v>
      </c>
      <c r="F3121" t="s">
        <v>2153</v>
      </c>
      <c r="G3121" t="s">
        <v>2153</v>
      </c>
      <c r="H3121" t="s">
        <v>54</v>
      </c>
      <c r="I3121">
        <v>6956644</v>
      </c>
      <c r="J3121" s="12">
        <v>46105</v>
      </c>
      <c r="K3121" s="12">
        <v>46105</v>
      </c>
      <c r="L3121" s="12">
        <v>46105</v>
      </c>
      <c r="M3121">
        <v>27</v>
      </c>
      <c r="N3121">
        <v>-2272500</v>
      </c>
      <c r="O3121">
        <v>-2272500</v>
      </c>
      <c r="P3121">
        <v>0</v>
      </c>
      <c r="Q3121">
        <v>-2272500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 t="s">
        <v>47</v>
      </c>
      <c r="AA3121" t="s">
        <v>55</v>
      </c>
      <c r="AB3121" t="s">
        <v>51</v>
      </c>
      <c r="AC3121" t="s">
        <v>51</v>
      </c>
      <c r="AD3121" t="s">
        <v>51</v>
      </c>
      <c r="AE3121" t="s">
        <v>51</v>
      </c>
      <c r="AF3121" t="s">
        <v>2345</v>
      </c>
    </row>
    <row r="3122" spans="1:32" ht="14.5" customHeight="1" x14ac:dyDescent="0.35">
      <c r="A3122" t="s">
        <v>175</v>
      </c>
      <c r="B3122" t="s">
        <v>2152</v>
      </c>
      <c r="C3122" t="s">
        <v>47</v>
      </c>
      <c r="D3122">
        <v>3100726</v>
      </c>
      <c r="E3122">
        <v>3100577</v>
      </c>
      <c r="F3122" t="s">
        <v>2153</v>
      </c>
      <c r="G3122" t="s">
        <v>2153</v>
      </c>
      <c r="H3122" t="s">
        <v>54</v>
      </c>
      <c r="I3122">
        <v>6956803</v>
      </c>
      <c r="J3122" s="12">
        <v>46106</v>
      </c>
      <c r="K3122" s="12">
        <v>46106</v>
      </c>
      <c r="L3122" s="12">
        <v>46106</v>
      </c>
      <c r="M3122">
        <v>26</v>
      </c>
      <c r="N3122">
        <v>-211992</v>
      </c>
      <c r="O3122">
        <v>-211992</v>
      </c>
      <c r="P3122">
        <v>0</v>
      </c>
      <c r="Q3122">
        <v>-211992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 t="s">
        <v>47</v>
      </c>
      <c r="AA3122" t="s">
        <v>55</v>
      </c>
      <c r="AB3122" t="s">
        <v>51</v>
      </c>
      <c r="AC3122" t="s">
        <v>51</v>
      </c>
      <c r="AD3122" t="s">
        <v>51</v>
      </c>
      <c r="AE3122" t="s">
        <v>51</v>
      </c>
      <c r="AF3122" t="s">
        <v>2346</v>
      </c>
    </row>
    <row r="3123" spans="1:32" ht="14.5" customHeight="1" x14ac:dyDescent="0.35">
      <c r="A3123" t="s">
        <v>175</v>
      </c>
      <c r="B3123" t="s">
        <v>2152</v>
      </c>
      <c r="C3123" t="s">
        <v>47</v>
      </c>
      <c r="D3123">
        <v>3100726</v>
      </c>
      <c r="E3123">
        <v>3100577</v>
      </c>
      <c r="F3123" t="s">
        <v>2153</v>
      </c>
      <c r="G3123" t="s">
        <v>2153</v>
      </c>
      <c r="H3123" t="s">
        <v>54</v>
      </c>
      <c r="I3123">
        <v>6956822</v>
      </c>
      <c r="J3123" s="12">
        <v>46106</v>
      </c>
      <c r="K3123" s="12">
        <v>46106</v>
      </c>
      <c r="L3123" s="12">
        <v>46106</v>
      </c>
      <c r="M3123">
        <v>26</v>
      </c>
      <c r="N3123">
        <v>-177843</v>
      </c>
      <c r="O3123">
        <v>-177843</v>
      </c>
      <c r="P3123">
        <v>0</v>
      </c>
      <c r="Q3123">
        <v>-177843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 t="s">
        <v>47</v>
      </c>
      <c r="AA3123" t="s">
        <v>55</v>
      </c>
      <c r="AB3123" t="s">
        <v>51</v>
      </c>
      <c r="AC3123" t="s">
        <v>51</v>
      </c>
      <c r="AD3123" t="s">
        <v>51</v>
      </c>
      <c r="AE3123" t="s">
        <v>51</v>
      </c>
      <c r="AF3123" t="s">
        <v>2347</v>
      </c>
    </row>
    <row r="3124" spans="1:32" ht="14.5" customHeight="1" x14ac:dyDescent="0.35">
      <c r="A3124" t="s">
        <v>175</v>
      </c>
      <c r="B3124" t="s">
        <v>2152</v>
      </c>
      <c r="C3124" t="s">
        <v>47</v>
      </c>
      <c r="D3124">
        <v>3100726</v>
      </c>
      <c r="E3124">
        <v>3100577</v>
      </c>
      <c r="F3124" t="s">
        <v>2153</v>
      </c>
      <c r="G3124" t="s">
        <v>2153</v>
      </c>
      <c r="H3124" t="s">
        <v>54</v>
      </c>
      <c r="I3124">
        <v>6956838</v>
      </c>
      <c r="J3124" s="12">
        <v>46106</v>
      </c>
      <c r="K3124" s="12">
        <v>46106</v>
      </c>
      <c r="L3124" s="12">
        <v>46106</v>
      </c>
      <c r="M3124">
        <v>26</v>
      </c>
      <c r="N3124">
        <v>-202049</v>
      </c>
      <c r="O3124">
        <v>-202049</v>
      </c>
      <c r="P3124">
        <v>0</v>
      </c>
      <c r="Q3124">
        <v>-202049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 t="s">
        <v>47</v>
      </c>
      <c r="AA3124" t="s">
        <v>55</v>
      </c>
      <c r="AB3124" t="s">
        <v>51</v>
      </c>
      <c r="AC3124" t="s">
        <v>51</v>
      </c>
      <c r="AD3124" t="s">
        <v>51</v>
      </c>
      <c r="AE3124" t="s">
        <v>51</v>
      </c>
      <c r="AF3124" t="s">
        <v>2346</v>
      </c>
    </row>
    <row r="3125" spans="1:32" ht="14.5" customHeight="1" x14ac:dyDescent="0.35">
      <c r="A3125" t="s">
        <v>175</v>
      </c>
      <c r="B3125" t="s">
        <v>2152</v>
      </c>
      <c r="C3125" t="s">
        <v>47</v>
      </c>
      <c r="D3125">
        <v>3100726</v>
      </c>
      <c r="E3125">
        <v>3100577</v>
      </c>
      <c r="F3125" t="s">
        <v>2153</v>
      </c>
      <c r="G3125" t="s">
        <v>2153</v>
      </c>
      <c r="H3125" t="s">
        <v>54</v>
      </c>
      <c r="I3125">
        <v>6957025</v>
      </c>
      <c r="J3125" s="12">
        <v>46106</v>
      </c>
      <c r="K3125" s="12">
        <v>46106</v>
      </c>
      <c r="L3125" s="12">
        <v>46106</v>
      </c>
      <c r="M3125">
        <v>26</v>
      </c>
      <c r="N3125">
        <v>-570000</v>
      </c>
      <c r="O3125">
        <v>-570000</v>
      </c>
      <c r="P3125">
        <v>0</v>
      </c>
      <c r="Q3125">
        <v>-570000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 t="s">
        <v>47</v>
      </c>
      <c r="AA3125" t="s">
        <v>55</v>
      </c>
      <c r="AB3125" t="s">
        <v>51</v>
      </c>
      <c r="AC3125" t="s">
        <v>51</v>
      </c>
      <c r="AD3125" t="s">
        <v>51</v>
      </c>
      <c r="AE3125" t="s">
        <v>51</v>
      </c>
      <c r="AF3125" t="s">
        <v>2348</v>
      </c>
    </row>
    <row r="3126" spans="1:32" ht="14.5" customHeight="1" x14ac:dyDescent="0.35">
      <c r="A3126" t="s">
        <v>175</v>
      </c>
      <c r="B3126" t="s">
        <v>2152</v>
      </c>
      <c r="C3126" t="s">
        <v>47</v>
      </c>
      <c r="D3126">
        <v>3100726</v>
      </c>
      <c r="E3126">
        <v>3100577</v>
      </c>
      <c r="F3126" t="s">
        <v>2153</v>
      </c>
      <c r="G3126" t="s">
        <v>2153</v>
      </c>
      <c r="H3126" t="s">
        <v>54</v>
      </c>
      <c r="I3126">
        <v>6957026</v>
      </c>
      <c r="J3126" s="12">
        <v>46106</v>
      </c>
      <c r="K3126" s="12">
        <v>46106</v>
      </c>
      <c r="L3126" s="12">
        <v>46106</v>
      </c>
      <c r="M3126">
        <v>26</v>
      </c>
      <c r="N3126">
        <v>-451075</v>
      </c>
      <c r="O3126">
        <v>-451075</v>
      </c>
      <c r="P3126">
        <v>0</v>
      </c>
      <c r="Q3126">
        <v>-451075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 t="s">
        <v>47</v>
      </c>
      <c r="AA3126" t="s">
        <v>55</v>
      </c>
      <c r="AB3126" t="s">
        <v>51</v>
      </c>
      <c r="AC3126" t="s">
        <v>51</v>
      </c>
      <c r="AD3126" t="s">
        <v>51</v>
      </c>
      <c r="AE3126" t="s">
        <v>51</v>
      </c>
      <c r="AF3126" t="s">
        <v>2349</v>
      </c>
    </row>
    <row r="3127" spans="1:32" ht="14.5" customHeight="1" x14ac:dyDescent="0.35">
      <c r="A3127" t="s">
        <v>175</v>
      </c>
      <c r="B3127" t="s">
        <v>2152</v>
      </c>
      <c r="C3127" t="s">
        <v>47</v>
      </c>
      <c r="D3127">
        <v>3100726</v>
      </c>
      <c r="E3127">
        <v>3100577</v>
      </c>
      <c r="F3127" t="s">
        <v>2153</v>
      </c>
      <c r="G3127" t="s">
        <v>2153</v>
      </c>
      <c r="H3127" t="s">
        <v>54</v>
      </c>
      <c r="I3127">
        <v>6957027</v>
      </c>
      <c r="J3127" s="12">
        <v>46106</v>
      </c>
      <c r="K3127" s="12">
        <v>46106</v>
      </c>
      <c r="L3127" s="12">
        <v>46106</v>
      </c>
      <c r="M3127">
        <v>26</v>
      </c>
      <c r="N3127">
        <v>-485760</v>
      </c>
      <c r="O3127">
        <v>-485760</v>
      </c>
      <c r="P3127">
        <v>0</v>
      </c>
      <c r="Q3127">
        <v>-485760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 t="s">
        <v>47</v>
      </c>
      <c r="AA3127" t="s">
        <v>55</v>
      </c>
      <c r="AB3127" t="s">
        <v>51</v>
      </c>
      <c r="AC3127" t="s">
        <v>51</v>
      </c>
      <c r="AD3127" t="s">
        <v>51</v>
      </c>
      <c r="AE3127" t="s">
        <v>51</v>
      </c>
      <c r="AF3127" t="s">
        <v>2349</v>
      </c>
    </row>
    <row r="3128" spans="1:32" ht="14.5" customHeight="1" x14ac:dyDescent="0.35">
      <c r="A3128" t="s">
        <v>175</v>
      </c>
      <c r="B3128" t="s">
        <v>2152</v>
      </c>
      <c r="C3128" t="s">
        <v>47</v>
      </c>
      <c r="D3128">
        <v>3100726</v>
      </c>
      <c r="E3128">
        <v>3100577</v>
      </c>
      <c r="F3128" t="s">
        <v>2153</v>
      </c>
      <c r="G3128" t="s">
        <v>2153</v>
      </c>
      <c r="H3128" t="s">
        <v>54</v>
      </c>
      <c r="I3128">
        <v>6957028</v>
      </c>
      <c r="J3128" s="12">
        <v>46106</v>
      </c>
      <c r="K3128" s="12">
        <v>46106</v>
      </c>
      <c r="L3128" s="12">
        <v>46106</v>
      </c>
      <c r="M3128">
        <v>26</v>
      </c>
      <c r="N3128">
        <v>-882185</v>
      </c>
      <c r="O3128">
        <v>-882185</v>
      </c>
      <c r="P3128">
        <v>0</v>
      </c>
      <c r="Q3128">
        <v>-882185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 t="s">
        <v>47</v>
      </c>
      <c r="AA3128" t="s">
        <v>55</v>
      </c>
      <c r="AB3128" t="s">
        <v>51</v>
      </c>
      <c r="AC3128" t="s">
        <v>51</v>
      </c>
      <c r="AD3128" t="s">
        <v>51</v>
      </c>
      <c r="AE3128" t="s">
        <v>51</v>
      </c>
      <c r="AF3128" t="s">
        <v>2350</v>
      </c>
    </row>
    <row r="3129" spans="1:32" ht="14.5" customHeight="1" x14ac:dyDescent="0.35">
      <c r="A3129" t="s">
        <v>175</v>
      </c>
      <c r="B3129" t="s">
        <v>2152</v>
      </c>
      <c r="C3129" t="s">
        <v>47</v>
      </c>
      <c r="D3129">
        <v>3100726</v>
      </c>
      <c r="E3129">
        <v>3100577</v>
      </c>
      <c r="F3129" t="s">
        <v>2153</v>
      </c>
      <c r="G3129" t="s">
        <v>2153</v>
      </c>
      <c r="H3129" t="s">
        <v>54</v>
      </c>
      <c r="I3129">
        <v>6957029</v>
      </c>
      <c r="J3129" s="12">
        <v>46106</v>
      </c>
      <c r="K3129" s="12">
        <v>46106</v>
      </c>
      <c r="L3129" s="12">
        <v>46106</v>
      </c>
      <c r="M3129">
        <v>26</v>
      </c>
      <c r="N3129">
        <v>-1636339</v>
      </c>
      <c r="O3129">
        <v>-1636339</v>
      </c>
      <c r="P3129">
        <v>0</v>
      </c>
      <c r="Q3129">
        <v>-1636339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 t="s">
        <v>47</v>
      </c>
      <c r="AA3129" t="s">
        <v>55</v>
      </c>
      <c r="AB3129" t="s">
        <v>51</v>
      </c>
      <c r="AC3129" t="s">
        <v>51</v>
      </c>
      <c r="AD3129" t="s">
        <v>51</v>
      </c>
      <c r="AE3129" t="s">
        <v>51</v>
      </c>
      <c r="AF3129" t="s">
        <v>2351</v>
      </c>
    </row>
    <row r="3130" spans="1:32" ht="14.5" customHeight="1" x14ac:dyDescent="0.35">
      <c r="A3130" t="s">
        <v>175</v>
      </c>
      <c r="B3130" t="s">
        <v>2152</v>
      </c>
      <c r="C3130" t="s">
        <v>47</v>
      </c>
      <c r="D3130">
        <v>3100726</v>
      </c>
      <c r="E3130">
        <v>3100577</v>
      </c>
      <c r="F3130" t="s">
        <v>2153</v>
      </c>
      <c r="G3130" t="s">
        <v>2153</v>
      </c>
      <c r="H3130" t="s">
        <v>54</v>
      </c>
      <c r="I3130">
        <v>6957030</v>
      </c>
      <c r="J3130" s="12">
        <v>46106</v>
      </c>
      <c r="K3130" s="12">
        <v>46106</v>
      </c>
      <c r="L3130" s="12">
        <v>46106</v>
      </c>
      <c r="M3130">
        <v>26</v>
      </c>
      <c r="N3130">
        <v>-5490935</v>
      </c>
      <c r="O3130">
        <v>-5490935</v>
      </c>
      <c r="P3130">
        <v>0</v>
      </c>
      <c r="Q3130">
        <v>-5490935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 t="s">
        <v>47</v>
      </c>
      <c r="AA3130" t="s">
        <v>55</v>
      </c>
      <c r="AB3130" t="s">
        <v>51</v>
      </c>
      <c r="AC3130" t="s">
        <v>51</v>
      </c>
      <c r="AD3130" t="s">
        <v>51</v>
      </c>
      <c r="AE3130" t="s">
        <v>51</v>
      </c>
      <c r="AF3130" t="s">
        <v>2352</v>
      </c>
    </row>
    <row r="3131" spans="1:32" ht="14.5" customHeight="1" x14ac:dyDescent="0.35">
      <c r="A3131" t="s">
        <v>175</v>
      </c>
      <c r="B3131" t="s">
        <v>2152</v>
      </c>
      <c r="C3131" t="s">
        <v>47</v>
      </c>
      <c r="D3131">
        <v>3100726</v>
      </c>
      <c r="E3131">
        <v>3100577</v>
      </c>
      <c r="F3131" t="s">
        <v>2153</v>
      </c>
      <c r="G3131" t="s">
        <v>2153</v>
      </c>
      <c r="H3131" t="s">
        <v>54</v>
      </c>
      <c r="I3131">
        <v>6957102</v>
      </c>
      <c r="J3131" s="12">
        <v>46106</v>
      </c>
      <c r="K3131" s="12">
        <v>46106</v>
      </c>
      <c r="L3131" s="12">
        <v>46106</v>
      </c>
      <c r="M3131">
        <v>26</v>
      </c>
      <c r="N3131">
        <v>-256841</v>
      </c>
      <c r="O3131">
        <v>-256841</v>
      </c>
      <c r="P3131">
        <v>0</v>
      </c>
      <c r="Q3131">
        <v>-256841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 t="s">
        <v>47</v>
      </c>
      <c r="AA3131" t="s">
        <v>55</v>
      </c>
      <c r="AB3131" t="s">
        <v>51</v>
      </c>
      <c r="AC3131" t="s">
        <v>51</v>
      </c>
      <c r="AD3131" t="s">
        <v>51</v>
      </c>
      <c r="AE3131" t="s">
        <v>51</v>
      </c>
      <c r="AF3131" t="s">
        <v>2353</v>
      </c>
    </row>
    <row r="3132" spans="1:32" ht="14.5" customHeight="1" x14ac:dyDescent="0.35">
      <c r="A3132" t="s">
        <v>175</v>
      </c>
      <c r="B3132" t="s">
        <v>2152</v>
      </c>
      <c r="C3132" t="s">
        <v>47</v>
      </c>
      <c r="D3132">
        <v>3100726</v>
      </c>
      <c r="E3132">
        <v>3100577</v>
      </c>
      <c r="F3132" t="s">
        <v>2153</v>
      </c>
      <c r="G3132" t="s">
        <v>2153</v>
      </c>
      <c r="H3132" t="s">
        <v>54</v>
      </c>
      <c r="I3132">
        <v>6957103</v>
      </c>
      <c r="J3132" s="12">
        <v>46106</v>
      </c>
      <c r="K3132" s="12">
        <v>46106</v>
      </c>
      <c r="L3132" s="12">
        <v>46106</v>
      </c>
      <c r="M3132">
        <v>26</v>
      </c>
      <c r="N3132">
        <v>-284588</v>
      </c>
      <c r="O3132">
        <v>-284588</v>
      </c>
      <c r="P3132">
        <v>0</v>
      </c>
      <c r="Q3132">
        <v>-284588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 t="s">
        <v>47</v>
      </c>
      <c r="AA3132" t="s">
        <v>55</v>
      </c>
      <c r="AB3132" t="s">
        <v>51</v>
      </c>
      <c r="AC3132" t="s">
        <v>51</v>
      </c>
      <c r="AD3132" t="s">
        <v>51</v>
      </c>
      <c r="AE3132" t="s">
        <v>51</v>
      </c>
      <c r="AF3132" t="s">
        <v>2353</v>
      </c>
    </row>
    <row r="3133" spans="1:32" ht="14.5" customHeight="1" x14ac:dyDescent="0.35">
      <c r="A3133" t="s">
        <v>175</v>
      </c>
      <c r="B3133" t="s">
        <v>2152</v>
      </c>
      <c r="C3133" t="s">
        <v>47</v>
      </c>
      <c r="D3133">
        <v>3100726</v>
      </c>
      <c r="E3133">
        <v>3100577</v>
      </c>
      <c r="F3133" t="s">
        <v>2153</v>
      </c>
      <c r="G3133" t="s">
        <v>2153</v>
      </c>
      <c r="H3133" t="s">
        <v>54</v>
      </c>
      <c r="I3133">
        <v>6957104</v>
      </c>
      <c r="J3133" s="12">
        <v>46106</v>
      </c>
      <c r="K3133" s="12">
        <v>46106</v>
      </c>
      <c r="L3133" s="12">
        <v>46106</v>
      </c>
      <c r="M3133">
        <v>26</v>
      </c>
      <c r="N3133">
        <v>-2506693</v>
      </c>
      <c r="O3133">
        <v>-2506693</v>
      </c>
      <c r="P3133">
        <v>0</v>
      </c>
      <c r="Q3133">
        <v>-2506693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 t="s">
        <v>47</v>
      </c>
      <c r="AA3133" t="s">
        <v>55</v>
      </c>
      <c r="AB3133" t="s">
        <v>51</v>
      </c>
      <c r="AC3133" t="s">
        <v>51</v>
      </c>
      <c r="AD3133" t="s">
        <v>51</v>
      </c>
      <c r="AE3133" t="s">
        <v>51</v>
      </c>
      <c r="AF3133" t="s">
        <v>2352</v>
      </c>
    </row>
    <row r="3134" spans="1:32" ht="14.5" customHeight="1" x14ac:dyDescent="0.35">
      <c r="A3134" t="s">
        <v>175</v>
      </c>
      <c r="B3134" t="s">
        <v>2152</v>
      </c>
      <c r="C3134" t="s">
        <v>47</v>
      </c>
      <c r="D3134">
        <v>3100726</v>
      </c>
      <c r="E3134">
        <v>3100577</v>
      </c>
      <c r="F3134" t="s">
        <v>2153</v>
      </c>
      <c r="G3134" t="s">
        <v>2153</v>
      </c>
      <c r="H3134" t="s">
        <v>54</v>
      </c>
      <c r="I3134">
        <v>6957105</v>
      </c>
      <c r="J3134" s="12">
        <v>46106</v>
      </c>
      <c r="K3134" s="12">
        <v>46106</v>
      </c>
      <c r="L3134" s="12">
        <v>46106</v>
      </c>
      <c r="M3134">
        <v>26</v>
      </c>
      <c r="N3134">
        <v>-166055</v>
      </c>
      <c r="O3134">
        <v>-166055</v>
      </c>
      <c r="P3134">
        <v>0</v>
      </c>
      <c r="Q3134">
        <v>-166055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 t="s">
        <v>47</v>
      </c>
      <c r="AA3134" t="s">
        <v>55</v>
      </c>
      <c r="AB3134" t="s">
        <v>51</v>
      </c>
      <c r="AC3134" t="s">
        <v>51</v>
      </c>
      <c r="AD3134" t="s">
        <v>51</v>
      </c>
      <c r="AE3134" t="s">
        <v>51</v>
      </c>
      <c r="AF3134" t="s">
        <v>2354</v>
      </c>
    </row>
    <row r="3135" spans="1:32" ht="14.5" customHeight="1" x14ac:dyDescent="0.35">
      <c r="A3135" t="s">
        <v>175</v>
      </c>
      <c r="B3135" t="s">
        <v>2152</v>
      </c>
      <c r="C3135" t="s">
        <v>47</v>
      </c>
      <c r="D3135">
        <v>3100726</v>
      </c>
      <c r="E3135">
        <v>3100577</v>
      </c>
      <c r="F3135" t="s">
        <v>2153</v>
      </c>
      <c r="G3135" t="s">
        <v>2153</v>
      </c>
      <c r="H3135" t="s">
        <v>54</v>
      </c>
      <c r="I3135">
        <v>6957106</v>
      </c>
      <c r="J3135" s="12">
        <v>46106</v>
      </c>
      <c r="K3135" s="12">
        <v>46106</v>
      </c>
      <c r="L3135" s="12">
        <v>46106</v>
      </c>
      <c r="M3135">
        <v>26</v>
      </c>
      <c r="N3135">
        <v>-513468</v>
      </c>
      <c r="O3135">
        <v>-513468</v>
      </c>
      <c r="P3135">
        <v>0</v>
      </c>
      <c r="Q3135">
        <v>-513468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 t="s">
        <v>47</v>
      </c>
      <c r="AA3135" t="s">
        <v>55</v>
      </c>
      <c r="AB3135" t="s">
        <v>51</v>
      </c>
      <c r="AC3135" t="s">
        <v>51</v>
      </c>
      <c r="AD3135" t="s">
        <v>51</v>
      </c>
      <c r="AE3135" t="s">
        <v>51</v>
      </c>
      <c r="AF3135" t="s">
        <v>2355</v>
      </c>
    </row>
    <row r="3136" spans="1:32" ht="14.5" customHeight="1" x14ac:dyDescent="0.35">
      <c r="A3136" t="s">
        <v>175</v>
      </c>
      <c r="B3136" t="s">
        <v>2152</v>
      </c>
      <c r="C3136" t="s">
        <v>47</v>
      </c>
      <c r="D3136">
        <v>3100726</v>
      </c>
      <c r="E3136">
        <v>3100577</v>
      </c>
      <c r="F3136" t="s">
        <v>2153</v>
      </c>
      <c r="G3136" t="s">
        <v>2153</v>
      </c>
      <c r="H3136" t="s">
        <v>54</v>
      </c>
      <c r="I3136">
        <v>6957107</v>
      </c>
      <c r="J3136" s="12">
        <v>46106</v>
      </c>
      <c r="K3136" s="12">
        <v>46106</v>
      </c>
      <c r="L3136" s="12">
        <v>46106</v>
      </c>
      <c r="M3136">
        <v>26</v>
      </c>
      <c r="N3136">
        <v>-390866</v>
      </c>
      <c r="O3136">
        <v>-390866</v>
      </c>
      <c r="P3136">
        <v>0</v>
      </c>
      <c r="Q3136">
        <v>-390866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 t="s">
        <v>47</v>
      </c>
      <c r="AA3136" t="s">
        <v>55</v>
      </c>
      <c r="AB3136" t="s">
        <v>51</v>
      </c>
      <c r="AC3136" t="s">
        <v>51</v>
      </c>
      <c r="AD3136" t="s">
        <v>51</v>
      </c>
      <c r="AE3136" t="s">
        <v>51</v>
      </c>
      <c r="AF3136" t="s">
        <v>2354</v>
      </c>
    </row>
    <row r="3137" spans="1:32" ht="14.5" customHeight="1" x14ac:dyDescent="0.35">
      <c r="A3137" t="s">
        <v>175</v>
      </c>
      <c r="B3137" t="s">
        <v>2152</v>
      </c>
      <c r="C3137" t="s">
        <v>47</v>
      </c>
      <c r="D3137">
        <v>3100726</v>
      </c>
      <c r="E3137">
        <v>3100577</v>
      </c>
      <c r="F3137" t="s">
        <v>2153</v>
      </c>
      <c r="G3137" t="s">
        <v>2153</v>
      </c>
      <c r="H3137" t="s">
        <v>54</v>
      </c>
      <c r="I3137">
        <v>6957108</v>
      </c>
      <c r="J3137" s="12">
        <v>46106</v>
      </c>
      <c r="K3137" s="12">
        <v>46106</v>
      </c>
      <c r="L3137" s="12">
        <v>46106</v>
      </c>
      <c r="M3137">
        <v>26</v>
      </c>
      <c r="N3137">
        <v>-705073</v>
      </c>
      <c r="O3137">
        <v>-705073</v>
      </c>
      <c r="P3137">
        <v>0</v>
      </c>
      <c r="Q3137">
        <v>-705073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 t="s">
        <v>47</v>
      </c>
      <c r="AA3137" t="s">
        <v>55</v>
      </c>
      <c r="AB3137" t="s">
        <v>51</v>
      </c>
      <c r="AC3137" t="s">
        <v>51</v>
      </c>
      <c r="AD3137" t="s">
        <v>51</v>
      </c>
      <c r="AE3137" t="s">
        <v>51</v>
      </c>
      <c r="AF3137" t="s">
        <v>2348</v>
      </c>
    </row>
    <row r="3138" spans="1:32" ht="14.5" customHeight="1" x14ac:dyDescent="0.35">
      <c r="A3138" t="s">
        <v>175</v>
      </c>
      <c r="B3138" t="s">
        <v>2152</v>
      </c>
      <c r="C3138" t="s">
        <v>47</v>
      </c>
      <c r="D3138">
        <v>3100726</v>
      </c>
      <c r="E3138">
        <v>3100577</v>
      </c>
      <c r="F3138" t="s">
        <v>2153</v>
      </c>
      <c r="G3138" t="s">
        <v>2153</v>
      </c>
      <c r="H3138" t="s">
        <v>54</v>
      </c>
      <c r="I3138">
        <v>6957151</v>
      </c>
      <c r="J3138" s="12">
        <v>46106</v>
      </c>
      <c r="K3138" s="12">
        <v>46106</v>
      </c>
      <c r="L3138" s="12">
        <v>46106</v>
      </c>
      <c r="M3138">
        <v>26</v>
      </c>
      <c r="N3138">
        <v>-343962</v>
      </c>
      <c r="O3138">
        <v>-343962</v>
      </c>
      <c r="P3138">
        <v>0</v>
      </c>
      <c r="Q3138">
        <v>-343962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 t="s">
        <v>47</v>
      </c>
      <c r="AA3138" t="s">
        <v>55</v>
      </c>
      <c r="AB3138" t="s">
        <v>51</v>
      </c>
      <c r="AC3138" t="s">
        <v>51</v>
      </c>
      <c r="AD3138" t="s">
        <v>51</v>
      </c>
      <c r="AE3138" t="s">
        <v>51</v>
      </c>
      <c r="AF3138" t="s">
        <v>2354</v>
      </c>
    </row>
    <row r="3139" spans="1:32" ht="14.5" customHeight="1" x14ac:dyDescent="0.35">
      <c r="A3139" t="s">
        <v>175</v>
      </c>
      <c r="B3139" t="s">
        <v>2152</v>
      </c>
      <c r="C3139" t="s">
        <v>47</v>
      </c>
      <c r="D3139">
        <v>3100726</v>
      </c>
      <c r="E3139">
        <v>3100577</v>
      </c>
      <c r="F3139" t="s">
        <v>2153</v>
      </c>
      <c r="G3139" t="s">
        <v>2153</v>
      </c>
      <c r="H3139" t="s">
        <v>54</v>
      </c>
      <c r="I3139">
        <v>6957152</v>
      </c>
      <c r="J3139" s="12">
        <v>46106</v>
      </c>
      <c r="K3139" s="12">
        <v>46106</v>
      </c>
      <c r="L3139" s="12">
        <v>46106</v>
      </c>
      <c r="M3139">
        <v>26</v>
      </c>
      <c r="N3139">
        <v>-620464</v>
      </c>
      <c r="O3139">
        <v>-620464</v>
      </c>
      <c r="P3139">
        <v>0</v>
      </c>
      <c r="Q3139">
        <v>-620464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 t="s">
        <v>47</v>
      </c>
      <c r="AA3139" t="s">
        <v>55</v>
      </c>
      <c r="AB3139" t="s">
        <v>51</v>
      </c>
      <c r="AC3139" t="s">
        <v>51</v>
      </c>
      <c r="AD3139" t="s">
        <v>51</v>
      </c>
      <c r="AE3139" t="s">
        <v>51</v>
      </c>
      <c r="AF3139" t="s">
        <v>2348</v>
      </c>
    </row>
    <row r="3140" spans="1:32" ht="14.5" customHeight="1" x14ac:dyDescent="0.35">
      <c r="A3140" t="s">
        <v>175</v>
      </c>
      <c r="B3140" t="s">
        <v>2152</v>
      </c>
      <c r="C3140" t="s">
        <v>47</v>
      </c>
      <c r="D3140">
        <v>3100726</v>
      </c>
      <c r="E3140">
        <v>3100577</v>
      </c>
      <c r="F3140" t="s">
        <v>2153</v>
      </c>
      <c r="G3140" t="s">
        <v>2153</v>
      </c>
      <c r="H3140" t="s">
        <v>54</v>
      </c>
      <c r="I3140">
        <v>6957153</v>
      </c>
      <c r="J3140" s="12">
        <v>46106</v>
      </c>
      <c r="K3140" s="12">
        <v>46106</v>
      </c>
      <c r="L3140" s="12">
        <v>46106</v>
      </c>
      <c r="M3140">
        <v>26</v>
      </c>
      <c r="N3140">
        <v>-776323</v>
      </c>
      <c r="O3140">
        <v>-776323</v>
      </c>
      <c r="P3140">
        <v>0</v>
      </c>
      <c r="Q3140">
        <v>-776323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 t="s">
        <v>47</v>
      </c>
      <c r="AA3140" t="s">
        <v>55</v>
      </c>
      <c r="AB3140" t="s">
        <v>51</v>
      </c>
      <c r="AC3140" t="s">
        <v>51</v>
      </c>
      <c r="AD3140" t="s">
        <v>51</v>
      </c>
      <c r="AE3140" t="s">
        <v>51</v>
      </c>
      <c r="AF3140" t="s">
        <v>2350</v>
      </c>
    </row>
    <row r="3141" spans="1:32" ht="14.5" customHeight="1" x14ac:dyDescent="0.35">
      <c r="A3141" t="s">
        <v>175</v>
      </c>
      <c r="B3141" t="s">
        <v>2152</v>
      </c>
      <c r="C3141" t="s">
        <v>47</v>
      </c>
      <c r="D3141">
        <v>3100726</v>
      </c>
      <c r="E3141">
        <v>3100577</v>
      </c>
      <c r="F3141" t="s">
        <v>2153</v>
      </c>
      <c r="G3141" t="s">
        <v>2153</v>
      </c>
      <c r="H3141" t="s">
        <v>54</v>
      </c>
      <c r="I3141">
        <v>6957154</v>
      </c>
      <c r="J3141" s="12">
        <v>46106</v>
      </c>
      <c r="K3141" s="12">
        <v>46106</v>
      </c>
      <c r="L3141" s="12">
        <v>46106</v>
      </c>
      <c r="M3141">
        <v>26</v>
      </c>
      <c r="N3141">
        <v>-744701</v>
      </c>
      <c r="O3141">
        <v>-744701</v>
      </c>
      <c r="P3141">
        <v>0</v>
      </c>
      <c r="Q3141">
        <v>-744701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 t="s">
        <v>47</v>
      </c>
      <c r="AA3141" t="s">
        <v>55</v>
      </c>
      <c r="AB3141" t="s">
        <v>51</v>
      </c>
      <c r="AC3141" t="s">
        <v>51</v>
      </c>
      <c r="AD3141" t="s">
        <v>51</v>
      </c>
      <c r="AE3141" t="s">
        <v>51</v>
      </c>
      <c r="AF3141" t="s">
        <v>2350</v>
      </c>
    </row>
    <row r="3142" spans="1:32" ht="14.5" customHeight="1" x14ac:dyDescent="0.35">
      <c r="A3142" t="s">
        <v>175</v>
      </c>
      <c r="B3142" t="s">
        <v>2152</v>
      </c>
      <c r="C3142" t="s">
        <v>47</v>
      </c>
      <c r="D3142">
        <v>3100726</v>
      </c>
      <c r="E3142">
        <v>3100577</v>
      </c>
      <c r="F3142" t="s">
        <v>2153</v>
      </c>
      <c r="G3142" t="s">
        <v>2153</v>
      </c>
      <c r="H3142" t="s">
        <v>54</v>
      </c>
      <c r="I3142">
        <v>6957170</v>
      </c>
      <c r="J3142" s="12">
        <v>46106</v>
      </c>
      <c r="K3142" s="12">
        <v>46106</v>
      </c>
      <c r="L3142" s="12">
        <v>46106</v>
      </c>
      <c r="M3142">
        <v>26</v>
      </c>
      <c r="N3142">
        <v>-641618</v>
      </c>
      <c r="O3142">
        <v>-641618</v>
      </c>
      <c r="P3142">
        <v>0</v>
      </c>
      <c r="Q3142">
        <v>-641618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 t="s">
        <v>47</v>
      </c>
      <c r="AA3142" t="s">
        <v>55</v>
      </c>
      <c r="AB3142" t="s">
        <v>51</v>
      </c>
      <c r="AC3142" t="s">
        <v>51</v>
      </c>
      <c r="AD3142" t="s">
        <v>51</v>
      </c>
      <c r="AE3142" t="s">
        <v>51</v>
      </c>
      <c r="AF3142" t="s">
        <v>2356</v>
      </c>
    </row>
    <row r="3143" spans="1:32" ht="14.5" customHeight="1" x14ac:dyDescent="0.35">
      <c r="A3143" t="s">
        <v>175</v>
      </c>
      <c r="B3143" t="s">
        <v>2152</v>
      </c>
      <c r="C3143" t="s">
        <v>47</v>
      </c>
      <c r="D3143">
        <v>3100726</v>
      </c>
      <c r="E3143">
        <v>3100577</v>
      </c>
      <c r="F3143" t="s">
        <v>2153</v>
      </c>
      <c r="G3143" t="s">
        <v>2153</v>
      </c>
      <c r="H3143" t="s">
        <v>54</v>
      </c>
      <c r="I3143">
        <v>6957171</v>
      </c>
      <c r="J3143" s="12">
        <v>46106</v>
      </c>
      <c r="K3143" s="12">
        <v>46106</v>
      </c>
      <c r="L3143" s="12">
        <v>46106</v>
      </c>
      <c r="M3143">
        <v>26</v>
      </c>
      <c r="N3143">
        <v>-663346</v>
      </c>
      <c r="O3143">
        <v>-663346</v>
      </c>
      <c r="P3143">
        <v>0</v>
      </c>
      <c r="Q3143">
        <v>-663346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 t="s">
        <v>47</v>
      </c>
      <c r="AA3143" t="s">
        <v>55</v>
      </c>
      <c r="AB3143" t="s">
        <v>51</v>
      </c>
      <c r="AC3143" t="s">
        <v>51</v>
      </c>
      <c r="AD3143" t="s">
        <v>51</v>
      </c>
      <c r="AE3143" t="s">
        <v>51</v>
      </c>
      <c r="AF3143" t="s">
        <v>2356</v>
      </c>
    </row>
    <row r="3144" spans="1:32" ht="14.5" customHeight="1" x14ac:dyDescent="0.35">
      <c r="A3144" t="s">
        <v>175</v>
      </c>
      <c r="B3144" t="s">
        <v>2152</v>
      </c>
      <c r="C3144" t="s">
        <v>47</v>
      </c>
      <c r="D3144">
        <v>3100726</v>
      </c>
      <c r="E3144">
        <v>3100577</v>
      </c>
      <c r="F3144" t="s">
        <v>2153</v>
      </c>
      <c r="G3144" t="s">
        <v>2153</v>
      </c>
      <c r="H3144" t="s">
        <v>54</v>
      </c>
      <c r="I3144">
        <v>6957172</v>
      </c>
      <c r="J3144" s="12">
        <v>46106</v>
      </c>
      <c r="K3144" s="12">
        <v>46106</v>
      </c>
      <c r="L3144" s="12">
        <v>46106</v>
      </c>
      <c r="M3144">
        <v>26</v>
      </c>
      <c r="N3144">
        <v>-766859</v>
      </c>
      <c r="O3144">
        <v>-766859</v>
      </c>
      <c r="P3144">
        <v>0</v>
      </c>
      <c r="Q3144">
        <v>-766859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 t="s">
        <v>47</v>
      </c>
      <c r="AA3144" t="s">
        <v>55</v>
      </c>
      <c r="AB3144" t="s">
        <v>51</v>
      </c>
      <c r="AC3144" t="s">
        <v>51</v>
      </c>
      <c r="AD3144" t="s">
        <v>51</v>
      </c>
      <c r="AE3144" t="s">
        <v>51</v>
      </c>
      <c r="AF3144" t="s">
        <v>2356</v>
      </c>
    </row>
    <row r="3145" spans="1:32" ht="14.5" customHeight="1" x14ac:dyDescent="0.35">
      <c r="A3145" t="s">
        <v>175</v>
      </c>
      <c r="B3145" t="s">
        <v>2152</v>
      </c>
      <c r="C3145" t="s">
        <v>47</v>
      </c>
      <c r="D3145">
        <v>3100726</v>
      </c>
      <c r="E3145">
        <v>3100577</v>
      </c>
      <c r="F3145" t="s">
        <v>2153</v>
      </c>
      <c r="G3145" t="s">
        <v>2153</v>
      </c>
      <c r="H3145" t="s">
        <v>54</v>
      </c>
      <c r="I3145">
        <v>6957173</v>
      </c>
      <c r="J3145" s="12">
        <v>46106</v>
      </c>
      <c r="K3145" s="12">
        <v>46106</v>
      </c>
      <c r="L3145" s="12">
        <v>46106</v>
      </c>
      <c r="M3145">
        <v>26</v>
      </c>
      <c r="N3145">
        <v>-1439978</v>
      </c>
      <c r="O3145">
        <v>-1439978</v>
      </c>
      <c r="P3145">
        <v>0</v>
      </c>
      <c r="Q3145">
        <v>-1439978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 t="s">
        <v>47</v>
      </c>
      <c r="AA3145" t="s">
        <v>55</v>
      </c>
      <c r="AB3145" t="s">
        <v>51</v>
      </c>
      <c r="AC3145" t="s">
        <v>51</v>
      </c>
      <c r="AD3145" t="s">
        <v>51</v>
      </c>
      <c r="AE3145" t="s">
        <v>51</v>
      </c>
      <c r="AF3145" t="s">
        <v>2351</v>
      </c>
    </row>
    <row r="3146" spans="1:32" ht="14.5" customHeight="1" x14ac:dyDescent="0.35">
      <c r="A3146" t="s">
        <v>175</v>
      </c>
      <c r="B3146" t="s">
        <v>2152</v>
      </c>
      <c r="C3146" t="s">
        <v>47</v>
      </c>
      <c r="D3146">
        <v>3100726</v>
      </c>
      <c r="E3146">
        <v>3100577</v>
      </c>
      <c r="F3146" t="s">
        <v>2153</v>
      </c>
      <c r="G3146" t="s">
        <v>2153</v>
      </c>
      <c r="H3146" t="s">
        <v>54</v>
      </c>
      <c r="I3146">
        <v>6957174</v>
      </c>
      <c r="J3146" s="12">
        <v>46106</v>
      </c>
      <c r="K3146" s="12">
        <v>46106</v>
      </c>
      <c r="L3146" s="12">
        <v>46106</v>
      </c>
      <c r="M3146">
        <v>26</v>
      </c>
      <c r="N3146">
        <v>-5646401</v>
      </c>
      <c r="O3146">
        <v>-5646401</v>
      </c>
      <c r="P3146">
        <v>0</v>
      </c>
      <c r="Q3146">
        <v>-5646401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 t="s">
        <v>47</v>
      </c>
      <c r="AA3146" t="s">
        <v>55</v>
      </c>
      <c r="AB3146" t="s">
        <v>51</v>
      </c>
      <c r="AC3146" t="s">
        <v>51</v>
      </c>
      <c r="AD3146" t="s">
        <v>51</v>
      </c>
      <c r="AE3146" t="s">
        <v>51</v>
      </c>
      <c r="AF3146" t="s">
        <v>2352</v>
      </c>
    </row>
    <row r="3147" spans="1:32" ht="14.5" customHeight="1" x14ac:dyDescent="0.35">
      <c r="A3147" t="s">
        <v>175</v>
      </c>
      <c r="B3147" t="s">
        <v>2152</v>
      </c>
      <c r="C3147" t="s">
        <v>47</v>
      </c>
      <c r="D3147">
        <v>3100726</v>
      </c>
      <c r="E3147">
        <v>3100577</v>
      </c>
      <c r="F3147" t="s">
        <v>2153</v>
      </c>
      <c r="G3147" t="s">
        <v>2153</v>
      </c>
      <c r="H3147" t="s">
        <v>54</v>
      </c>
      <c r="I3147">
        <v>6957175</v>
      </c>
      <c r="J3147" s="12">
        <v>46106</v>
      </c>
      <c r="K3147" s="12">
        <v>46106</v>
      </c>
      <c r="L3147" s="12">
        <v>46106</v>
      </c>
      <c r="M3147">
        <v>26</v>
      </c>
      <c r="N3147">
        <v>-1450096</v>
      </c>
      <c r="O3147">
        <v>-1450096</v>
      </c>
      <c r="P3147">
        <v>0</v>
      </c>
      <c r="Q3147">
        <v>-1450096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 t="s">
        <v>47</v>
      </c>
      <c r="AA3147" t="s">
        <v>55</v>
      </c>
      <c r="AB3147" t="s">
        <v>51</v>
      </c>
      <c r="AC3147" t="s">
        <v>51</v>
      </c>
      <c r="AD3147" t="s">
        <v>51</v>
      </c>
      <c r="AE3147" t="s">
        <v>51</v>
      </c>
      <c r="AF3147" t="s">
        <v>2351</v>
      </c>
    </row>
    <row r="3148" spans="1:32" ht="14.5" customHeight="1" x14ac:dyDescent="0.35">
      <c r="A3148" t="s">
        <v>175</v>
      </c>
      <c r="B3148" t="s">
        <v>2152</v>
      </c>
      <c r="C3148" t="s">
        <v>47</v>
      </c>
      <c r="D3148">
        <v>3100726</v>
      </c>
      <c r="E3148">
        <v>3100577</v>
      </c>
      <c r="F3148" t="s">
        <v>2153</v>
      </c>
      <c r="G3148" t="s">
        <v>2153</v>
      </c>
      <c r="H3148" t="s">
        <v>54</v>
      </c>
      <c r="I3148">
        <v>6957332</v>
      </c>
      <c r="J3148" s="12">
        <v>46106</v>
      </c>
      <c r="K3148" s="12">
        <v>46106</v>
      </c>
      <c r="L3148" s="12">
        <v>46106</v>
      </c>
      <c r="M3148">
        <v>26</v>
      </c>
      <c r="N3148">
        <v>-5454000</v>
      </c>
      <c r="O3148">
        <v>-5454000</v>
      </c>
      <c r="P3148">
        <v>0</v>
      </c>
      <c r="Q3148">
        <v>-5454000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 t="s">
        <v>47</v>
      </c>
      <c r="AA3148" t="s">
        <v>55</v>
      </c>
      <c r="AB3148" t="s">
        <v>51</v>
      </c>
      <c r="AC3148" t="s">
        <v>51</v>
      </c>
      <c r="AD3148" t="s">
        <v>51</v>
      </c>
      <c r="AE3148" t="s">
        <v>51</v>
      </c>
      <c r="AF3148" t="s">
        <v>2357</v>
      </c>
    </row>
    <row r="3149" spans="1:32" ht="14.5" customHeight="1" x14ac:dyDescent="0.35">
      <c r="A3149" t="s">
        <v>175</v>
      </c>
      <c r="B3149" t="s">
        <v>2152</v>
      </c>
      <c r="C3149" t="s">
        <v>47</v>
      </c>
      <c r="D3149">
        <v>3100726</v>
      </c>
      <c r="E3149">
        <v>3100577</v>
      </c>
      <c r="F3149" t="s">
        <v>2153</v>
      </c>
      <c r="G3149" t="s">
        <v>2153</v>
      </c>
      <c r="H3149" t="s">
        <v>54</v>
      </c>
      <c r="I3149">
        <v>6957333</v>
      </c>
      <c r="J3149" s="12">
        <v>46106</v>
      </c>
      <c r="K3149" s="12">
        <v>46106</v>
      </c>
      <c r="L3149" s="12">
        <v>46106</v>
      </c>
      <c r="M3149">
        <v>26</v>
      </c>
      <c r="N3149">
        <v>-3030000</v>
      </c>
      <c r="O3149">
        <v>-3030000</v>
      </c>
      <c r="P3149">
        <v>0</v>
      </c>
      <c r="Q3149">
        <v>-3030000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 t="s">
        <v>47</v>
      </c>
      <c r="AA3149" t="s">
        <v>55</v>
      </c>
      <c r="AB3149" t="s">
        <v>51</v>
      </c>
      <c r="AC3149" t="s">
        <v>51</v>
      </c>
      <c r="AD3149" t="s">
        <v>51</v>
      </c>
      <c r="AE3149" t="s">
        <v>51</v>
      </c>
      <c r="AF3149" t="s">
        <v>2357</v>
      </c>
    </row>
    <row r="3150" spans="1:32" ht="14.5" customHeight="1" x14ac:dyDescent="0.35">
      <c r="A3150" t="s">
        <v>175</v>
      </c>
      <c r="B3150" t="s">
        <v>2152</v>
      </c>
      <c r="C3150" t="s">
        <v>47</v>
      </c>
      <c r="D3150">
        <v>3100726</v>
      </c>
      <c r="E3150">
        <v>3100577</v>
      </c>
      <c r="F3150" t="s">
        <v>2153</v>
      </c>
      <c r="G3150" t="s">
        <v>2153</v>
      </c>
      <c r="H3150" t="s">
        <v>54</v>
      </c>
      <c r="I3150">
        <v>6957334</v>
      </c>
      <c r="J3150" s="12">
        <v>46106</v>
      </c>
      <c r="K3150" s="12">
        <v>46106</v>
      </c>
      <c r="L3150" s="12">
        <v>46106</v>
      </c>
      <c r="M3150">
        <v>26</v>
      </c>
      <c r="N3150">
        <v>-6817500</v>
      </c>
      <c r="O3150">
        <v>-6817500</v>
      </c>
      <c r="P3150">
        <v>0</v>
      </c>
      <c r="Q3150">
        <v>-6817500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 t="s">
        <v>47</v>
      </c>
      <c r="AA3150" t="s">
        <v>55</v>
      </c>
      <c r="AB3150" t="s">
        <v>51</v>
      </c>
      <c r="AC3150" t="s">
        <v>51</v>
      </c>
      <c r="AD3150" t="s">
        <v>51</v>
      </c>
      <c r="AE3150" t="s">
        <v>51</v>
      </c>
      <c r="AF3150" t="s">
        <v>2358</v>
      </c>
    </row>
    <row r="3151" spans="1:32" ht="14.5" customHeight="1" x14ac:dyDescent="0.35">
      <c r="A3151" t="s">
        <v>175</v>
      </c>
      <c r="B3151" t="s">
        <v>2152</v>
      </c>
      <c r="C3151" t="s">
        <v>47</v>
      </c>
      <c r="D3151">
        <v>3100726</v>
      </c>
      <c r="E3151">
        <v>3100577</v>
      </c>
      <c r="F3151" t="s">
        <v>2153</v>
      </c>
      <c r="G3151" t="s">
        <v>2153</v>
      </c>
      <c r="H3151" t="s">
        <v>54</v>
      </c>
      <c r="I3151">
        <v>6957448</v>
      </c>
      <c r="J3151" s="12">
        <v>46106</v>
      </c>
      <c r="K3151" s="12">
        <v>46106</v>
      </c>
      <c r="L3151" s="12">
        <v>46106</v>
      </c>
      <c r="M3151">
        <v>26</v>
      </c>
      <c r="N3151">
        <v>-654000</v>
      </c>
      <c r="O3151">
        <v>-654000</v>
      </c>
      <c r="P3151">
        <v>0</v>
      </c>
      <c r="Q3151">
        <v>-654000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 t="s">
        <v>47</v>
      </c>
      <c r="AA3151" t="s">
        <v>55</v>
      </c>
      <c r="AB3151" t="s">
        <v>51</v>
      </c>
      <c r="AC3151" t="s">
        <v>51</v>
      </c>
      <c r="AD3151" t="s">
        <v>51</v>
      </c>
      <c r="AE3151" t="s">
        <v>51</v>
      </c>
      <c r="AF3151" t="s">
        <v>2359</v>
      </c>
    </row>
    <row r="3152" spans="1:32" ht="14.5" customHeight="1" x14ac:dyDescent="0.35">
      <c r="A3152" t="s">
        <v>175</v>
      </c>
      <c r="B3152" t="s">
        <v>2152</v>
      </c>
      <c r="C3152" t="s">
        <v>47</v>
      </c>
      <c r="D3152">
        <v>3100726</v>
      </c>
      <c r="E3152">
        <v>3100577</v>
      </c>
      <c r="F3152" t="s">
        <v>2153</v>
      </c>
      <c r="G3152" t="s">
        <v>2153</v>
      </c>
      <c r="H3152" t="s">
        <v>54</v>
      </c>
      <c r="I3152">
        <v>6957529</v>
      </c>
      <c r="J3152" s="12">
        <v>46108</v>
      </c>
      <c r="K3152" s="12">
        <v>46108</v>
      </c>
      <c r="L3152" s="12">
        <v>46108</v>
      </c>
      <c r="M3152">
        <v>24</v>
      </c>
      <c r="N3152">
        <v>-18533962</v>
      </c>
      <c r="O3152">
        <v>-18533962</v>
      </c>
      <c r="P3152">
        <v>0</v>
      </c>
      <c r="Q3152">
        <v>-18533962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 t="s">
        <v>47</v>
      </c>
      <c r="AA3152" t="s">
        <v>55</v>
      </c>
      <c r="AB3152" t="s">
        <v>51</v>
      </c>
      <c r="AC3152" t="s">
        <v>51</v>
      </c>
      <c r="AD3152" t="s">
        <v>51</v>
      </c>
      <c r="AE3152" t="s">
        <v>51</v>
      </c>
      <c r="AF3152" t="s">
        <v>77</v>
      </c>
    </row>
    <row r="3153" spans="1:32" ht="14.5" customHeight="1" x14ac:dyDescent="0.35">
      <c r="A3153" t="s">
        <v>175</v>
      </c>
      <c r="B3153" t="s">
        <v>2152</v>
      </c>
      <c r="C3153" t="s">
        <v>47</v>
      </c>
      <c r="D3153">
        <v>3100726</v>
      </c>
      <c r="E3153">
        <v>3100577</v>
      </c>
      <c r="F3153" t="s">
        <v>2153</v>
      </c>
      <c r="G3153" t="s">
        <v>2153</v>
      </c>
      <c r="H3153" t="s">
        <v>54</v>
      </c>
      <c r="I3153">
        <v>6957708</v>
      </c>
      <c r="J3153" s="12">
        <v>46112</v>
      </c>
      <c r="K3153" s="12">
        <v>46112</v>
      </c>
      <c r="L3153" s="12">
        <v>46112</v>
      </c>
      <c r="M3153">
        <v>20</v>
      </c>
      <c r="N3153">
        <v>-17447832</v>
      </c>
      <c r="O3153">
        <v>-17447832</v>
      </c>
      <c r="P3153">
        <v>0</v>
      </c>
      <c r="Q3153">
        <v>-17447832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 t="s">
        <v>47</v>
      </c>
      <c r="AA3153" t="s">
        <v>55</v>
      </c>
      <c r="AB3153" t="s">
        <v>51</v>
      </c>
      <c r="AC3153" t="s">
        <v>51</v>
      </c>
      <c r="AD3153" t="s">
        <v>51</v>
      </c>
      <c r="AE3153" t="s">
        <v>51</v>
      </c>
      <c r="AF3153" t="s">
        <v>2360</v>
      </c>
    </row>
    <row r="3154" spans="1:32" ht="14.5" customHeight="1" x14ac:dyDescent="0.35">
      <c r="A3154" t="s">
        <v>175</v>
      </c>
      <c r="B3154" t="s">
        <v>2152</v>
      </c>
      <c r="C3154" t="s">
        <v>47</v>
      </c>
      <c r="D3154">
        <v>3100726</v>
      </c>
      <c r="E3154">
        <v>3100577</v>
      </c>
      <c r="F3154" t="s">
        <v>2153</v>
      </c>
      <c r="G3154" t="s">
        <v>2153</v>
      </c>
      <c r="H3154" t="s">
        <v>54</v>
      </c>
      <c r="I3154">
        <v>6958144</v>
      </c>
      <c r="J3154" s="12">
        <v>46119</v>
      </c>
      <c r="K3154" s="12">
        <v>46119</v>
      </c>
      <c r="L3154" s="12">
        <v>46119</v>
      </c>
      <c r="M3154">
        <v>13</v>
      </c>
      <c r="N3154">
        <v>-163500</v>
      </c>
      <c r="O3154">
        <v>-163500</v>
      </c>
      <c r="P3154">
        <v>0</v>
      </c>
      <c r="Q3154">
        <v>-163500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 t="s">
        <v>47</v>
      </c>
      <c r="AA3154" t="s">
        <v>55</v>
      </c>
      <c r="AB3154" t="s">
        <v>51</v>
      </c>
      <c r="AC3154" t="s">
        <v>51</v>
      </c>
      <c r="AD3154" t="s">
        <v>51</v>
      </c>
      <c r="AE3154" t="s">
        <v>51</v>
      </c>
      <c r="AF3154" t="s">
        <v>2361</v>
      </c>
    </row>
    <row r="3155" spans="1:32" ht="14.5" customHeight="1" x14ac:dyDescent="0.35">
      <c r="A3155" t="s">
        <v>175</v>
      </c>
      <c r="B3155" t="s">
        <v>2152</v>
      </c>
      <c r="C3155" t="s">
        <v>47</v>
      </c>
      <c r="D3155">
        <v>3100726</v>
      </c>
      <c r="E3155">
        <v>3100577</v>
      </c>
      <c r="F3155" t="s">
        <v>2153</v>
      </c>
      <c r="G3155" t="s">
        <v>2153</v>
      </c>
      <c r="H3155" t="s">
        <v>54</v>
      </c>
      <c r="I3155">
        <v>6958213</v>
      </c>
      <c r="J3155" s="12">
        <v>46119</v>
      </c>
      <c r="K3155" s="12">
        <v>46119</v>
      </c>
      <c r="L3155" s="12">
        <v>46119</v>
      </c>
      <c r="M3155">
        <v>13</v>
      </c>
      <c r="N3155">
        <v>-490500</v>
      </c>
      <c r="O3155">
        <v>-490500</v>
      </c>
      <c r="P3155">
        <v>0</v>
      </c>
      <c r="Q3155">
        <v>-490500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 t="s">
        <v>47</v>
      </c>
      <c r="AA3155" t="s">
        <v>55</v>
      </c>
      <c r="AB3155" t="s">
        <v>51</v>
      </c>
      <c r="AC3155" t="s">
        <v>51</v>
      </c>
      <c r="AD3155" t="s">
        <v>51</v>
      </c>
      <c r="AE3155" t="s">
        <v>51</v>
      </c>
      <c r="AF3155" t="s">
        <v>2361</v>
      </c>
    </row>
    <row r="3156" spans="1:32" ht="14.5" customHeight="1" x14ac:dyDescent="0.35">
      <c r="A3156" t="s">
        <v>175</v>
      </c>
      <c r="B3156" t="s">
        <v>2152</v>
      </c>
      <c r="C3156" t="s">
        <v>47</v>
      </c>
      <c r="D3156">
        <v>3100726</v>
      </c>
      <c r="E3156">
        <v>3100577</v>
      </c>
      <c r="F3156" t="s">
        <v>2153</v>
      </c>
      <c r="G3156" t="s">
        <v>2153</v>
      </c>
      <c r="H3156" t="s">
        <v>54</v>
      </c>
      <c r="I3156">
        <v>6958504</v>
      </c>
      <c r="J3156" s="12">
        <v>46121</v>
      </c>
      <c r="K3156" s="12">
        <v>46121</v>
      </c>
      <c r="L3156" s="12">
        <v>46121</v>
      </c>
      <c r="M3156">
        <v>11</v>
      </c>
      <c r="N3156">
        <v>-116610</v>
      </c>
      <c r="O3156">
        <v>-116610</v>
      </c>
      <c r="P3156">
        <v>0</v>
      </c>
      <c r="Q3156">
        <v>-116610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 t="s">
        <v>47</v>
      </c>
      <c r="AA3156" t="s">
        <v>55</v>
      </c>
      <c r="AB3156" t="s">
        <v>51</v>
      </c>
      <c r="AC3156" t="s">
        <v>51</v>
      </c>
      <c r="AD3156" t="s">
        <v>51</v>
      </c>
      <c r="AE3156" t="s">
        <v>51</v>
      </c>
      <c r="AF3156" t="s">
        <v>2347</v>
      </c>
    </row>
    <row r="3157" spans="1:32" ht="14.5" customHeight="1" x14ac:dyDescent="0.35">
      <c r="A3157" t="s">
        <v>175</v>
      </c>
      <c r="B3157" t="s">
        <v>2152</v>
      </c>
      <c r="C3157" t="s">
        <v>47</v>
      </c>
      <c r="D3157">
        <v>3100726</v>
      </c>
      <c r="E3157">
        <v>3100577</v>
      </c>
      <c r="F3157" t="s">
        <v>2153</v>
      </c>
      <c r="G3157" t="s">
        <v>2153</v>
      </c>
      <c r="H3157" t="s">
        <v>54</v>
      </c>
      <c r="I3157">
        <v>6958505</v>
      </c>
      <c r="J3157" s="12">
        <v>46121</v>
      </c>
      <c r="K3157" s="12">
        <v>46121</v>
      </c>
      <c r="L3157" s="12">
        <v>46121</v>
      </c>
      <c r="M3157">
        <v>11</v>
      </c>
      <c r="N3157">
        <v>-451979</v>
      </c>
      <c r="O3157">
        <v>-451979</v>
      </c>
      <c r="P3157">
        <v>0</v>
      </c>
      <c r="Q3157">
        <v>-451979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 t="s">
        <v>47</v>
      </c>
      <c r="AA3157" t="s">
        <v>55</v>
      </c>
      <c r="AB3157" t="s">
        <v>51</v>
      </c>
      <c r="AC3157" t="s">
        <v>51</v>
      </c>
      <c r="AD3157" t="s">
        <v>51</v>
      </c>
      <c r="AE3157" t="s">
        <v>51</v>
      </c>
      <c r="AF3157" t="s">
        <v>2362</v>
      </c>
    </row>
    <row r="3158" spans="1:32" ht="14.5" customHeight="1" x14ac:dyDescent="0.35">
      <c r="A3158" t="s">
        <v>175</v>
      </c>
      <c r="B3158" t="s">
        <v>2152</v>
      </c>
      <c r="C3158" t="s">
        <v>47</v>
      </c>
      <c r="D3158">
        <v>3100726</v>
      </c>
      <c r="E3158">
        <v>3100577</v>
      </c>
      <c r="F3158" t="s">
        <v>2153</v>
      </c>
      <c r="G3158" t="s">
        <v>2153</v>
      </c>
      <c r="H3158" t="s">
        <v>54</v>
      </c>
      <c r="I3158">
        <v>6958506</v>
      </c>
      <c r="J3158" s="12">
        <v>46121</v>
      </c>
      <c r="K3158" s="12">
        <v>46121</v>
      </c>
      <c r="L3158" s="12">
        <v>46121</v>
      </c>
      <c r="M3158">
        <v>11</v>
      </c>
      <c r="N3158">
        <v>-397741</v>
      </c>
      <c r="O3158">
        <v>-397741</v>
      </c>
      <c r="P3158">
        <v>0</v>
      </c>
      <c r="Q3158">
        <v>-397741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 t="s">
        <v>47</v>
      </c>
      <c r="AA3158" t="s">
        <v>55</v>
      </c>
      <c r="AB3158" t="s">
        <v>51</v>
      </c>
      <c r="AC3158" t="s">
        <v>51</v>
      </c>
      <c r="AD3158" t="s">
        <v>51</v>
      </c>
      <c r="AE3158" t="s">
        <v>51</v>
      </c>
      <c r="AF3158" t="s">
        <v>2362</v>
      </c>
    </row>
    <row r="3159" spans="1:32" ht="14.5" customHeight="1" x14ac:dyDescent="0.35">
      <c r="A3159" t="s">
        <v>175</v>
      </c>
      <c r="B3159" t="s">
        <v>2152</v>
      </c>
      <c r="C3159" t="s">
        <v>47</v>
      </c>
      <c r="D3159">
        <v>3100726</v>
      </c>
      <c r="E3159">
        <v>3100577</v>
      </c>
      <c r="F3159" t="s">
        <v>2153</v>
      </c>
      <c r="G3159" t="s">
        <v>2153</v>
      </c>
      <c r="H3159" t="s">
        <v>54</v>
      </c>
      <c r="I3159">
        <v>6958507</v>
      </c>
      <c r="J3159" s="12">
        <v>46121</v>
      </c>
      <c r="K3159" s="12">
        <v>46121</v>
      </c>
      <c r="L3159" s="12">
        <v>46121</v>
      </c>
      <c r="M3159">
        <v>11</v>
      </c>
      <c r="N3159">
        <v>-1090000</v>
      </c>
      <c r="O3159">
        <v>-1090000</v>
      </c>
      <c r="P3159">
        <v>0</v>
      </c>
      <c r="Q3159">
        <v>-1090000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 t="s">
        <v>47</v>
      </c>
      <c r="AA3159" t="s">
        <v>55</v>
      </c>
      <c r="AB3159" t="s">
        <v>51</v>
      </c>
      <c r="AC3159" t="s">
        <v>51</v>
      </c>
      <c r="AD3159" t="s">
        <v>51</v>
      </c>
      <c r="AE3159" t="s">
        <v>51</v>
      </c>
      <c r="AF3159" t="s">
        <v>2363</v>
      </c>
    </row>
    <row r="3160" spans="1:32" ht="14.5" customHeight="1" x14ac:dyDescent="0.35">
      <c r="A3160" t="s">
        <v>175</v>
      </c>
      <c r="B3160" t="s">
        <v>2152</v>
      </c>
      <c r="C3160" t="s">
        <v>47</v>
      </c>
      <c r="D3160">
        <v>3100726</v>
      </c>
      <c r="E3160">
        <v>3100577</v>
      </c>
      <c r="F3160" t="s">
        <v>2153</v>
      </c>
      <c r="G3160" t="s">
        <v>2153</v>
      </c>
      <c r="H3160" t="s">
        <v>54</v>
      </c>
      <c r="I3160">
        <v>6958517</v>
      </c>
      <c r="J3160" s="12">
        <v>46121</v>
      </c>
      <c r="K3160" s="12">
        <v>46121</v>
      </c>
      <c r="L3160" s="12">
        <v>46121</v>
      </c>
      <c r="M3160">
        <v>11</v>
      </c>
      <c r="N3160">
        <v>-154016</v>
      </c>
      <c r="O3160">
        <v>-154016</v>
      </c>
      <c r="P3160">
        <v>0</v>
      </c>
      <c r="Q3160">
        <v>-154016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 t="s">
        <v>47</v>
      </c>
      <c r="AA3160" t="s">
        <v>55</v>
      </c>
      <c r="AB3160" t="s">
        <v>51</v>
      </c>
      <c r="AC3160" t="s">
        <v>51</v>
      </c>
      <c r="AD3160" t="s">
        <v>51</v>
      </c>
      <c r="AE3160" t="s">
        <v>51</v>
      </c>
      <c r="AF3160" t="s">
        <v>2364</v>
      </c>
    </row>
    <row r="3161" spans="1:32" ht="14.5" customHeight="1" x14ac:dyDescent="0.35">
      <c r="A3161" t="s">
        <v>175</v>
      </c>
      <c r="B3161" t="s">
        <v>2152</v>
      </c>
      <c r="C3161" t="s">
        <v>47</v>
      </c>
      <c r="D3161">
        <v>3100726</v>
      </c>
      <c r="E3161">
        <v>3100577</v>
      </c>
      <c r="F3161" t="s">
        <v>2153</v>
      </c>
      <c r="G3161" t="s">
        <v>2153</v>
      </c>
      <c r="H3161" t="s">
        <v>54</v>
      </c>
      <c r="I3161">
        <v>6958518</v>
      </c>
      <c r="J3161" s="12">
        <v>46121</v>
      </c>
      <c r="K3161" s="12">
        <v>46121</v>
      </c>
      <c r="L3161" s="12">
        <v>46121</v>
      </c>
      <c r="M3161">
        <v>11</v>
      </c>
      <c r="N3161">
        <v>-193054</v>
      </c>
      <c r="O3161">
        <v>-193054</v>
      </c>
      <c r="P3161">
        <v>0</v>
      </c>
      <c r="Q3161">
        <v>-193054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 t="s">
        <v>47</v>
      </c>
      <c r="AA3161" t="s">
        <v>55</v>
      </c>
      <c r="AB3161" t="s">
        <v>51</v>
      </c>
      <c r="AC3161" t="s">
        <v>51</v>
      </c>
      <c r="AD3161" t="s">
        <v>51</v>
      </c>
      <c r="AE3161" t="s">
        <v>51</v>
      </c>
      <c r="AF3161" t="s">
        <v>2362</v>
      </c>
    </row>
    <row r="3162" spans="1:32" ht="14.5" customHeight="1" x14ac:dyDescent="0.35">
      <c r="A3162" t="s">
        <v>175</v>
      </c>
      <c r="B3162" t="s">
        <v>2152</v>
      </c>
      <c r="C3162" t="s">
        <v>47</v>
      </c>
      <c r="D3162">
        <v>3100726</v>
      </c>
      <c r="E3162">
        <v>3100577</v>
      </c>
      <c r="F3162" t="s">
        <v>2153</v>
      </c>
      <c r="G3162" t="s">
        <v>2153</v>
      </c>
      <c r="H3162" t="s">
        <v>54</v>
      </c>
      <c r="I3162">
        <v>6959182</v>
      </c>
      <c r="J3162" s="12">
        <v>46126</v>
      </c>
      <c r="K3162" s="12">
        <v>46126</v>
      </c>
      <c r="L3162" s="12">
        <v>46126</v>
      </c>
      <c r="M3162">
        <v>6</v>
      </c>
      <c r="N3162">
        <v>-102617</v>
      </c>
      <c r="O3162">
        <v>-102617</v>
      </c>
      <c r="P3162">
        <v>0</v>
      </c>
      <c r="Q3162">
        <v>-102617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 t="s">
        <v>47</v>
      </c>
      <c r="AA3162" t="s">
        <v>55</v>
      </c>
      <c r="AB3162" t="s">
        <v>51</v>
      </c>
      <c r="AC3162" t="s">
        <v>51</v>
      </c>
      <c r="AD3162" t="s">
        <v>51</v>
      </c>
      <c r="AE3162" t="s">
        <v>51</v>
      </c>
      <c r="AF3162" t="s">
        <v>2347</v>
      </c>
    </row>
    <row r="3163" spans="1:32" ht="14.5" customHeight="1" x14ac:dyDescent="0.35">
      <c r="A3163" t="s">
        <v>175</v>
      </c>
      <c r="B3163" t="s">
        <v>2152</v>
      </c>
      <c r="C3163" t="s">
        <v>47</v>
      </c>
      <c r="D3163">
        <v>3100726</v>
      </c>
      <c r="E3163">
        <v>3100577</v>
      </c>
      <c r="F3163" t="s">
        <v>2153</v>
      </c>
      <c r="G3163" t="s">
        <v>2153</v>
      </c>
      <c r="H3163" t="s">
        <v>54</v>
      </c>
      <c r="I3163">
        <v>6959219</v>
      </c>
      <c r="J3163" s="12">
        <v>46126</v>
      </c>
      <c r="K3163" s="12">
        <v>46126</v>
      </c>
      <c r="L3163" s="12">
        <v>46126</v>
      </c>
      <c r="M3163">
        <v>6</v>
      </c>
      <c r="N3163">
        <v>-654000</v>
      </c>
      <c r="O3163">
        <v>-654000</v>
      </c>
      <c r="P3163">
        <v>0</v>
      </c>
      <c r="Q3163">
        <v>-654000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 t="s">
        <v>47</v>
      </c>
      <c r="AA3163" t="s">
        <v>55</v>
      </c>
      <c r="AB3163" t="s">
        <v>51</v>
      </c>
      <c r="AC3163" t="s">
        <v>51</v>
      </c>
      <c r="AD3163" t="s">
        <v>51</v>
      </c>
      <c r="AE3163" t="s">
        <v>51</v>
      </c>
      <c r="AF3163" t="s">
        <v>2365</v>
      </c>
    </row>
    <row r="3164" spans="1:32" ht="14.5" customHeight="1" x14ac:dyDescent="0.35">
      <c r="A3164" t="s">
        <v>175</v>
      </c>
      <c r="B3164" t="s">
        <v>2152</v>
      </c>
      <c r="C3164" t="s">
        <v>47</v>
      </c>
      <c r="D3164">
        <v>3100726</v>
      </c>
      <c r="E3164">
        <v>3100577</v>
      </c>
      <c r="F3164" t="s">
        <v>2153</v>
      </c>
      <c r="G3164" t="s">
        <v>2153</v>
      </c>
      <c r="H3164" t="s">
        <v>54</v>
      </c>
      <c r="I3164">
        <v>6959450</v>
      </c>
      <c r="J3164" s="12">
        <v>46127</v>
      </c>
      <c r="K3164" s="12">
        <v>46127</v>
      </c>
      <c r="L3164" s="12">
        <v>46127</v>
      </c>
      <c r="M3164">
        <v>5</v>
      </c>
      <c r="N3164">
        <v>-1697760</v>
      </c>
      <c r="O3164">
        <v>-1697760</v>
      </c>
      <c r="P3164">
        <v>0</v>
      </c>
      <c r="Q3164">
        <v>-1697760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 t="s">
        <v>47</v>
      </c>
      <c r="AA3164" t="s">
        <v>55</v>
      </c>
      <c r="AB3164" t="s">
        <v>51</v>
      </c>
      <c r="AC3164" t="s">
        <v>51</v>
      </c>
      <c r="AD3164" t="s">
        <v>51</v>
      </c>
      <c r="AE3164" t="s">
        <v>51</v>
      </c>
      <c r="AF3164" t="s">
        <v>2366</v>
      </c>
    </row>
    <row r="3165" spans="1:32" ht="14.5" customHeight="1" x14ac:dyDescent="0.35">
      <c r="A3165" t="s">
        <v>175</v>
      </c>
      <c r="B3165" t="s">
        <v>2152</v>
      </c>
      <c r="C3165" t="s">
        <v>47</v>
      </c>
      <c r="D3165">
        <v>3100726</v>
      </c>
      <c r="E3165">
        <v>3100577</v>
      </c>
      <c r="F3165" t="s">
        <v>2153</v>
      </c>
      <c r="G3165" t="s">
        <v>2153</v>
      </c>
      <c r="H3165" t="s">
        <v>111</v>
      </c>
      <c r="I3165">
        <v>6959472</v>
      </c>
      <c r="J3165" s="12">
        <v>46127</v>
      </c>
      <c r="K3165" s="12">
        <v>46127</v>
      </c>
      <c r="L3165" s="12">
        <v>46127</v>
      </c>
      <c r="M3165">
        <v>5</v>
      </c>
      <c r="N3165">
        <v>-326027</v>
      </c>
      <c r="O3165">
        <v>-326027</v>
      </c>
      <c r="P3165">
        <v>0</v>
      </c>
      <c r="Q3165">
        <v>-326027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 t="s">
        <v>47</v>
      </c>
      <c r="AA3165" t="s">
        <v>55</v>
      </c>
      <c r="AB3165" t="s">
        <v>51</v>
      </c>
      <c r="AC3165" t="s">
        <v>51</v>
      </c>
      <c r="AD3165" t="s">
        <v>51</v>
      </c>
      <c r="AE3165" t="s">
        <v>51</v>
      </c>
      <c r="AF3165" t="s">
        <v>623</v>
      </c>
    </row>
    <row r="3166" spans="1:32" ht="14.5" customHeight="1" x14ac:dyDescent="0.35">
      <c r="A3166" t="s">
        <v>175</v>
      </c>
      <c r="B3166" t="s">
        <v>2152</v>
      </c>
      <c r="C3166" t="s">
        <v>47</v>
      </c>
      <c r="D3166">
        <v>3100726</v>
      </c>
      <c r="E3166">
        <v>3100577</v>
      </c>
      <c r="F3166" t="s">
        <v>2153</v>
      </c>
      <c r="G3166" t="s">
        <v>2153</v>
      </c>
      <c r="H3166" t="s">
        <v>54</v>
      </c>
      <c r="I3166">
        <v>6959538</v>
      </c>
      <c r="J3166" s="12">
        <v>46127</v>
      </c>
      <c r="K3166" s="12">
        <v>46127</v>
      </c>
      <c r="L3166" s="12">
        <v>46127</v>
      </c>
      <c r="M3166">
        <v>5</v>
      </c>
      <c r="N3166">
        <v>-394193</v>
      </c>
      <c r="O3166">
        <v>-394193</v>
      </c>
      <c r="P3166">
        <v>0</v>
      </c>
      <c r="Q3166">
        <v>-394193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 t="s">
        <v>47</v>
      </c>
      <c r="AA3166" t="s">
        <v>55</v>
      </c>
      <c r="AB3166" t="s">
        <v>51</v>
      </c>
      <c r="AC3166" t="s">
        <v>51</v>
      </c>
      <c r="AD3166" t="s">
        <v>51</v>
      </c>
      <c r="AE3166" t="s">
        <v>51</v>
      </c>
      <c r="AF3166" t="s">
        <v>2367</v>
      </c>
    </row>
    <row r="3167" spans="1:32" ht="14.5" customHeight="1" x14ac:dyDescent="0.35">
      <c r="A3167" t="s">
        <v>175</v>
      </c>
      <c r="B3167" t="s">
        <v>2152</v>
      </c>
      <c r="C3167" t="s">
        <v>47</v>
      </c>
      <c r="D3167">
        <v>3100726</v>
      </c>
      <c r="E3167">
        <v>3100577</v>
      </c>
      <c r="F3167" t="s">
        <v>2153</v>
      </c>
      <c r="G3167" t="s">
        <v>2153</v>
      </c>
      <c r="H3167" t="s">
        <v>54</v>
      </c>
      <c r="I3167">
        <v>6959539</v>
      </c>
      <c r="J3167" s="12">
        <v>46127</v>
      </c>
      <c r="K3167" s="12">
        <v>46127</v>
      </c>
      <c r="L3167" s="12">
        <v>46127</v>
      </c>
      <c r="M3167">
        <v>5</v>
      </c>
      <c r="N3167">
        <v>-261625</v>
      </c>
      <c r="O3167">
        <v>-261625</v>
      </c>
      <c r="P3167">
        <v>0</v>
      </c>
      <c r="Q3167">
        <v>-261625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 t="s">
        <v>47</v>
      </c>
      <c r="AA3167" t="s">
        <v>55</v>
      </c>
      <c r="AB3167" t="s">
        <v>51</v>
      </c>
      <c r="AC3167" t="s">
        <v>51</v>
      </c>
      <c r="AD3167" t="s">
        <v>51</v>
      </c>
      <c r="AE3167" t="s">
        <v>51</v>
      </c>
      <c r="AF3167" t="s">
        <v>2368</v>
      </c>
    </row>
    <row r="3168" spans="1:32" ht="14.5" customHeight="1" x14ac:dyDescent="0.35">
      <c r="A3168" t="s">
        <v>175</v>
      </c>
      <c r="B3168" t="s">
        <v>2152</v>
      </c>
      <c r="C3168" t="s">
        <v>47</v>
      </c>
      <c r="D3168">
        <v>3100726</v>
      </c>
      <c r="E3168">
        <v>3100577</v>
      </c>
      <c r="F3168" t="s">
        <v>2153</v>
      </c>
      <c r="G3168" t="s">
        <v>2153</v>
      </c>
      <c r="H3168" t="s">
        <v>54</v>
      </c>
      <c r="I3168">
        <v>6959540</v>
      </c>
      <c r="J3168" s="12">
        <v>46127</v>
      </c>
      <c r="K3168" s="12">
        <v>46127</v>
      </c>
      <c r="L3168" s="12">
        <v>46127</v>
      </c>
      <c r="M3168">
        <v>5</v>
      </c>
      <c r="N3168">
        <v>-680824</v>
      </c>
      <c r="O3168">
        <v>-680824</v>
      </c>
      <c r="P3168">
        <v>0</v>
      </c>
      <c r="Q3168">
        <v>-680824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 t="s">
        <v>47</v>
      </c>
      <c r="AA3168" t="s">
        <v>55</v>
      </c>
      <c r="AB3168" t="s">
        <v>51</v>
      </c>
      <c r="AC3168" t="s">
        <v>51</v>
      </c>
      <c r="AD3168" t="s">
        <v>51</v>
      </c>
      <c r="AE3168" t="s">
        <v>51</v>
      </c>
      <c r="AF3168" t="s">
        <v>2350</v>
      </c>
    </row>
    <row r="3169" spans="1:32" ht="14.5" customHeight="1" x14ac:dyDescent="0.35">
      <c r="A3169" t="s">
        <v>175</v>
      </c>
      <c r="B3169" t="s">
        <v>2152</v>
      </c>
      <c r="C3169" t="s">
        <v>47</v>
      </c>
      <c r="D3169">
        <v>3100726</v>
      </c>
      <c r="E3169">
        <v>3100577</v>
      </c>
      <c r="F3169" t="s">
        <v>2153</v>
      </c>
      <c r="G3169" t="s">
        <v>2153</v>
      </c>
      <c r="H3169" t="s">
        <v>54</v>
      </c>
      <c r="I3169">
        <v>6959541</v>
      </c>
      <c r="J3169" s="12">
        <v>46127</v>
      </c>
      <c r="K3169" s="12">
        <v>46127</v>
      </c>
      <c r="L3169" s="12">
        <v>46127</v>
      </c>
      <c r="M3169">
        <v>5</v>
      </c>
      <c r="N3169">
        <v>-200669</v>
      </c>
      <c r="O3169">
        <v>-200669</v>
      </c>
      <c r="P3169">
        <v>0</v>
      </c>
      <c r="Q3169">
        <v>-200669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 t="s">
        <v>47</v>
      </c>
      <c r="AA3169" t="s">
        <v>55</v>
      </c>
      <c r="AB3169" t="s">
        <v>51</v>
      </c>
      <c r="AC3169" t="s">
        <v>51</v>
      </c>
      <c r="AD3169" t="s">
        <v>51</v>
      </c>
      <c r="AE3169" t="s">
        <v>51</v>
      </c>
      <c r="AF3169" t="s">
        <v>2369</v>
      </c>
    </row>
    <row r="3170" spans="1:32" ht="14.5" customHeight="1" x14ac:dyDescent="0.35">
      <c r="A3170" t="s">
        <v>175</v>
      </c>
      <c r="B3170" t="s">
        <v>2152</v>
      </c>
      <c r="C3170" t="s">
        <v>47</v>
      </c>
      <c r="D3170">
        <v>3100726</v>
      </c>
      <c r="E3170">
        <v>3100577</v>
      </c>
      <c r="F3170" t="s">
        <v>2153</v>
      </c>
      <c r="G3170" t="s">
        <v>2153</v>
      </c>
      <c r="H3170" t="s">
        <v>54</v>
      </c>
      <c r="I3170">
        <v>6959620</v>
      </c>
      <c r="J3170" s="12">
        <v>46127</v>
      </c>
      <c r="K3170" s="12">
        <v>46127</v>
      </c>
      <c r="L3170" s="12">
        <v>46127</v>
      </c>
      <c r="M3170">
        <v>5</v>
      </c>
      <c r="N3170">
        <v>-626450</v>
      </c>
      <c r="O3170">
        <v>-626450</v>
      </c>
      <c r="P3170">
        <v>0</v>
      </c>
      <c r="Q3170">
        <v>-626450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 t="s">
        <v>47</v>
      </c>
      <c r="AA3170" t="s">
        <v>55</v>
      </c>
      <c r="AB3170" t="s">
        <v>51</v>
      </c>
      <c r="AC3170" t="s">
        <v>51</v>
      </c>
      <c r="AD3170" t="s">
        <v>51</v>
      </c>
      <c r="AE3170" t="s">
        <v>51</v>
      </c>
      <c r="AF3170" t="s">
        <v>2348</v>
      </c>
    </row>
    <row r="3171" spans="1:32" ht="14.5" customHeight="1" x14ac:dyDescent="0.35">
      <c r="A3171" t="s">
        <v>175</v>
      </c>
      <c r="B3171" t="s">
        <v>2152</v>
      </c>
      <c r="C3171" t="s">
        <v>47</v>
      </c>
      <c r="D3171">
        <v>3100726</v>
      </c>
      <c r="E3171">
        <v>3100577</v>
      </c>
      <c r="F3171" t="s">
        <v>2153</v>
      </c>
      <c r="G3171" t="s">
        <v>2153</v>
      </c>
      <c r="H3171" t="s">
        <v>54</v>
      </c>
      <c r="I3171">
        <v>6959621</v>
      </c>
      <c r="J3171" s="12">
        <v>46127</v>
      </c>
      <c r="K3171" s="12">
        <v>46127</v>
      </c>
      <c r="L3171" s="12">
        <v>46127</v>
      </c>
      <c r="M3171">
        <v>5</v>
      </c>
      <c r="N3171">
        <v>-283903</v>
      </c>
      <c r="O3171">
        <v>-283903</v>
      </c>
      <c r="P3171">
        <v>0</v>
      </c>
      <c r="Q3171">
        <v>-283903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 t="s">
        <v>47</v>
      </c>
      <c r="AA3171" t="s">
        <v>55</v>
      </c>
      <c r="AB3171" t="s">
        <v>51</v>
      </c>
      <c r="AC3171" t="s">
        <v>51</v>
      </c>
      <c r="AD3171" t="s">
        <v>51</v>
      </c>
      <c r="AE3171" t="s">
        <v>51</v>
      </c>
      <c r="AF3171" t="s">
        <v>2353</v>
      </c>
    </row>
    <row r="3172" spans="1:32" ht="14.5" customHeight="1" x14ac:dyDescent="0.35">
      <c r="A3172" t="s">
        <v>175</v>
      </c>
      <c r="B3172" t="s">
        <v>2152</v>
      </c>
      <c r="C3172" t="s">
        <v>47</v>
      </c>
      <c r="D3172">
        <v>3100726</v>
      </c>
      <c r="E3172">
        <v>3100577</v>
      </c>
      <c r="F3172" t="s">
        <v>2153</v>
      </c>
      <c r="G3172" t="s">
        <v>2153</v>
      </c>
      <c r="H3172" t="s">
        <v>54</v>
      </c>
      <c r="I3172">
        <v>6959622</v>
      </c>
      <c r="J3172" s="12">
        <v>46127</v>
      </c>
      <c r="K3172" s="12">
        <v>46127</v>
      </c>
      <c r="L3172" s="12">
        <v>46127</v>
      </c>
      <c r="M3172">
        <v>5</v>
      </c>
      <c r="N3172">
        <v>-1644695</v>
      </c>
      <c r="O3172">
        <v>-1644695</v>
      </c>
      <c r="P3172">
        <v>0</v>
      </c>
      <c r="Q3172">
        <v>-1644695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 t="s">
        <v>47</v>
      </c>
      <c r="AA3172" t="s">
        <v>55</v>
      </c>
      <c r="AB3172" t="s">
        <v>51</v>
      </c>
      <c r="AC3172" t="s">
        <v>51</v>
      </c>
      <c r="AD3172" t="s">
        <v>51</v>
      </c>
      <c r="AE3172" t="s">
        <v>51</v>
      </c>
      <c r="AF3172" t="s">
        <v>2351</v>
      </c>
    </row>
    <row r="3173" spans="1:32" ht="14.5" customHeight="1" x14ac:dyDescent="0.35">
      <c r="A3173" t="s">
        <v>175</v>
      </c>
      <c r="B3173" t="s">
        <v>2152</v>
      </c>
      <c r="C3173" t="s">
        <v>47</v>
      </c>
      <c r="D3173">
        <v>3100726</v>
      </c>
      <c r="E3173">
        <v>3100577</v>
      </c>
      <c r="F3173" t="s">
        <v>2153</v>
      </c>
      <c r="G3173" t="s">
        <v>2153</v>
      </c>
      <c r="H3173" t="s">
        <v>54</v>
      </c>
      <c r="I3173">
        <v>6959623</v>
      </c>
      <c r="J3173" s="12">
        <v>46127</v>
      </c>
      <c r="K3173" s="12">
        <v>46127</v>
      </c>
      <c r="L3173" s="12">
        <v>46127</v>
      </c>
      <c r="M3173">
        <v>5</v>
      </c>
      <c r="N3173">
        <v>-199971</v>
      </c>
      <c r="O3173">
        <v>-199971</v>
      </c>
      <c r="P3173">
        <v>0</v>
      </c>
      <c r="Q3173">
        <v>-199971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 t="s">
        <v>47</v>
      </c>
      <c r="AA3173" t="s">
        <v>55</v>
      </c>
      <c r="AB3173" t="s">
        <v>51</v>
      </c>
      <c r="AC3173" t="s">
        <v>51</v>
      </c>
      <c r="AD3173" t="s">
        <v>51</v>
      </c>
      <c r="AE3173" t="s">
        <v>51</v>
      </c>
      <c r="AF3173" t="s">
        <v>2346</v>
      </c>
    </row>
    <row r="3174" spans="1:32" ht="14.5" customHeight="1" x14ac:dyDescent="0.35">
      <c r="A3174" t="s">
        <v>175</v>
      </c>
      <c r="B3174" t="s">
        <v>2152</v>
      </c>
      <c r="C3174" t="s">
        <v>47</v>
      </c>
      <c r="D3174">
        <v>3100726</v>
      </c>
      <c r="E3174">
        <v>3100577</v>
      </c>
      <c r="F3174" t="s">
        <v>2153</v>
      </c>
      <c r="G3174" t="s">
        <v>2153</v>
      </c>
      <c r="H3174" t="s">
        <v>54</v>
      </c>
      <c r="I3174">
        <v>6959655</v>
      </c>
      <c r="J3174" s="12">
        <v>46127</v>
      </c>
      <c r="K3174" s="12">
        <v>46127</v>
      </c>
      <c r="L3174" s="12">
        <v>46127</v>
      </c>
      <c r="M3174">
        <v>5</v>
      </c>
      <c r="N3174">
        <v>-193405</v>
      </c>
      <c r="O3174">
        <v>-193405</v>
      </c>
      <c r="P3174">
        <v>0</v>
      </c>
      <c r="Q3174">
        <v>-193405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 t="s">
        <v>47</v>
      </c>
      <c r="AA3174" t="s">
        <v>55</v>
      </c>
      <c r="AB3174" t="s">
        <v>51</v>
      </c>
      <c r="AC3174" t="s">
        <v>51</v>
      </c>
      <c r="AD3174" t="s">
        <v>51</v>
      </c>
      <c r="AE3174" t="s">
        <v>51</v>
      </c>
      <c r="AF3174" t="s">
        <v>2354</v>
      </c>
    </row>
    <row r="3175" spans="1:32" ht="14.5" customHeight="1" x14ac:dyDescent="0.35">
      <c r="A3175" t="s">
        <v>175</v>
      </c>
      <c r="B3175" t="s">
        <v>2152</v>
      </c>
      <c r="C3175" t="s">
        <v>47</v>
      </c>
      <c r="D3175">
        <v>3100726</v>
      </c>
      <c r="E3175">
        <v>3100577</v>
      </c>
      <c r="F3175" t="s">
        <v>2153</v>
      </c>
      <c r="G3175" t="s">
        <v>2153</v>
      </c>
      <c r="H3175" t="s">
        <v>54</v>
      </c>
      <c r="I3175">
        <v>6959666</v>
      </c>
      <c r="J3175" s="12">
        <v>46127</v>
      </c>
      <c r="K3175" s="12">
        <v>46127</v>
      </c>
      <c r="L3175" s="12">
        <v>46127</v>
      </c>
      <c r="M3175">
        <v>5</v>
      </c>
      <c r="N3175">
        <v>-427468</v>
      </c>
      <c r="O3175">
        <v>-427468</v>
      </c>
      <c r="P3175">
        <v>0</v>
      </c>
      <c r="Q3175">
        <v>-427468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 t="s">
        <v>47</v>
      </c>
      <c r="AA3175" t="s">
        <v>55</v>
      </c>
      <c r="AB3175" t="s">
        <v>51</v>
      </c>
      <c r="AC3175" t="s">
        <v>51</v>
      </c>
      <c r="AD3175" t="s">
        <v>51</v>
      </c>
      <c r="AE3175" t="s">
        <v>51</v>
      </c>
      <c r="AF3175" t="s">
        <v>2349</v>
      </c>
    </row>
    <row r="3176" spans="1:32" ht="14.5" customHeight="1" x14ac:dyDescent="0.35">
      <c r="A3176" t="s">
        <v>175</v>
      </c>
      <c r="B3176" t="s">
        <v>2152</v>
      </c>
      <c r="C3176" t="s">
        <v>47</v>
      </c>
      <c r="D3176">
        <v>3100726</v>
      </c>
      <c r="E3176">
        <v>3100577</v>
      </c>
      <c r="F3176" t="s">
        <v>2153</v>
      </c>
      <c r="G3176" t="s">
        <v>2153</v>
      </c>
      <c r="H3176" t="s">
        <v>54</v>
      </c>
      <c r="I3176">
        <v>6959889</v>
      </c>
      <c r="J3176" s="12">
        <v>46129</v>
      </c>
      <c r="K3176" s="12">
        <v>46129</v>
      </c>
      <c r="L3176" s="12">
        <v>46129</v>
      </c>
      <c r="M3176">
        <v>3</v>
      </c>
      <c r="N3176">
        <v>-8921458</v>
      </c>
      <c r="O3176">
        <v>-8921458</v>
      </c>
      <c r="P3176">
        <v>0</v>
      </c>
      <c r="Q3176">
        <v>-8921458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 t="s">
        <v>47</v>
      </c>
      <c r="AA3176" t="s">
        <v>55</v>
      </c>
      <c r="AB3176" t="s">
        <v>51</v>
      </c>
      <c r="AC3176" t="s">
        <v>51</v>
      </c>
      <c r="AD3176" t="s">
        <v>51</v>
      </c>
      <c r="AE3176" t="s">
        <v>51</v>
      </c>
      <c r="AF3176" t="s">
        <v>2168</v>
      </c>
    </row>
    <row r="3177" spans="1:32" ht="14.5" customHeight="1" x14ac:dyDescent="0.35">
      <c r="A3177" t="s">
        <v>175</v>
      </c>
      <c r="B3177" t="s">
        <v>2152</v>
      </c>
      <c r="C3177" t="s">
        <v>47</v>
      </c>
      <c r="D3177">
        <v>3100726</v>
      </c>
      <c r="E3177">
        <v>3100577</v>
      </c>
      <c r="F3177" t="s">
        <v>2153</v>
      </c>
      <c r="G3177" t="s">
        <v>2153</v>
      </c>
      <c r="H3177" t="s">
        <v>54</v>
      </c>
      <c r="I3177">
        <v>6960055</v>
      </c>
      <c r="J3177" s="12">
        <v>46130</v>
      </c>
      <c r="K3177" s="12">
        <v>46130</v>
      </c>
      <c r="L3177" s="12">
        <v>46130</v>
      </c>
      <c r="M3177">
        <v>2</v>
      </c>
      <c r="N3177">
        <v>-194066726</v>
      </c>
      <c r="O3177">
        <v>-194066726</v>
      </c>
      <c r="P3177">
        <v>0</v>
      </c>
      <c r="Q3177">
        <v>-194066726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 t="s">
        <v>47</v>
      </c>
      <c r="AA3177" t="s">
        <v>55</v>
      </c>
      <c r="AB3177" t="s">
        <v>51</v>
      </c>
      <c r="AC3177" t="s">
        <v>51</v>
      </c>
      <c r="AD3177" t="s">
        <v>51</v>
      </c>
      <c r="AE3177" t="s">
        <v>51</v>
      </c>
      <c r="AF3177" t="s">
        <v>144</v>
      </c>
    </row>
    <row r="3178" spans="1:32" ht="14.5" customHeight="1" x14ac:dyDescent="0.35">
      <c r="A3178" t="s">
        <v>175</v>
      </c>
      <c r="B3178" t="s">
        <v>2152</v>
      </c>
      <c r="C3178" t="s">
        <v>47</v>
      </c>
      <c r="D3178">
        <v>3100726</v>
      </c>
      <c r="E3178">
        <v>3100577</v>
      </c>
      <c r="F3178" t="s">
        <v>2153</v>
      </c>
      <c r="G3178" t="s">
        <v>2153</v>
      </c>
      <c r="H3178" t="s">
        <v>54</v>
      </c>
      <c r="I3178">
        <v>6960191</v>
      </c>
      <c r="J3178" s="12">
        <v>46130</v>
      </c>
      <c r="K3178" s="12">
        <v>46130</v>
      </c>
      <c r="L3178" s="12">
        <v>46130</v>
      </c>
      <c r="M3178">
        <v>2</v>
      </c>
      <c r="N3178">
        <v>-3211889</v>
      </c>
      <c r="O3178">
        <v>-3211889</v>
      </c>
      <c r="P3178">
        <v>0</v>
      </c>
      <c r="Q3178">
        <v>-3211889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 t="s">
        <v>47</v>
      </c>
      <c r="AA3178" t="s">
        <v>55</v>
      </c>
      <c r="AB3178" t="s">
        <v>51</v>
      </c>
      <c r="AC3178" t="s">
        <v>51</v>
      </c>
      <c r="AD3178" t="s">
        <v>51</v>
      </c>
      <c r="AE3178" t="s">
        <v>51</v>
      </c>
      <c r="AF3178" t="s">
        <v>2352</v>
      </c>
    </row>
    <row r="3179" spans="1:32" ht="14.5" customHeight="1" x14ac:dyDescent="0.35">
      <c r="A3179" t="s">
        <v>175</v>
      </c>
      <c r="B3179" t="s">
        <v>2152</v>
      </c>
      <c r="C3179" t="s">
        <v>47</v>
      </c>
      <c r="D3179">
        <v>3100726</v>
      </c>
      <c r="E3179">
        <v>3100577</v>
      </c>
      <c r="F3179" t="s">
        <v>2153</v>
      </c>
      <c r="G3179" t="s">
        <v>2153</v>
      </c>
      <c r="H3179" t="s">
        <v>54</v>
      </c>
      <c r="I3179">
        <v>6960230</v>
      </c>
      <c r="J3179" s="12">
        <v>46130</v>
      </c>
      <c r="K3179" s="12">
        <v>46130</v>
      </c>
      <c r="L3179" s="12">
        <v>46130</v>
      </c>
      <c r="M3179">
        <v>2</v>
      </c>
      <c r="N3179">
        <v>-470651</v>
      </c>
      <c r="O3179">
        <v>-470651</v>
      </c>
      <c r="P3179">
        <v>0</v>
      </c>
      <c r="Q3179">
        <v>-470651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 t="s">
        <v>47</v>
      </c>
      <c r="AA3179" t="s">
        <v>55</v>
      </c>
      <c r="AB3179" t="s">
        <v>51</v>
      </c>
      <c r="AC3179" t="s">
        <v>51</v>
      </c>
      <c r="AD3179" t="s">
        <v>51</v>
      </c>
      <c r="AE3179" t="s">
        <v>51</v>
      </c>
      <c r="AF3179" t="s">
        <v>2349</v>
      </c>
    </row>
    <row r="3180" spans="1:32" ht="14.5" customHeight="1" x14ac:dyDescent="0.35">
      <c r="A3180" t="s">
        <v>175</v>
      </c>
      <c r="B3180" t="s">
        <v>2152</v>
      </c>
      <c r="C3180" t="s">
        <v>47</v>
      </c>
      <c r="D3180">
        <v>3100726</v>
      </c>
      <c r="E3180">
        <v>3100577</v>
      </c>
      <c r="F3180" t="s">
        <v>2153</v>
      </c>
      <c r="G3180" t="s">
        <v>2153</v>
      </c>
      <c r="H3180" t="s">
        <v>54</v>
      </c>
      <c r="I3180">
        <v>6960233</v>
      </c>
      <c r="J3180" s="12">
        <v>46130</v>
      </c>
      <c r="K3180" s="12">
        <v>46130</v>
      </c>
      <c r="L3180" s="12">
        <v>46130</v>
      </c>
      <c r="M3180">
        <v>2</v>
      </c>
      <c r="N3180">
        <v>-175836</v>
      </c>
      <c r="O3180">
        <v>-175836</v>
      </c>
      <c r="P3180">
        <v>0</v>
      </c>
      <c r="Q3180">
        <v>-175836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 t="s">
        <v>47</v>
      </c>
      <c r="AA3180" t="s">
        <v>55</v>
      </c>
      <c r="AB3180" t="s">
        <v>51</v>
      </c>
      <c r="AC3180" t="s">
        <v>51</v>
      </c>
      <c r="AD3180" t="s">
        <v>51</v>
      </c>
      <c r="AE3180" t="s">
        <v>51</v>
      </c>
      <c r="AF3180" t="s">
        <v>2370</v>
      </c>
    </row>
    <row r="3181" spans="1:32" ht="14.5" customHeight="1" x14ac:dyDescent="0.35">
      <c r="A3181" t="s">
        <v>175</v>
      </c>
      <c r="B3181" t="s">
        <v>2152</v>
      </c>
      <c r="C3181" t="s">
        <v>47</v>
      </c>
      <c r="D3181">
        <v>3100726</v>
      </c>
      <c r="E3181">
        <v>3100577</v>
      </c>
      <c r="F3181" t="s">
        <v>2153</v>
      </c>
      <c r="G3181" t="s">
        <v>2153</v>
      </c>
      <c r="H3181" t="s">
        <v>54</v>
      </c>
      <c r="I3181">
        <v>6960234</v>
      </c>
      <c r="J3181" s="12">
        <v>46130</v>
      </c>
      <c r="K3181" s="12">
        <v>46130</v>
      </c>
      <c r="L3181" s="12">
        <v>46130</v>
      </c>
      <c r="M3181">
        <v>2</v>
      </c>
      <c r="N3181">
        <v>-2295000</v>
      </c>
      <c r="O3181">
        <v>-2295000</v>
      </c>
      <c r="P3181">
        <v>0</v>
      </c>
      <c r="Q3181">
        <v>-2295000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 t="s">
        <v>47</v>
      </c>
      <c r="AA3181" t="s">
        <v>55</v>
      </c>
      <c r="AB3181" t="s">
        <v>51</v>
      </c>
      <c r="AC3181" t="s">
        <v>51</v>
      </c>
      <c r="AD3181" t="s">
        <v>51</v>
      </c>
      <c r="AE3181" t="s">
        <v>51</v>
      </c>
      <c r="AF3181" t="s">
        <v>2371</v>
      </c>
    </row>
    <row r="3182" spans="1:32" ht="14.5" customHeight="1" x14ac:dyDescent="0.35">
      <c r="A3182" t="s">
        <v>175</v>
      </c>
      <c r="B3182" t="s">
        <v>2152</v>
      </c>
      <c r="C3182" t="s">
        <v>47</v>
      </c>
      <c r="D3182">
        <v>3100726</v>
      </c>
      <c r="E3182">
        <v>3100577</v>
      </c>
      <c r="F3182" t="s">
        <v>2153</v>
      </c>
      <c r="G3182" t="s">
        <v>2153</v>
      </c>
      <c r="H3182" t="s">
        <v>54</v>
      </c>
      <c r="I3182">
        <v>9905219</v>
      </c>
      <c r="J3182" s="12">
        <v>46071</v>
      </c>
      <c r="K3182" s="12">
        <v>46071</v>
      </c>
      <c r="L3182" s="12">
        <v>46130</v>
      </c>
      <c r="M3182">
        <v>2</v>
      </c>
      <c r="N3182">
        <v>332796699</v>
      </c>
      <c r="O3182">
        <v>0</v>
      </c>
      <c r="P3182">
        <v>0</v>
      </c>
      <c r="Q3182">
        <v>332796699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 t="s">
        <v>47</v>
      </c>
      <c r="AA3182" t="s">
        <v>55</v>
      </c>
      <c r="AB3182" t="s">
        <v>51</v>
      </c>
      <c r="AC3182" t="s">
        <v>51</v>
      </c>
      <c r="AD3182" t="s">
        <v>51</v>
      </c>
      <c r="AE3182" t="s">
        <v>51</v>
      </c>
      <c r="AF3182" t="s">
        <v>189</v>
      </c>
    </row>
    <row r="3183" spans="1:32" ht="14.5" customHeight="1" x14ac:dyDescent="0.35">
      <c r="A3183" t="s">
        <v>175</v>
      </c>
      <c r="B3183" t="s">
        <v>2152</v>
      </c>
      <c r="C3183" t="s">
        <v>47</v>
      </c>
      <c r="D3183">
        <v>3100726</v>
      </c>
      <c r="E3183">
        <v>3100577</v>
      </c>
      <c r="F3183" t="s">
        <v>2153</v>
      </c>
      <c r="G3183" t="s">
        <v>2153</v>
      </c>
      <c r="H3183" t="s">
        <v>54</v>
      </c>
      <c r="I3183">
        <v>9910354</v>
      </c>
      <c r="J3183" s="12">
        <v>46081</v>
      </c>
      <c r="K3183" s="12">
        <v>46081</v>
      </c>
      <c r="L3183" s="12">
        <v>46140</v>
      </c>
      <c r="M3183">
        <v>-8</v>
      </c>
      <c r="N3183">
        <v>339490945</v>
      </c>
      <c r="O3183">
        <v>0</v>
      </c>
      <c r="P3183">
        <v>339490945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 t="s">
        <v>47</v>
      </c>
      <c r="AA3183" t="s">
        <v>55</v>
      </c>
      <c r="AB3183" t="s">
        <v>51</v>
      </c>
      <c r="AC3183" t="s">
        <v>51</v>
      </c>
      <c r="AD3183" t="s">
        <v>2372</v>
      </c>
      <c r="AE3183" t="s">
        <v>51</v>
      </c>
      <c r="AF3183" t="s">
        <v>660</v>
      </c>
    </row>
    <row r="3184" spans="1:32" ht="14.5" customHeight="1" x14ac:dyDescent="0.35">
      <c r="A3184" t="s">
        <v>175</v>
      </c>
      <c r="B3184" t="s">
        <v>2152</v>
      </c>
      <c r="C3184" t="s">
        <v>47</v>
      </c>
      <c r="D3184">
        <v>3100726</v>
      </c>
      <c r="E3184">
        <v>3100577</v>
      </c>
      <c r="F3184" t="s">
        <v>2153</v>
      </c>
      <c r="G3184" t="s">
        <v>2153</v>
      </c>
      <c r="H3184" t="s">
        <v>54</v>
      </c>
      <c r="I3184">
        <v>9910355</v>
      </c>
      <c r="J3184" s="12">
        <v>46081</v>
      </c>
      <c r="K3184" s="12">
        <v>46081</v>
      </c>
      <c r="L3184" s="12">
        <v>46140</v>
      </c>
      <c r="M3184">
        <v>-8</v>
      </c>
      <c r="N3184">
        <v>326517833</v>
      </c>
      <c r="O3184">
        <v>0</v>
      </c>
      <c r="P3184">
        <v>326517833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 t="s">
        <v>47</v>
      </c>
      <c r="AA3184" t="s">
        <v>55</v>
      </c>
      <c r="AB3184" t="s">
        <v>51</v>
      </c>
      <c r="AC3184" t="s">
        <v>51</v>
      </c>
      <c r="AD3184" t="s">
        <v>2373</v>
      </c>
      <c r="AE3184" t="s">
        <v>51</v>
      </c>
      <c r="AF3184" t="s">
        <v>250</v>
      </c>
    </row>
    <row r="3185" spans="1:32" ht="14.5" customHeight="1" x14ac:dyDescent="0.35">
      <c r="A3185" t="s">
        <v>175</v>
      </c>
      <c r="B3185" t="s">
        <v>2152</v>
      </c>
      <c r="C3185" t="s">
        <v>47</v>
      </c>
      <c r="D3185">
        <v>3100726</v>
      </c>
      <c r="E3185">
        <v>3100577</v>
      </c>
      <c r="F3185" t="s">
        <v>2153</v>
      </c>
      <c r="G3185" t="s">
        <v>2153</v>
      </c>
      <c r="H3185" t="s">
        <v>54</v>
      </c>
      <c r="I3185">
        <v>9910434</v>
      </c>
      <c r="J3185" s="12">
        <v>46081</v>
      </c>
      <c r="K3185" s="12">
        <v>46081</v>
      </c>
      <c r="L3185" s="12">
        <v>46140</v>
      </c>
      <c r="M3185">
        <v>-8</v>
      </c>
      <c r="N3185">
        <v>319853893</v>
      </c>
      <c r="O3185">
        <v>0</v>
      </c>
      <c r="P3185">
        <v>319853893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 t="s">
        <v>47</v>
      </c>
      <c r="AA3185" t="s">
        <v>55</v>
      </c>
      <c r="AB3185" t="s">
        <v>51</v>
      </c>
      <c r="AC3185" t="s">
        <v>51</v>
      </c>
      <c r="AD3185" t="s">
        <v>2374</v>
      </c>
      <c r="AE3185" t="s">
        <v>51</v>
      </c>
      <c r="AF3185" t="s">
        <v>660</v>
      </c>
    </row>
    <row r="3186" spans="1:32" ht="14.5" customHeight="1" x14ac:dyDescent="0.35">
      <c r="A3186" t="s">
        <v>175</v>
      </c>
      <c r="B3186" t="s">
        <v>2152</v>
      </c>
      <c r="C3186" t="s">
        <v>47</v>
      </c>
      <c r="D3186">
        <v>3100726</v>
      </c>
      <c r="E3186">
        <v>3100577</v>
      </c>
      <c r="F3186" t="s">
        <v>2153</v>
      </c>
      <c r="G3186" t="s">
        <v>2153</v>
      </c>
      <c r="H3186" t="s">
        <v>54</v>
      </c>
      <c r="I3186">
        <v>9910436</v>
      </c>
      <c r="J3186" s="12">
        <v>46081</v>
      </c>
      <c r="K3186" s="12">
        <v>46081</v>
      </c>
      <c r="L3186" s="12">
        <v>46140</v>
      </c>
      <c r="M3186">
        <v>-8</v>
      </c>
      <c r="N3186">
        <v>298294808</v>
      </c>
      <c r="O3186">
        <v>0</v>
      </c>
      <c r="P3186">
        <v>298294808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 t="s">
        <v>47</v>
      </c>
      <c r="AA3186" t="s">
        <v>55</v>
      </c>
      <c r="AB3186" t="s">
        <v>51</v>
      </c>
      <c r="AC3186" t="s">
        <v>51</v>
      </c>
      <c r="AD3186" t="s">
        <v>2375</v>
      </c>
      <c r="AE3186" t="s">
        <v>51</v>
      </c>
      <c r="AF3186" t="s">
        <v>2376</v>
      </c>
    </row>
    <row r="3187" spans="1:32" ht="14.5" customHeight="1" x14ac:dyDescent="0.35">
      <c r="A3187" t="s">
        <v>175</v>
      </c>
      <c r="B3187" t="s">
        <v>2152</v>
      </c>
      <c r="C3187" t="s">
        <v>47</v>
      </c>
      <c r="D3187">
        <v>3100726</v>
      </c>
      <c r="E3187">
        <v>3100577</v>
      </c>
      <c r="F3187" t="s">
        <v>2153</v>
      </c>
      <c r="G3187" t="s">
        <v>2153</v>
      </c>
      <c r="H3187" t="s">
        <v>54</v>
      </c>
      <c r="I3187">
        <v>9910537</v>
      </c>
      <c r="J3187" s="12">
        <v>46081</v>
      </c>
      <c r="K3187" s="12">
        <v>46081</v>
      </c>
      <c r="L3187" s="12">
        <v>46140</v>
      </c>
      <c r="M3187">
        <v>-8</v>
      </c>
      <c r="N3187">
        <v>296516647</v>
      </c>
      <c r="O3187">
        <v>0</v>
      </c>
      <c r="P3187">
        <v>296516647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 t="s">
        <v>47</v>
      </c>
      <c r="AA3187" t="s">
        <v>55</v>
      </c>
      <c r="AB3187" t="s">
        <v>51</v>
      </c>
      <c r="AC3187" t="s">
        <v>51</v>
      </c>
      <c r="AD3187" t="s">
        <v>2377</v>
      </c>
      <c r="AE3187" t="s">
        <v>51</v>
      </c>
      <c r="AF3187" t="s">
        <v>1047</v>
      </c>
    </row>
    <row r="3188" spans="1:32" ht="14.5" customHeight="1" x14ac:dyDescent="0.35">
      <c r="A3188" t="s">
        <v>175</v>
      </c>
      <c r="B3188" t="s">
        <v>2152</v>
      </c>
      <c r="C3188" t="s">
        <v>47</v>
      </c>
      <c r="D3188">
        <v>3100726</v>
      </c>
      <c r="E3188">
        <v>3100577</v>
      </c>
      <c r="F3188" t="s">
        <v>2153</v>
      </c>
      <c r="G3188" t="s">
        <v>2153</v>
      </c>
      <c r="H3188" t="s">
        <v>54</v>
      </c>
      <c r="I3188">
        <v>9910633</v>
      </c>
      <c r="J3188" s="12">
        <v>46081</v>
      </c>
      <c r="K3188" s="12">
        <v>46081</v>
      </c>
      <c r="L3188" s="12">
        <v>46140</v>
      </c>
      <c r="M3188">
        <v>-8</v>
      </c>
      <c r="N3188">
        <v>191505179</v>
      </c>
      <c r="O3188">
        <v>0</v>
      </c>
      <c r="P3188">
        <v>191505179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 t="s">
        <v>47</v>
      </c>
      <c r="AA3188" t="s">
        <v>55</v>
      </c>
      <c r="AB3188" t="s">
        <v>51</v>
      </c>
      <c r="AC3188" t="s">
        <v>51</v>
      </c>
      <c r="AD3188" t="s">
        <v>2378</v>
      </c>
      <c r="AE3188" t="s">
        <v>51</v>
      </c>
      <c r="AF3188" t="s">
        <v>1047</v>
      </c>
    </row>
    <row r="3189" spans="1:32" ht="14.5" customHeight="1" x14ac:dyDescent="0.35">
      <c r="A3189" t="s">
        <v>175</v>
      </c>
      <c r="B3189" t="s">
        <v>2152</v>
      </c>
      <c r="C3189" t="s">
        <v>47</v>
      </c>
      <c r="D3189">
        <v>3100726</v>
      </c>
      <c r="E3189">
        <v>3100577</v>
      </c>
      <c r="F3189" t="s">
        <v>2153</v>
      </c>
      <c r="G3189" t="s">
        <v>2153</v>
      </c>
      <c r="H3189" t="s">
        <v>54</v>
      </c>
      <c r="I3189">
        <v>9912486</v>
      </c>
      <c r="J3189" s="12">
        <v>46089</v>
      </c>
      <c r="K3189" s="12">
        <v>46089</v>
      </c>
      <c r="L3189" s="12">
        <v>46148</v>
      </c>
      <c r="M3189">
        <v>-16</v>
      </c>
      <c r="N3189">
        <v>531553227</v>
      </c>
      <c r="O3189">
        <v>0</v>
      </c>
      <c r="P3189">
        <v>531553227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 t="s">
        <v>47</v>
      </c>
      <c r="AA3189" t="s">
        <v>55</v>
      </c>
      <c r="AB3189" t="s">
        <v>51</v>
      </c>
      <c r="AC3189" t="s">
        <v>51</v>
      </c>
      <c r="AD3189" t="s">
        <v>51</v>
      </c>
      <c r="AE3189" t="s">
        <v>2379</v>
      </c>
      <c r="AF3189" t="s">
        <v>62</v>
      </c>
    </row>
    <row r="3190" spans="1:32" ht="14.5" customHeight="1" x14ac:dyDescent="0.35">
      <c r="A3190" t="s">
        <v>175</v>
      </c>
      <c r="B3190" t="s">
        <v>2152</v>
      </c>
      <c r="C3190" t="s">
        <v>47</v>
      </c>
      <c r="D3190">
        <v>3100726</v>
      </c>
      <c r="E3190">
        <v>3100577</v>
      </c>
      <c r="F3190" t="s">
        <v>2153</v>
      </c>
      <c r="G3190" t="s">
        <v>2153</v>
      </c>
      <c r="H3190" t="s">
        <v>54</v>
      </c>
      <c r="I3190">
        <v>9914908</v>
      </c>
      <c r="J3190" s="12">
        <v>46094</v>
      </c>
      <c r="K3190" s="12">
        <v>46094</v>
      </c>
      <c r="L3190" s="12">
        <v>46153</v>
      </c>
      <c r="M3190">
        <v>-21</v>
      </c>
      <c r="N3190">
        <v>615208552</v>
      </c>
      <c r="O3190">
        <v>0</v>
      </c>
      <c r="P3190">
        <v>615208552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 t="s">
        <v>47</v>
      </c>
      <c r="AA3190" t="s">
        <v>55</v>
      </c>
      <c r="AB3190" t="s">
        <v>51</v>
      </c>
      <c r="AC3190" t="s">
        <v>51</v>
      </c>
      <c r="AD3190" t="s">
        <v>51</v>
      </c>
      <c r="AE3190" t="s">
        <v>2380</v>
      </c>
      <c r="AF3190" t="s">
        <v>876</v>
      </c>
    </row>
    <row r="3191" spans="1:32" ht="14.5" customHeight="1" x14ac:dyDescent="0.35">
      <c r="A3191" t="s">
        <v>175</v>
      </c>
      <c r="B3191" t="s">
        <v>2152</v>
      </c>
      <c r="C3191" t="s">
        <v>47</v>
      </c>
      <c r="D3191">
        <v>3100726</v>
      </c>
      <c r="E3191">
        <v>3100577</v>
      </c>
      <c r="F3191" t="s">
        <v>2153</v>
      </c>
      <c r="G3191" t="s">
        <v>2153</v>
      </c>
      <c r="H3191" t="s">
        <v>54</v>
      </c>
      <c r="I3191">
        <v>9914909</v>
      </c>
      <c r="J3191" s="12">
        <v>46094</v>
      </c>
      <c r="K3191" s="12">
        <v>46094</v>
      </c>
      <c r="L3191" s="12">
        <v>46153</v>
      </c>
      <c r="M3191">
        <v>-21</v>
      </c>
      <c r="N3191">
        <v>735171</v>
      </c>
      <c r="O3191">
        <v>0</v>
      </c>
      <c r="P3191">
        <v>735171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 t="s">
        <v>47</v>
      </c>
      <c r="AA3191" t="s">
        <v>55</v>
      </c>
      <c r="AB3191" t="s">
        <v>51</v>
      </c>
      <c r="AC3191" t="s">
        <v>51</v>
      </c>
      <c r="AD3191" t="s">
        <v>51</v>
      </c>
      <c r="AE3191" t="s">
        <v>2381</v>
      </c>
      <c r="AF3191" t="s">
        <v>332</v>
      </c>
    </row>
    <row r="3192" spans="1:32" ht="14.5" customHeight="1" x14ac:dyDescent="0.35">
      <c r="A3192" t="s">
        <v>175</v>
      </c>
      <c r="B3192" t="s">
        <v>2152</v>
      </c>
      <c r="C3192" t="s">
        <v>47</v>
      </c>
      <c r="D3192">
        <v>3100726</v>
      </c>
      <c r="E3192">
        <v>3100577</v>
      </c>
      <c r="F3192" t="s">
        <v>2153</v>
      </c>
      <c r="G3192" t="s">
        <v>2153</v>
      </c>
      <c r="H3192" t="s">
        <v>140</v>
      </c>
      <c r="I3192">
        <v>9917208</v>
      </c>
      <c r="J3192" s="12">
        <v>46103</v>
      </c>
      <c r="K3192" s="12">
        <v>46103</v>
      </c>
      <c r="L3192" s="12">
        <v>46148</v>
      </c>
      <c r="M3192">
        <v>-16</v>
      </c>
      <c r="N3192">
        <v>304891</v>
      </c>
      <c r="O3192">
        <v>0</v>
      </c>
      <c r="P3192">
        <v>304891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 t="s">
        <v>47</v>
      </c>
      <c r="AA3192" t="s">
        <v>55</v>
      </c>
      <c r="AB3192" t="s">
        <v>51</v>
      </c>
      <c r="AC3192" t="s">
        <v>51</v>
      </c>
      <c r="AD3192" t="s">
        <v>51</v>
      </c>
      <c r="AE3192" t="s">
        <v>2382</v>
      </c>
      <c r="AF3192" t="s">
        <v>809</v>
      </c>
    </row>
    <row r="3193" spans="1:32" ht="14.5" customHeight="1" x14ac:dyDescent="0.35">
      <c r="A3193" t="s">
        <v>175</v>
      </c>
      <c r="B3193" t="s">
        <v>2152</v>
      </c>
      <c r="C3193" t="s">
        <v>47</v>
      </c>
      <c r="D3193">
        <v>3100726</v>
      </c>
      <c r="E3193">
        <v>3100577</v>
      </c>
      <c r="F3193" t="s">
        <v>2153</v>
      </c>
      <c r="G3193" t="s">
        <v>2153</v>
      </c>
      <c r="H3193" t="s">
        <v>54</v>
      </c>
      <c r="I3193">
        <v>9920047</v>
      </c>
      <c r="J3193" s="12">
        <v>46111</v>
      </c>
      <c r="K3193" s="12">
        <v>46111</v>
      </c>
      <c r="L3193" s="12">
        <v>46170</v>
      </c>
      <c r="M3193">
        <v>-38</v>
      </c>
      <c r="N3193">
        <v>978081</v>
      </c>
      <c r="O3193">
        <v>0</v>
      </c>
      <c r="P3193">
        <v>978081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 t="s">
        <v>47</v>
      </c>
      <c r="AA3193" t="s">
        <v>55</v>
      </c>
      <c r="AB3193" t="s">
        <v>51</v>
      </c>
      <c r="AC3193" t="s">
        <v>51</v>
      </c>
      <c r="AD3193" t="s">
        <v>51</v>
      </c>
      <c r="AE3193" t="s">
        <v>2383</v>
      </c>
      <c r="AF3193" t="s">
        <v>1568</v>
      </c>
    </row>
    <row r="3194" spans="1:32" ht="14.5" customHeight="1" x14ac:dyDescent="0.35">
      <c r="A3194" t="s">
        <v>175</v>
      </c>
      <c r="B3194" t="s">
        <v>2152</v>
      </c>
      <c r="C3194" t="s">
        <v>47</v>
      </c>
      <c r="D3194">
        <v>3100726</v>
      </c>
      <c r="E3194">
        <v>3100577</v>
      </c>
      <c r="F3194" t="s">
        <v>2153</v>
      </c>
      <c r="G3194" t="s">
        <v>2153</v>
      </c>
      <c r="H3194" t="s">
        <v>54</v>
      </c>
      <c r="I3194">
        <v>9920156</v>
      </c>
      <c r="J3194" s="12">
        <v>46111</v>
      </c>
      <c r="K3194" s="12">
        <v>46111</v>
      </c>
      <c r="L3194" s="12">
        <v>46170</v>
      </c>
      <c r="M3194">
        <v>-38</v>
      </c>
      <c r="N3194">
        <v>101636049</v>
      </c>
      <c r="O3194">
        <v>0</v>
      </c>
      <c r="P3194">
        <v>101636049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 t="s">
        <v>47</v>
      </c>
      <c r="AA3194" t="s">
        <v>55</v>
      </c>
      <c r="AB3194" t="s">
        <v>51</v>
      </c>
      <c r="AC3194" t="s">
        <v>51</v>
      </c>
      <c r="AD3194" t="s">
        <v>51</v>
      </c>
      <c r="AE3194" t="s">
        <v>2384</v>
      </c>
      <c r="AF3194" t="s">
        <v>2385</v>
      </c>
    </row>
    <row r="3195" spans="1:32" ht="14.5" customHeight="1" x14ac:dyDescent="0.35">
      <c r="A3195" t="s">
        <v>175</v>
      </c>
      <c r="B3195" t="s">
        <v>2152</v>
      </c>
      <c r="C3195" t="s">
        <v>47</v>
      </c>
      <c r="D3195">
        <v>3100726</v>
      </c>
      <c r="E3195">
        <v>3100577</v>
      </c>
      <c r="F3195" t="s">
        <v>2153</v>
      </c>
      <c r="G3195" t="s">
        <v>2153</v>
      </c>
      <c r="H3195" t="s">
        <v>54</v>
      </c>
      <c r="I3195">
        <v>9920296</v>
      </c>
      <c r="J3195" s="12">
        <v>46111</v>
      </c>
      <c r="K3195" s="12">
        <v>46111</v>
      </c>
      <c r="L3195" s="12">
        <v>46170</v>
      </c>
      <c r="M3195">
        <v>-38</v>
      </c>
      <c r="N3195">
        <v>534696577</v>
      </c>
      <c r="O3195">
        <v>0</v>
      </c>
      <c r="P3195">
        <v>534696577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 t="s">
        <v>47</v>
      </c>
      <c r="AA3195" t="s">
        <v>55</v>
      </c>
      <c r="AB3195" t="s">
        <v>51</v>
      </c>
      <c r="AC3195" t="s">
        <v>51</v>
      </c>
      <c r="AD3195" t="s">
        <v>51</v>
      </c>
      <c r="AE3195" t="s">
        <v>2386</v>
      </c>
      <c r="AF3195" t="s">
        <v>62</v>
      </c>
    </row>
    <row r="3196" spans="1:32" ht="14.5" customHeight="1" x14ac:dyDescent="0.35">
      <c r="A3196" t="s">
        <v>175</v>
      </c>
      <c r="B3196" t="s">
        <v>2152</v>
      </c>
      <c r="C3196" t="s">
        <v>47</v>
      </c>
      <c r="D3196">
        <v>3100726</v>
      </c>
      <c r="E3196">
        <v>3100577</v>
      </c>
      <c r="F3196" t="s">
        <v>2153</v>
      </c>
      <c r="G3196" t="s">
        <v>2153</v>
      </c>
      <c r="H3196" t="s">
        <v>54</v>
      </c>
      <c r="I3196">
        <v>9924118</v>
      </c>
      <c r="J3196" s="12">
        <v>46123</v>
      </c>
      <c r="K3196" s="12">
        <v>46123</v>
      </c>
      <c r="L3196" s="12">
        <v>46182</v>
      </c>
      <c r="M3196">
        <v>-50</v>
      </c>
      <c r="N3196">
        <v>490489202</v>
      </c>
      <c r="O3196">
        <v>0</v>
      </c>
      <c r="P3196">
        <v>490489202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 t="s">
        <v>47</v>
      </c>
      <c r="AA3196" t="s">
        <v>55</v>
      </c>
      <c r="AB3196" t="s">
        <v>51</v>
      </c>
      <c r="AC3196" t="s">
        <v>51</v>
      </c>
      <c r="AD3196" t="s">
        <v>51</v>
      </c>
      <c r="AE3196" t="s">
        <v>2387</v>
      </c>
      <c r="AF3196" t="s">
        <v>281</v>
      </c>
    </row>
    <row r="3197" spans="1:32" ht="14.5" customHeight="1" x14ac:dyDescent="0.35">
      <c r="A3197" t="s">
        <v>175</v>
      </c>
      <c r="B3197" t="s">
        <v>2152</v>
      </c>
      <c r="C3197" t="s">
        <v>47</v>
      </c>
      <c r="D3197">
        <v>3100726</v>
      </c>
      <c r="E3197">
        <v>3100577</v>
      </c>
      <c r="F3197" t="s">
        <v>2153</v>
      </c>
      <c r="G3197" t="s">
        <v>2153</v>
      </c>
      <c r="H3197" t="s">
        <v>54</v>
      </c>
      <c r="I3197">
        <v>9924119</v>
      </c>
      <c r="J3197" s="12">
        <v>46123</v>
      </c>
      <c r="K3197" s="12">
        <v>46123</v>
      </c>
      <c r="L3197" s="12">
        <v>46182</v>
      </c>
      <c r="M3197">
        <v>-50</v>
      </c>
      <c r="N3197">
        <v>2197107</v>
      </c>
      <c r="O3197">
        <v>0</v>
      </c>
      <c r="P3197">
        <v>2197107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 t="s">
        <v>47</v>
      </c>
      <c r="AA3197" t="s">
        <v>55</v>
      </c>
      <c r="AB3197" t="s">
        <v>51</v>
      </c>
      <c r="AC3197" t="s">
        <v>51</v>
      </c>
      <c r="AD3197" t="s">
        <v>51</v>
      </c>
      <c r="AE3197" t="s">
        <v>2388</v>
      </c>
      <c r="AF3197" t="s">
        <v>1682</v>
      </c>
    </row>
    <row r="3198" spans="1:32" ht="14.5" customHeight="1" x14ac:dyDescent="0.35">
      <c r="A3198" t="s">
        <v>175</v>
      </c>
      <c r="B3198" t="s">
        <v>2152</v>
      </c>
      <c r="C3198" t="s">
        <v>47</v>
      </c>
      <c r="D3198">
        <v>3100726</v>
      </c>
      <c r="E3198">
        <v>3100577</v>
      </c>
      <c r="F3198" t="s">
        <v>2153</v>
      </c>
      <c r="G3198" t="s">
        <v>2153</v>
      </c>
      <c r="H3198" t="s">
        <v>54</v>
      </c>
      <c r="I3198">
        <v>9924986</v>
      </c>
      <c r="J3198" s="12">
        <v>46125</v>
      </c>
      <c r="K3198" s="12">
        <v>46125</v>
      </c>
      <c r="L3198" s="12">
        <v>46184</v>
      </c>
      <c r="M3198">
        <v>-52</v>
      </c>
      <c r="N3198">
        <v>550396708</v>
      </c>
      <c r="O3198">
        <v>0</v>
      </c>
      <c r="P3198">
        <v>550396708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 t="s">
        <v>47</v>
      </c>
      <c r="AA3198" t="s">
        <v>55</v>
      </c>
      <c r="AB3198" t="s">
        <v>51</v>
      </c>
      <c r="AC3198" t="s">
        <v>51</v>
      </c>
      <c r="AD3198" t="s">
        <v>51</v>
      </c>
      <c r="AE3198" t="s">
        <v>2389</v>
      </c>
      <c r="AF3198" t="s">
        <v>534</v>
      </c>
    </row>
    <row r="3199" spans="1:32" ht="14.5" customHeight="1" x14ac:dyDescent="0.35">
      <c r="A3199" t="s">
        <v>175</v>
      </c>
      <c r="B3199" t="s">
        <v>2152</v>
      </c>
      <c r="C3199" t="s">
        <v>47</v>
      </c>
      <c r="D3199">
        <v>3100726</v>
      </c>
      <c r="E3199">
        <v>3100577</v>
      </c>
      <c r="F3199" t="s">
        <v>2153</v>
      </c>
      <c r="G3199" t="s">
        <v>2153</v>
      </c>
      <c r="H3199" t="s">
        <v>140</v>
      </c>
      <c r="I3199">
        <v>9926934</v>
      </c>
      <c r="J3199" s="12">
        <v>46130</v>
      </c>
      <c r="K3199" s="12">
        <v>46130</v>
      </c>
      <c r="L3199" s="12">
        <v>46175</v>
      </c>
      <c r="M3199">
        <v>-43</v>
      </c>
      <c r="N3199">
        <v>1539970</v>
      </c>
      <c r="O3199">
        <v>0</v>
      </c>
      <c r="P3199">
        <v>1539970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 t="s">
        <v>47</v>
      </c>
      <c r="AA3199" t="s">
        <v>55</v>
      </c>
      <c r="AB3199" t="s">
        <v>51</v>
      </c>
      <c r="AC3199" t="s">
        <v>51</v>
      </c>
      <c r="AD3199" t="s">
        <v>51</v>
      </c>
      <c r="AE3199" t="s">
        <v>2390</v>
      </c>
      <c r="AF3199" t="s">
        <v>312</v>
      </c>
    </row>
    <row r="3200" spans="1:32" ht="14.5" customHeight="1" x14ac:dyDescent="0.35">
      <c r="A3200" t="s">
        <v>498</v>
      </c>
      <c r="B3200" t="s">
        <v>499</v>
      </c>
      <c r="C3200" t="s">
        <v>47</v>
      </c>
      <c r="D3200">
        <v>3100752</v>
      </c>
      <c r="E3200">
        <v>3100752</v>
      </c>
      <c r="F3200" t="s">
        <v>2391</v>
      </c>
      <c r="G3200" t="s">
        <v>2391</v>
      </c>
      <c r="H3200" t="s">
        <v>54</v>
      </c>
      <c r="I3200">
        <v>6960006</v>
      </c>
      <c r="J3200" s="12">
        <v>46130</v>
      </c>
      <c r="K3200" s="12">
        <v>46130</v>
      </c>
      <c r="L3200" s="12">
        <v>46130</v>
      </c>
      <c r="M3200">
        <v>2</v>
      </c>
      <c r="N3200">
        <v>-11860655</v>
      </c>
      <c r="O3200">
        <v>-11860655</v>
      </c>
      <c r="P3200">
        <v>0</v>
      </c>
      <c r="Q3200">
        <v>-11860655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 t="s">
        <v>846</v>
      </c>
      <c r="AA3200" t="s">
        <v>501</v>
      </c>
      <c r="AB3200" t="s">
        <v>51</v>
      </c>
      <c r="AC3200" t="s">
        <v>51</v>
      </c>
      <c r="AD3200" t="s">
        <v>51</v>
      </c>
      <c r="AE3200" t="s">
        <v>51</v>
      </c>
      <c r="AF3200" t="s">
        <v>325</v>
      </c>
    </row>
    <row r="3201" spans="1:32" ht="14.5" customHeight="1" x14ac:dyDescent="0.35">
      <c r="A3201" t="s">
        <v>498</v>
      </c>
      <c r="B3201" t="s">
        <v>499</v>
      </c>
      <c r="C3201" t="s">
        <v>47</v>
      </c>
      <c r="D3201">
        <v>3100752</v>
      </c>
      <c r="E3201">
        <v>3100752</v>
      </c>
      <c r="F3201" t="s">
        <v>2391</v>
      </c>
      <c r="G3201" t="s">
        <v>2391</v>
      </c>
      <c r="H3201" t="s">
        <v>54</v>
      </c>
      <c r="I3201">
        <v>6960007</v>
      </c>
      <c r="J3201" s="12">
        <v>46130</v>
      </c>
      <c r="K3201" s="12">
        <v>46130</v>
      </c>
      <c r="L3201" s="12">
        <v>46130</v>
      </c>
      <c r="M3201">
        <v>2</v>
      </c>
      <c r="N3201">
        <v>-14364530</v>
      </c>
      <c r="O3201">
        <v>-14364530</v>
      </c>
      <c r="P3201">
        <v>0</v>
      </c>
      <c r="Q3201">
        <v>-14364530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 t="s">
        <v>846</v>
      </c>
      <c r="AA3201" t="s">
        <v>501</v>
      </c>
      <c r="AB3201" t="s">
        <v>51</v>
      </c>
      <c r="AC3201" t="s">
        <v>51</v>
      </c>
      <c r="AD3201" t="s">
        <v>51</v>
      </c>
      <c r="AE3201" t="s">
        <v>51</v>
      </c>
      <c r="AF3201" t="s">
        <v>2392</v>
      </c>
    </row>
    <row r="3202" spans="1:32" ht="14.5" customHeight="1" x14ac:dyDescent="0.35">
      <c r="A3202" t="s">
        <v>498</v>
      </c>
      <c r="B3202" t="s">
        <v>499</v>
      </c>
      <c r="C3202" t="s">
        <v>47</v>
      </c>
      <c r="D3202">
        <v>3100752</v>
      </c>
      <c r="E3202">
        <v>3100752</v>
      </c>
      <c r="F3202" t="s">
        <v>2391</v>
      </c>
      <c r="G3202" t="s">
        <v>2391</v>
      </c>
      <c r="H3202" t="s">
        <v>54</v>
      </c>
      <c r="I3202">
        <v>6960008</v>
      </c>
      <c r="J3202" s="12">
        <v>46130</v>
      </c>
      <c r="K3202" s="12">
        <v>46130</v>
      </c>
      <c r="L3202" s="12">
        <v>46130</v>
      </c>
      <c r="M3202">
        <v>2</v>
      </c>
      <c r="N3202">
        <v>-25288050</v>
      </c>
      <c r="O3202">
        <v>-25288050</v>
      </c>
      <c r="P3202">
        <v>0</v>
      </c>
      <c r="Q3202">
        <v>-25288050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 t="s">
        <v>846</v>
      </c>
      <c r="AA3202" t="s">
        <v>501</v>
      </c>
      <c r="AB3202" t="s">
        <v>51</v>
      </c>
      <c r="AC3202" t="s">
        <v>51</v>
      </c>
      <c r="AD3202" t="s">
        <v>51</v>
      </c>
      <c r="AE3202" t="s">
        <v>51</v>
      </c>
      <c r="AF3202" t="s">
        <v>2392</v>
      </c>
    </row>
    <row r="3203" spans="1:32" ht="14.5" customHeight="1" x14ac:dyDescent="0.35">
      <c r="A3203" t="s">
        <v>498</v>
      </c>
      <c r="B3203" t="s">
        <v>499</v>
      </c>
      <c r="C3203" t="s">
        <v>846</v>
      </c>
      <c r="D3203">
        <v>3100752</v>
      </c>
      <c r="E3203">
        <v>3100752</v>
      </c>
      <c r="F3203" t="s">
        <v>2391</v>
      </c>
      <c r="G3203" t="s">
        <v>2391</v>
      </c>
      <c r="H3203" t="s">
        <v>54</v>
      </c>
      <c r="I3203">
        <v>9914571</v>
      </c>
      <c r="J3203" s="12">
        <v>46094</v>
      </c>
      <c r="K3203" s="12">
        <v>46094</v>
      </c>
      <c r="L3203" s="12">
        <v>46128</v>
      </c>
      <c r="M3203">
        <v>4</v>
      </c>
      <c r="N3203">
        <v>602218431</v>
      </c>
      <c r="O3203">
        <v>0</v>
      </c>
      <c r="P3203">
        <v>0</v>
      </c>
      <c r="Q3203">
        <v>602218431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 t="s">
        <v>846</v>
      </c>
      <c r="AA3203" t="s">
        <v>501</v>
      </c>
      <c r="AB3203" t="s">
        <v>51</v>
      </c>
      <c r="AC3203" t="s">
        <v>51</v>
      </c>
      <c r="AD3203" t="s">
        <v>51</v>
      </c>
      <c r="AE3203" t="s">
        <v>51</v>
      </c>
      <c r="AF3203" t="s">
        <v>1736</v>
      </c>
    </row>
    <row r="3204" spans="1:32" ht="14.5" customHeight="1" x14ac:dyDescent="0.35">
      <c r="A3204" t="s">
        <v>498</v>
      </c>
      <c r="B3204" t="s">
        <v>499</v>
      </c>
      <c r="C3204" t="s">
        <v>47</v>
      </c>
      <c r="D3204">
        <v>3100752</v>
      </c>
      <c r="E3204">
        <v>3100752</v>
      </c>
      <c r="F3204" t="s">
        <v>2391</v>
      </c>
      <c r="G3204" t="s">
        <v>2391</v>
      </c>
      <c r="H3204" t="s">
        <v>140</v>
      </c>
      <c r="I3204">
        <v>9916464</v>
      </c>
      <c r="J3204" s="12">
        <v>46098</v>
      </c>
      <c r="K3204" s="12">
        <v>46098</v>
      </c>
      <c r="L3204" s="12">
        <v>46128</v>
      </c>
      <c r="M3204">
        <v>4</v>
      </c>
      <c r="N3204">
        <v>10097</v>
      </c>
      <c r="O3204">
        <v>0</v>
      </c>
      <c r="P3204">
        <v>0</v>
      </c>
      <c r="Q3204">
        <v>10097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 t="s">
        <v>846</v>
      </c>
      <c r="AA3204" t="s">
        <v>501</v>
      </c>
      <c r="AB3204" t="s">
        <v>51</v>
      </c>
      <c r="AC3204" t="s">
        <v>51</v>
      </c>
      <c r="AD3204" t="s">
        <v>51</v>
      </c>
      <c r="AE3204" t="s">
        <v>51</v>
      </c>
      <c r="AF3204" t="s">
        <v>616</v>
      </c>
    </row>
    <row r="3205" spans="1:32" ht="14.5" customHeight="1" x14ac:dyDescent="0.35">
      <c r="A3205" t="s">
        <v>498</v>
      </c>
      <c r="B3205" t="s">
        <v>499</v>
      </c>
      <c r="C3205" t="s">
        <v>846</v>
      </c>
      <c r="D3205">
        <v>3100752</v>
      </c>
      <c r="E3205">
        <v>3100752</v>
      </c>
      <c r="F3205" t="s">
        <v>2391</v>
      </c>
      <c r="G3205" t="s">
        <v>2391</v>
      </c>
      <c r="H3205" t="s">
        <v>54</v>
      </c>
      <c r="I3205">
        <v>9925415</v>
      </c>
      <c r="J3205" s="12">
        <v>46126</v>
      </c>
      <c r="K3205" s="12">
        <v>46126</v>
      </c>
      <c r="L3205" s="12">
        <v>46160</v>
      </c>
      <c r="M3205">
        <v>-28</v>
      </c>
      <c r="N3205">
        <v>19113906</v>
      </c>
      <c r="O3205">
        <v>0</v>
      </c>
      <c r="P3205">
        <v>19113906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 t="s">
        <v>846</v>
      </c>
      <c r="AA3205" t="s">
        <v>501</v>
      </c>
      <c r="AB3205" t="s">
        <v>51</v>
      </c>
      <c r="AC3205" t="s">
        <v>51</v>
      </c>
      <c r="AD3205" t="s">
        <v>51</v>
      </c>
      <c r="AE3205" t="s">
        <v>2393</v>
      </c>
      <c r="AF3205" t="s">
        <v>277</v>
      </c>
    </row>
    <row r="3206" spans="1:32" ht="14.5" customHeight="1" x14ac:dyDescent="0.35">
      <c r="A3206" t="s">
        <v>498</v>
      </c>
      <c r="B3206" t="s">
        <v>499</v>
      </c>
      <c r="C3206" t="s">
        <v>846</v>
      </c>
      <c r="D3206">
        <v>3100752</v>
      </c>
      <c r="E3206">
        <v>3100752</v>
      </c>
      <c r="F3206" t="s">
        <v>2391</v>
      </c>
      <c r="G3206" t="s">
        <v>2391</v>
      </c>
      <c r="H3206" t="s">
        <v>54</v>
      </c>
      <c r="I3206">
        <v>9925424</v>
      </c>
      <c r="J3206" s="12">
        <v>46126</v>
      </c>
      <c r="K3206" s="12">
        <v>46126</v>
      </c>
      <c r="L3206" s="12">
        <v>46160</v>
      </c>
      <c r="M3206">
        <v>-28</v>
      </c>
      <c r="N3206">
        <v>348045699</v>
      </c>
      <c r="O3206">
        <v>0</v>
      </c>
      <c r="P3206">
        <v>348045699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 t="s">
        <v>846</v>
      </c>
      <c r="AA3206" t="s">
        <v>501</v>
      </c>
      <c r="AB3206" t="s">
        <v>51</v>
      </c>
      <c r="AC3206" t="s">
        <v>51</v>
      </c>
      <c r="AD3206" t="s">
        <v>51</v>
      </c>
      <c r="AE3206" t="s">
        <v>2394</v>
      </c>
      <c r="AF3206" t="s">
        <v>56</v>
      </c>
    </row>
    <row r="3207" spans="1:32" ht="14.5" customHeight="1" x14ac:dyDescent="0.35">
      <c r="A3207" t="s">
        <v>498</v>
      </c>
      <c r="B3207" t="s">
        <v>499</v>
      </c>
      <c r="C3207" t="s">
        <v>47</v>
      </c>
      <c r="D3207">
        <v>3100752</v>
      </c>
      <c r="E3207">
        <v>3100752</v>
      </c>
      <c r="F3207" t="s">
        <v>2391</v>
      </c>
      <c r="G3207" t="s">
        <v>2391</v>
      </c>
      <c r="H3207" t="s">
        <v>140</v>
      </c>
      <c r="I3207">
        <v>9926639</v>
      </c>
      <c r="J3207" s="12">
        <v>46129</v>
      </c>
      <c r="K3207" s="12">
        <v>46129</v>
      </c>
      <c r="L3207" s="12">
        <v>46159</v>
      </c>
      <c r="M3207">
        <v>-27</v>
      </c>
      <c r="N3207">
        <v>33329</v>
      </c>
      <c r="O3207">
        <v>0</v>
      </c>
      <c r="P3207">
        <v>33329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 t="s">
        <v>846</v>
      </c>
      <c r="AA3207" t="s">
        <v>501</v>
      </c>
      <c r="AB3207" t="s">
        <v>51</v>
      </c>
      <c r="AC3207" t="s">
        <v>51</v>
      </c>
      <c r="AD3207" t="s">
        <v>51</v>
      </c>
      <c r="AE3207" t="s">
        <v>2395</v>
      </c>
      <c r="AF3207" t="s">
        <v>1587</v>
      </c>
    </row>
    <row r="3208" spans="1:32" ht="14.5" customHeight="1" x14ac:dyDescent="0.35">
      <c r="A3208" t="s">
        <v>531</v>
      </c>
      <c r="B3208" t="s">
        <v>2396</v>
      </c>
      <c r="C3208" t="s">
        <v>47</v>
      </c>
      <c r="D3208">
        <v>3100769</v>
      </c>
      <c r="E3208">
        <v>3000878</v>
      </c>
      <c r="F3208" t="s">
        <v>2397</v>
      </c>
      <c r="G3208" t="s">
        <v>2397</v>
      </c>
      <c r="H3208" t="s">
        <v>54</v>
      </c>
      <c r="I3208">
        <v>6954026</v>
      </c>
      <c r="J3208" s="12">
        <v>46085</v>
      </c>
      <c r="K3208" s="12">
        <v>46085</v>
      </c>
      <c r="L3208" s="12">
        <v>46085</v>
      </c>
      <c r="M3208">
        <v>47</v>
      </c>
      <c r="N3208">
        <v>-1908951</v>
      </c>
      <c r="O3208">
        <v>-1908951</v>
      </c>
      <c r="P3208">
        <v>0</v>
      </c>
      <c r="Q3208">
        <v>0</v>
      </c>
      <c r="R3208">
        <v>-1908951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 t="s">
        <v>47</v>
      </c>
      <c r="AA3208" t="s">
        <v>501</v>
      </c>
      <c r="AB3208" t="s">
        <v>51</v>
      </c>
      <c r="AC3208" t="s">
        <v>51</v>
      </c>
      <c r="AD3208" t="s">
        <v>51</v>
      </c>
      <c r="AE3208" t="s">
        <v>51</v>
      </c>
      <c r="AF3208" t="s">
        <v>2398</v>
      </c>
    </row>
    <row r="3209" spans="1:32" ht="14.5" customHeight="1" x14ac:dyDescent="0.35">
      <c r="A3209" t="s">
        <v>531</v>
      </c>
      <c r="B3209" t="s">
        <v>2396</v>
      </c>
      <c r="C3209" t="s">
        <v>47</v>
      </c>
      <c r="D3209">
        <v>3100769</v>
      </c>
      <c r="E3209">
        <v>3000878</v>
      </c>
      <c r="F3209" t="s">
        <v>2397</v>
      </c>
      <c r="G3209" t="s">
        <v>2397</v>
      </c>
      <c r="H3209" t="s">
        <v>54</v>
      </c>
      <c r="I3209">
        <v>6954049</v>
      </c>
      <c r="J3209" s="12">
        <v>46086</v>
      </c>
      <c r="K3209" s="12">
        <v>46086</v>
      </c>
      <c r="L3209" s="12">
        <v>46086</v>
      </c>
      <c r="M3209">
        <v>46</v>
      </c>
      <c r="N3209">
        <v>-300323</v>
      </c>
      <c r="O3209">
        <v>-300323</v>
      </c>
      <c r="P3209">
        <v>0</v>
      </c>
      <c r="Q3209">
        <v>0</v>
      </c>
      <c r="R3209">
        <v>-300323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 t="s">
        <v>47</v>
      </c>
      <c r="AA3209" t="s">
        <v>501</v>
      </c>
      <c r="AB3209" t="s">
        <v>51</v>
      </c>
      <c r="AC3209" t="s">
        <v>51</v>
      </c>
      <c r="AD3209" t="s">
        <v>51</v>
      </c>
      <c r="AE3209" t="s">
        <v>51</v>
      </c>
      <c r="AF3209" t="s">
        <v>2398</v>
      </c>
    </row>
    <row r="3210" spans="1:32" ht="14.5" customHeight="1" x14ac:dyDescent="0.35">
      <c r="A3210" t="s">
        <v>531</v>
      </c>
      <c r="B3210" t="s">
        <v>2396</v>
      </c>
      <c r="C3210" t="s">
        <v>47</v>
      </c>
      <c r="D3210">
        <v>3100769</v>
      </c>
      <c r="E3210">
        <v>3000878</v>
      </c>
      <c r="F3210" t="s">
        <v>2397</v>
      </c>
      <c r="G3210" t="s">
        <v>2397</v>
      </c>
      <c r="H3210" t="s">
        <v>54</v>
      </c>
      <c r="I3210">
        <v>6954050</v>
      </c>
      <c r="J3210" s="12">
        <v>46086</v>
      </c>
      <c r="K3210" s="12">
        <v>46086</v>
      </c>
      <c r="L3210" s="12">
        <v>46086</v>
      </c>
      <c r="M3210">
        <v>46</v>
      </c>
      <c r="N3210">
        <v>-926884</v>
      </c>
      <c r="O3210">
        <v>-926884</v>
      </c>
      <c r="P3210">
        <v>0</v>
      </c>
      <c r="Q3210">
        <v>0</v>
      </c>
      <c r="R3210">
        <v>-926884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 t="s">
        <v>47</v>
      </c>
      <c r="AA3210" t="s">
        <v>501</v>
      </c>
      <c r="AB3210" t="s">
        <v>51</v>
      </c>
      <c r="AC3210" t="s">
        <v>51</v>
      </c>
      <c r="AD3210" t="s">
        <v>51</v>
      </c>
      <c r="AE3210" t="s">
        <v>51</v>
      </c>
      <c r="AF3210" t="s">
        <v>2399</v>
      </c>
    </row>
    <row r="3211" spans="1:32" ht="14.5" customHeight="1" x14ac:dyDescent="0.35">
      <c r="A3211" t="s">
        <v>531</v>
      </c>
      <c r="B3211" t="s">
        <v>2396</v>
      </c>
      <c r="C3211" t="s">
        <v>47</v>
      </c>
      <c r="D3211">
        <v>3100769</v>
      </c>
      <c r="E3211">
        <v>3000878</v>
      </c>
      <c r="F3211" t="s">
        <v>2397</v>
      </c>
      <c r="G3211" t="s">
        <v>2397</v>
      </c>
      <c r="H3211" t="s">
        <v>54</v>
      </c>
      <c r="I3211">
        <v>6954051</v>
      </c>
      <c r="J3211" s="12">
        <v>46086</v>
      </c>
      <c r="K3211" s="12">
        <v>46086</v>
      </c>
      <c r="L3211" s="12">
        <v>46086</v>
      </c>
      <c r="M3211">
        <v>46</v>
      </c>
      <c r="N3211">
        <v>-297385</v>
      </c>
      <c r="O3211">
        <v>-297385</v>
      </c>
      <c r="P3211">
        <v>0</v>
      </c>
      <c r="Q3211">
        <v>0</v>
      </c>
      <c r="R3211">
        <v>-297385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 t="s">
        <v>47</v>
      </c>
      <c r="AA3211" t="s">
        <v>501</v>
      </c>
      <c r="AB3211" t="s">
        <v>51</v>
      </c>
      <c r="AC3211" t="s">
        <v>51</v>
      </c>
      <c r="AD3211" t="s">
        <v>51</v>
      </c>
      <c r="AE3211" t="s">
        <v>51</v>
      </c>
      <c r="AF3211" t="s">
        <v>2398</v>
      </c>
    </row>
    <row r="3212" spans="1:32" ht="14.5" customHeight="1" x14ac:dyDescent="0.35">
      <c r="A3212" t="s">
        <v>531</v>
      </c>
      <c r="B3212" t="s">
        <v>2396</v>
      </c>
      <c r="C3212" t="s">
        <v>47</v>
      </c>
      <c r="D3212">
        <v>3100769</v>
      </c>
      <c r="E3212">
        <v>3000878</v>
      </c>
      <c r="F3212" t="s">
        <v>2397</v>
      </c>
      <c r="G3212" t="s">
        <v>2397</v>
      </c>
      <c r="H3212" t="s">
        <v>54</v>
      </c>
      <c r="I3212">
        <v>6954052</v>
      </c>
      <c r="J3212" s="12">
        <v>46086</v>
      </c>
      <c r="K3212" s="12">
        <v>46086</v>
      </c>
      <c r="L3212" s="12">
        <v>46086</v>
      </c>
      <c r="M3212">
        <v>46</v>
      </c>
      <c r="N3212">
        <v>-93980</v>
      </c>
      <c r="O3212">
        <v>-93980</v>
      </c>
      <c r="P3212">
        <v>0</v>
      </c>
      <c r="Q3212">
        <v>0</v>
      </c>
      <c r="R3212">
        <v>-93980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 t="s">
        <v>47</v>
      </c>
      <c r="AA3212" t="s">
        <v>501</v>
      </c>
      <c r="AB3212" t="s">
        <v>51</v>
      </c>
      <c r="AC3212" t="s">
        <v>51</v>
      </c>
      <c r="AD3212" t="s">
        <v>51</v>
      </c>
      <c r="AE3212" t="s">
        <v>51</v>
      </c>
      <c r="AF3212" t="s">
        <v>2400</v>
      </c>
    </row>
    <row r="3213" spans="1:32" ht="14.5" customHeight="1" x14ac:dyDescent="0.35">
      <c r="A3213" t="s">
        <v>531</v>
      </c>
      <c r="B3213" t="s">
        <v>2396</v>
      </c>
      <c r="C3213" t="s">
        <v>47</v>
      </c>
      <c r="D3213">
        <v>3100769</v>
      </c>
      <c r="E3213">
        <v>3000878</v>
      </c>
      <c r="F3213" t="s">
        <v>2397</v>
      </c>
      <c r="G3213" t="s">
        <v>2397</v>
      </c>
      <c r="H3213" t="s">
        <v>54</v>
      </c>
      <c r="I3213">
        <v>6954053</v>
      </c>
      <c r="J3213" s="12">
        <v>46086</v>
      </c>
      <c r="K3213" s="12">
        <v>46086</v>
      </c>
      <c r="L3213" s="12">
        <v>46086</v>
      </c>
      <c r="M3213">
        <v>46</v>
      </c>
      <c r="N3213">
        <v>-467521</v>
      </c>
      <c r="O3213">
        <v>-467521</v>
      </c>
      <c r="P3213">
        <v>0</v>
      </c>
      <c r="Q3213">
        <v>0</v>
      </c>
      <c r="R3213">
        <v>-467521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 t="s">
        <v>47</v>
      </c>
      <c r="AA3213" t="s">
        <v>501</v>
      </c>
      <c r="AB3213" t="s">
        <v>51</v>
      </c>
      <c r="AC3213" t="s">
        <v>51</v>
      </c>
      <c r="AD3213" t="s">
        <v>51</v>
      </c>
      <c r="AE3213" t="s">
        <v>51</v>
      </c>
      <c r="AF3213" t="s">
        <v>2401</v>
      </c>
    </row>
    <row r="3214" spans="1:32" ht="14.5" customHeight="1" x14ac:dyDescent="0.35">
      <c r="A3214" t="s">
        <v>531</v>
      </c>
      <c r="B3214" t="s">
        <v>2396</v>
      </c>
      <c r="C3214" t="s">
        <v>47</v>
      </c>
      <c r="D3214">
        <v>3100769</v>
      </c>
      <c r="E3214">
        <v>3000878</v>
      </c>
      <c r="F3214" t="s">
        <v>2397</v>
      </c>
      <c r="G3214" t="s">
        <v>2397</v>
      </c>
      <c r="H3214" t="s">
        <v>54</v>
      </c>
      <c r="I3214">
        <v>6954054</v>
      </c>
      <c r="J3214" s="12">
        <v>46086</v>
      </c>
      <c r="K3214" s="12">
        <v>46086</v>
      </c>
      <c r="L3214" s="12">
        <v>46086</v>
      </c>
      <c r="M3214">
        <v>46</v>
      </c>
      <c r="N3214">
        <v>-330779</v>
      </c>
      <c r="O3214">
        <v>-330779</v>
      </c>
      <c r="P3214">
        <v>0</v>
      </c>
      <c r="Q3214">
        <v>0</v>
      </c>
      <c r="R3214">
        <v>-330779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 t="s">
        <v>47</v>
      </c>
      <c r="AA3214" t="s">
        <v>501</v>
      </c>
      <c r="AB3214" t="s">
        <v>51</v>
      </c>
      <c r="AC3214" t="s">
        <v>51</v>
      </c>
      <c r="AD3214" t="s">
        <v>51</v>
      </c>
      <c r="AE3214" t="s">
        <v>51</v>
      </c>
      <c r="AF3214" t="s">
        <v>2402</v>
      </c>
    </row>
    <row r="3215" spans="1:32" ht="14.5" customHeight="1" x14ac:dyDescent="0.35">
      <c r="A3215" t="s">
        <v>531</v>
      </c>
      <c r="B3215" t="s">
        <v>2396</v>
      </c>
      <c r="C3215" t="s">
        <v>47</v>
      </c>
      <c r="D3215">
        <v>3100769</v>
      </c>
      <c r="E3215">
        <v>3000878</v>
      </c>
      <c r="F3215" t="s">
        <v>2397</v>
      </c>
      <c r="G3215" t="s">
        <v>2397</v>
      </c>
      <c r="H3215" t="s">
        <v>54</v>
      </c>
      <c r="I3215">
        <v>6954055</v>
      </c>
      <c r="J3215" s="12">
        <v>46086</v>
      </c>
      <c r="K3215" s="12">
        <v>46086</v>
      </c>
      <c r="L3215" s="12">
        <v>46086</v>
      </c>
      <c r="M3215">
        <v>46</v>
      </c>
      <c r="N3215">
        <v>-510525</v>
      </c>
      <c r="O3215">
        <v>-510525</v>
      </c>
      <c r="P3215">
        <v>0</v>
      </c>
      <c r="Q3215">
        <v>0</v>
      </c>
      <c r="R3215">
        <v>-510525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 t="s">
        <v>47</v>
      </c>
      <c r="AA3215" t="s">
        <v>501</v>
      </c>
      <c r="AB3215" t="s">
        <v>51</v>
      </c>
      <c r="AC3215" t="s">
        <v>51</v>
      </c>
      <c r="AD3215" t="s">
        <v>51</v>
      </c>
      <c r="AE3215" t="s">
        <v>51</v>
      </c>
      <c r="AF3215" t="s">
        <v>2398</v>
      </c>
    </row>
    <row r="3216" spans="1:32" ht="14.5" customHeight="1" x14ac:dyDescent="0.35">
      <c r="A3216" t="s">
        <v>531</v>
      </c>
      <c r="B3216" t="s">
        <v>2396</v>
      </c>
      <c r="C3216" t="s">
        <v>47</v>
      </c>
      <c r="D3216">
        <v>3100769</v>
      </c>
      <c r="E3216">
        <v>3000876</v>
      </c>
      <c r="F3216" t="s">
        <v>2397</v>
      </c>
      <c r="G3216" t="s">
        <v>2397</v>
      </c>
      <c r="H3216" t="s">
        <v>54</v>
      </c>
      <c r="I3216">
        <v>6954165</v>
      </c>
      <c r="J3216" s="12">
        <v>46087</v>
      </c>
      <c r="K3216" s="12">
        <v>46087</v>
      </c>
      <c r="L3216" s="12">
        <v>46087</v>
      </c>
      <c r="M3216">
        <v>45</v>
      </c>
      <c r="N3216">
        <v>-32715969</v>
      </c>
      <c r="O3216">
        <v>-32715969</v>
      </c>
      <c r="P3216">
        <v>0</v>
      </c>
      <c r="Q3216">
        <v>0</v>
      </c>
      <c r="R3216">
        <v>-32715969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 t="s">
        <v>47</v>
      </c>
      <c r="AA3216" t="s">
        <v>501</v>
      </c>
      <c r="AB3216" t="s">
        <v>51</v>
      </c>
      <c r="AC3216" t="s">
        <v>51</v>
      </c>
      <c r="AD3216" t="s">
        <v>51</v>
      </c>
      <c r="AE3216" t="s">
        <v>51</v>
      </c>
      <c r="AF3216" t="s">
        <v>2403</v>
      </c>
    </row>
    <row r="3217" spans="1:32" ht="14.5" customHeight="1" x14ac:dyDescent="0.35">
      <c r="A3217" t="s">
        <v>531</v>
      </c>
      <c r="B3217" t="s">
        <v>2396</v>
      </c>
      <c r="C3217" t="s">
        <v>47</v>
      </c>
      <c r="D3217">
        <v>3100769</v>
      </c>
      <c r="E3217">
        <v>3000878</v>
      </c>
      <c r="F3217" t="s">
        <v>2397</v>
      </c>
      <c r="G3217" t="s">
        <v>2397</v>
      </c>
      <c r="H3217" t="s">
        <v>54</v>
      </c>
      <c r="I3217">
        <v>6954173</v>
      </c>
      <c r="J3217" s="12">
        <v>46087</v>
      </c>
      <c r="K3217" s="12">
        <v>46087</v>
      </c>
      <c r="L3217" s="12">
        <v>46087</v>
      </c>
      <c r="M3217">
        <v>45</v>
      </c>
      <c r="N3217">
        <v>-510000</v>
      </c>
      <c r="O3217">
        <v>-510000</v>
      </c>
      <c r="P3217">
        <v>0</v>
      </c>
      <c r="Q3217">
        <v>0</v>
      </c>
      <c r="R3217">
        <v>-510000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 t="s">
        <v>47</v>
      </c>
      <c r="AA3217" t="s">
        <v>501</v>
      </c>
      <c r="AB3217" t="s">
        <v>51</v>
      </c>
      <c r="AC3217" t="s">
        <v>51</v>
      </c>
      <c r="AD3217" t="s">
        <v>51</v>
      </c>
      <c r="AE3217" t="s">
        <v>51</v>
      </c>
      <c r="AF3217" t="s">
        <v>2404</v>
      </c>
    </row>
    <row r="3218" spans="1:32" ht="14.5" customHeight="1" x14ac:dyDescent="0.35">
      <c r="A3218" t="s">
        <v>531</v>
      </c>
      <c r="B3218" t="s">
        <v>532</v>
      </c>
      <c r="C3218" t="s">
        <v>47</v>
      </c>
      <c r="D3218">
        <v>3100769</v>
      </c>
      <c r="E3218">
        <v>3100853</v>
      </c>
      <c r="F3218" t="s">
        <v>2397</v>
      </c>
      <c r="G3218" t="s">
        <v>2405</v>
      </c>
      <c r="H3218" t="s">
        <v>54</v>
      </c>
      <c r="I3218">
        <v>6954174</v>
      </c>
      <c r="J3218" s="12">
        <v>46087</v>
      </c>
      <c r="K3218" s="12">
        <v>46087</v>
      </c>
      <c r="L3218" s="12">
        <v>46087</v>
      </c>
      <c r="M3218">
        <v>45</v>
      </c>
      <c r="N3218">
        <v>-1020000</v>
      </c>
      <c r="O3218">
        <v>-1020000</v>
      </c>
      <c r="P3218">
        <v>0</v>
      </c>
      <c r="Q3218">
        <v>0</v>
      </c>
      <c r="R3218">
        <v>-1020000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 t="s">
        <v>47</v>
      </c>
      <c r="AA3218" t="s">
        <v>501</v>
      </c>
      <c r="AB3218" t="s">
        <v>51</v>
      </c>
      <c r="AC3218" t="s">
        <v>51</v>
      </c>
      <c r="AD3218" t="s">
        <v>51</v>
      </c>
      <c r="AE3218" t="s">
        <v>51</v>
      </c>
      <c r="AF3218" t="s">
        <v>2406</v>
      </c>
    </row>
    <row r="3219" spans="1:32" ht="14.5" customHeight="1" x14ac:dyDescent="0.35">
      <c r="A3219" t="s">
        <v>531</v>
      </c>
      <c r="B3219" t="s">
        <v>532</v>
      </c>
      <c r="C3219" t="s">
        <v>47</v>
      </c>
      <c r="D3219">
        <v>3100769</v>
      </c>
      <c r="E3219">
        <v>3001035</v>
      </c>
      <c r="F3219" t="s">
        <v>2397</v>
      </c>
      <c r="G3219" t="s">
        <v>2397</v>
      </c>
      <c r="H3219" t="s">
        <v>54</v>
      </c>
      <c r="I3219">
        <v>6954224</v>
      </c>
      <c r="J3219" s="12">
        <v>46087</v>
      </c>
      <c r="K3219" s="12">
        <v>46087</v>
      </c>
      <c r="L3219" s="12">
        <v>46087</v>
      </c>
      <c r="M3219">
        <v>45</v>
      </c>
      <c r="N3219">
        <v>-40495334</v>
      </c>
      <c r="O3219">
        <v>-40495334</v>
      </c>
      <c r="P3219">
        <v>0</v>
      </c>
      <c r="Q3219">
        <v>0</v>
      </c>
      <c r="R3219">
        <v>-40495334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 t="s">
        <v>47</v>
      </c>
      <c r="AA3219" t="s">
        <v>501</v>
      </c>
      <c r="AB3219" t="s">
        <v>51</v>
      </c>
      <c r="AC3219" t="s">
        <v>51</v>
      </c>
      <c r="AD3219" t="s">
        <v>51</v>
      </c>
      <c r="AE3219" t="s">
        <v>51</v>
      </c>
      <c r="AF3219" t="s">
        <v>56</v>
      </c>
    </row>
    <row r="3220" spans="1:32" ht="14.5" customHeight="1" x14ac:dyDescent="0.35">
      <c r="A3220" t="s">
        <v>531</v>
      </c>
      <c r="B3220" t="s">
        <v>532</v>
      </c>
      <c r="C3220" t="s">
        <v>47</v>
      </c>
      <c r="D3220">
        <v>3100769</v>
      </c>
      <c r="E3220">
        <v>3100847</v>
      </c>
      <c r="F3220" t="s">
        <v>2397</v>
      </c>
      <c r="G3220" t="s">
        <v>2407</v>
      </c>
      <c r="H3220" t="s">
        <v>54</v>
      </c>
      <c r="I3220">
        <v>6954225</v>
      </c>
      <c r="J3220" s="12">
        <v>46087</v>
      </c>
      <c r="K3220" s="12">
        <v>46087</v>
      </c>
      <c r="L3220" s="12">
        <v>46087</v>
      </c>
      <c r="M3220">
        <v>45</v>
      </c>
      <c r="N3220">
        <v>-89875543</v>
      </c>
      <c r="O3220">
        <v>-89875543</v>
      </c>
      <c r="P3220">
        <v>0</v>
      </c>
      <c r="Q3220">
        <v>0</v>
      </c>
      <c r="R3220">
        <v>-89875543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 t="s">
        <v>47</v>
      </c>
      <c r="AA3220" t="s">
        <v>501</v>
      </c>
      <c r="AB3220" t="s">
        <v>51</v>
      </c>
      <c r="AC3220" t="s">
        <v>51</v>
      </c>
      <c r="AD3220" t="s">
        <v>51</v>
      </c>
      <c r="AE3220" t="s">
        <v>51</v>
      </c>
      <c r="AF3220" t="s">
        <v>56</v>
      </c>
    </row>
    <row r="3221" spans="1:32" ht="14.5" customHeight="1" x14ac:dyDescent="0.35">
      <c r="A3221" t="s">
        <v>531</v>
      </c>
      <c r="B3221" t="s">
        <v>2396</v>
      </c>
      <c r="C3221" t="s">
        <v>47</v>
      </c>
      <c r="D3221">
        <v>3100769</v>
      </c>
      <c r="E3221">
        <v>3000876</v>
      </c>
      <c r="F3221" t="s">
        <v>2397</v>
      </c>
      <c r="G3221" t="s">
        <v>2397</v>
      </c>
      <c r="H3221" t="s">
        <v>54</v>
      </c>
      <c r="I3221">
        <v>6954249</v>
      </c>
      <c r="J3221" s="12">
        <v>46088</v>
      </c>
      <c r="K3221" s="12">
        <v>46088</v>
      </c>
      <c r="L3221" s="12">
        <v>46088</v>
      </c>
      <c r="M3221">
        <v>44</v>
      </c>
      <c r="N3221">
        <v>-1027140</v>
      </c>
      <c r="O3221">
        <v>-1027140</v>
      </c>
      <c r="P3221">
        <v>0</v>
      </c>
      <c r="Q3221">
        <v>0</v>
      </c>
      <c r="R3221">
        <v>-1027140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 t="s">
        <v>47</v>
      </c>
      <c r="AA3221" t="s">
        <v>501</v>
      </c>
      <c r="AB3221" t="s">
        <v>51</v>
      </c>
      <c r="AC3221" t="s">
        <v>51</v>
      </c>
      <c r="AD3221" t="s">
        <v>51</v>
      </c>
      <c r="AE3221" t="s">
        <v>51</v>
      </c>
      <c r="AF3221" t="s">
        <v>2408</v>
      </c>
    </row>
    <row r="3222" spans="1:32" ht="14.5" customHeight="1" x14ac:dyDescent="0.35">
      <c r="A3222" t="s">
        <v>531</v>
      </c>
      <c r="B3222" t="s">
        <v>2396</v>
      </c>
      <c r="C3222" t="s">
        <v>47</v>
      </c>
      <c r="D3222">
        <v>3100769</v>
      </c>
      <c r="E3222">
        <v>3000878</v>
      </c>
      <c r="F3222" t="s">
        <v>2397</v>
      </c>
      <c r="G3222" t="s">
        <v>2397</v>
      </c>
      <c r="H3222" t="s">
        <v>54</v>
      </c>
      <c r="I3222">
        <v>6954259</v>
      </c>
      <c r="J3222" s="12">
        <v>46088</v>
      </c>
      <c r="K3222" s="12">
        <v>46088</v>
      </c>
      <c r="L3222" s="12">
        <v>46088</v>
      </c>
      <c r="M3222">
        <v>44</v>
      </c>
      <c r="N3222">
        <v>-361845</v>
      </c>
      <c r="O3222">
        <v>-361845</v>
      </c>
      <c r="P3222">
        <v>0</v>
      </c>
      <c r="Q3222">
        <v>0</v>
      </c>
      <c r="R3222">
        <v>-361845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 t="s">
        <v>47</v>
      </c>
      <c r="AA3222" t="s">
        <v>501</v>
      </c>
      <c r="AB3222" t="s">
        <v>51</v>
      </c>
      <c r="AC3222" t="s">
        <v>51</v>
      </c>
      <c r="AD3222" t="s">
        <v>51</v>
      </c>
      <c r="AE3222" t="s">
        <v>51</v>
      </c>
      <c r="AF3222" t="s">
        <v>2409</v>
      </c>
    </row>
    <row r="3223" spans="1:32" ht="14.5" customHeight="1" x14ac:dyDescent="0.35">
      <c r="A3223" t="s">
        <v>531</v>
      </c>
      <c r="B3223" t="s">
        <v>2396</v>
      </c>
      <c r="C3223" t="s">
        <v>47</v>
      </c>
      <c r="D3223">
        <v>3100769</v>
      </c>
      <c r="E3223">
        <v>3000878</v>
      </c>
      <c r="F3223" t="s">
        <v>2397</v>
      </c>
      <c r="G3223" t="s">
        <v>2397</v>
      </c>
      <c r="H3223" t="s">
        <v>54</v>
      </c>
      <c r="I3223">
        <v>6954296</v>
      </c>
      <c r="J3223" s="12">
        <v>46088</v>
      </c>
      <c r="K3223" s="12">
        <v>46088</v>
      </c>
      <c r="L3223" s="12">
        <v>46088</v>
      </c>
      <c r="M3223">
        <v>44</v>
      </c>
      <c r="N3223">
        <v>-140250</v>
      </c>
      <c r="O3223">
        <v>-140250</v>
      </c>
      <c r="P3223">
        <v>0</v>
      </c>
      <c r="Q3223">
        <v>0</v>
      </c>
      <c r="R3223">
        <v>-140250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 t="s">
        <v>47</v>
      </c>
      <c r="AA3223" t="s">
        <v>501</v>
      </c>
      <c r="AB3223" t="s">
        <v>51</v>
      </c>
      <c r="AC3223" t="s">
        <v>51</v>
      </c>
      <c r="AD3223" t="s">
        <v>51</v>
      </c>
      <c r="AE3223" t="s">
        <v>51</v>
      </c>
      <c r="AF3223" t="s">
        <v>2410</v>
      </c>
    </row>
    <row r="3224" spans="1:32" ht="14.5" customHeight="1" x14ac:dyDescent="0.35">
      <c r="A3224" t="s">
        <v>531</v>
      </c>
      <c r="B3224" t="s">
        <v>2396</v>
      </c>
      <c r="C3224" t="s">
        <v>47</v>
      </c>
      <c r="D3224">
        <v>3100769</v>
      </c>
      <c r="E3224">
        <v>3000878</v>
      </c>
      <c r="F3224" t="s">
        <v>2397</v>
      </c>
      <c r="G3224" t="s">
        <v>2397</v>
      </c>
      <c r="H3224" t="s">
        <v>54</v>
      </c>
      <c r="I3224">
        <v>6954386</v>
      </c>
      <c r="J3224" s="12">
        <v>46088</v>
      </c>
      <c r="K3224" s="12">
        <v>46088</v>
      </c>
      <c r="L3224" s="12">
        <v>46088</v>
      </c>
      <c r="M3224">
        <v>44</v>
      </c>
      <c r="N3224">
        <v>-573539</v>
      </c>
      <c r="O3224">
        <v>-573539</v>
      </c>
      <c r="P3224">
        <v>0</v>
      </c>
      <c r="Q3224">
        <v>0</v>
      </c>
      <c r="R3224">
        <v>-573539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 t="s">
        <v>47</v>
      </c>
      <c r="AA3224" t="s">
        <v>501</v>
      </c>
      <c r="AB3224" t="s">
        <v>51</v>
      </c>
      <c r="AC3224" t="s">
        <v>51</v>
      </c>
      <c r="AD3224" t="s">
        <v>51</v>
      </c>
      <c r="AE3224" t="s">
        <v>51</v>
      </c>
      <c r="AF3224" t="s">
        <v>2411</v>
      </c>
    </row>
    <row r="3225" spans="1:32" ht="14.5" customHeight="1" x14ac:dyDescent="0.35">
      <c r="A3225" t="s">
        <v>531</v>
      </c>
      <c r="B3225" t="s">
        <v>2396</v>
      </c>
      <c r="C3225" t="s">
        <v>47</v>
      </c>
      <c r="D3225">
        <v>3100769</v>
      </c>
      <c r="E3225">
        <v>3000876</v>
      </c>
      <c r="F3225" t="s">
        <v>2397</v>
      </c>
      <c r="G3225" t="s">
        <v>2397</v>
      </c>
      <c r="H3225" t="s">
        <v>54</v>
      </c>
      <c r="I3225">
        <v>6954595</v>
      </c>
      <c r="J3225" s="12">
        <v>46090</v>
      </c>
      <c r="K3225" s="12">
        <v>46090</v>
      </c>
      <c r="L3225" s="12">
        <v>46090</v>
      </c>
      <c r="M3225">
        <v>42</v>
      </c>
      <c r="N3225">
        <v>-954276</v>
      </c>
      <c r="O3225">
        <v>-954276</v>
      </c>
      <c r="P3225">
        <v>0</v>
      </c>
      <c r="Q3225">
        <v>0</v>
      </c>
      <c r="R3225">
        <v>-954276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 t="s">
        <v>47</v>
      </c>
      <c r="AA3225" t="s">
        <v>501</v>
      </c>
      <c r="AB3225" t="s">
        <v>51</v>
      </c>
      <c r="AC3225" t="s">
        <v>51</v>
      </c>
      <c r="AD3225" t="s">
        <v>51</v>
      </c>
      <c r="AE3225" t="s">
        <v>51</v>
      </c>
      <c r="AF3225" t="s">
        <v>2412</v>
      </c>
    </row>
    <row r="3226" spans="1:32" ht="14.5" customHeight="1" x14ac:dyDescent="0.35">
      <c r="A3226" t="s">
        <v>531</v>
      </c>
      <c r="B3226" t="s">
        <v>2396</v>
      </c>
      <c r="C3226" t="s">
        <v>47</v>
      </c>
      <c r="D3226">
        <v>3100769</v>
      </c>
      <c r="E3226">
        <v>3000876</v>
      </c>
      <c r="F3226" t="s">
        <v>2397</v>
      </c>
      <c r="G3226" t="s">
        <v>2397</v>
      </c>
      <c r="H3226" t="s">
        <v>54</v>
      </c>
      <c r="I3226">
        <v>6954596</v>
      </c>
      <c r="J3226" s="12">
        <v>46090</v>
      </c>
      <c r="K3226" s="12">
        <v>46090</v>
      </c>
      <c r="L3226" s="12">
        <v>46090</v>
      </c>
      <c r="M3226">
        <v>42</v>
      </c>
      <c r="N3226">
        <v>-80237</v>
      </c>
      <c r="O3226">
        <v>-80237</v>
      </c>
      <c r="P3226">
        <v>0</v>
      </c>
      <c r="Q3226">
        <v>0</v>
      </c>
      <c r="R3226">
        <v>-80237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 t="s">
        <v>47</v>
      </c>
      <c r="AA3226" t="s">
        <v>501</v>
      </c>
      <c r="AB3226" t="s">
        <v>51</v>
      </c>
      <c r="AC3226" t="s">
        <v>51</v>
      </c>
      <c r="AD3226" t="s">
        <v>51</v>
      </c>
      <c r="AE3226" t="s">
        <v>51</v>
      </c>
      <c r="AF3226" t="s">
        <v>2413</v>
      </c>
    </row>
    <row r="3227" spans="1:32" ht="14.5" customHeight="1" x14ac:dyDescent="0.35">
      <c r="A3227" t="s">
        <v>531</v>
      </c>
      <c r="B3227" t="s">
        <v>2396</v>
      </c>
      <c r="C3227" t="s">
        <v>47</v>
      </c>
      <c r="D3227">
        <v>3100769</v>
      </c>
      <c r="E3227">
        <v>3000876</v>
      </c>
      <c r="F3227" t="s">
        <v>2397</v>
      </c>
      <c r="G3227" t="s">
        <v>2397</v>
      </c>
      <c r="H3227" t="s">
        <v>54</v>
      </c>
      <c r="I3227">
        <v>6954597</v>
      </c>
      <c r="J3227" s="12">
        <v>46090</v>
      </c>
      <c r="K3227" s="12">
        <v>46090</v>
      </c>
      <c r="L3227" s="12">
        <v>46090</v>
      </c>
      <c r="M3227">
        <v>42</v>
      </c>
      <c r="N3227">
        <v>-108020</v>
      </c>
      <c r="O3227">
        <v>-108020</v>
      </c>
      <c r="P3227">
        <v>0</v>
      </c>
      <c r="Q3227">
        <v>0</v>
      </c>
      <c r="R3227">
        <v>-108020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 t="s">
        <v>47</v>
      </c>
      <c r="AA3227" t="s">
        <v>501</v>
      </c>
      <c r="AB3227" t="s">
        <v>51</v>
      </c>
      <c r="AC3227" t="s">
        <v>51</v>
      </c>
      <c r="AD3227" t="s">
        <v>51</v>
      </c>
      <c r="AE3227" t="s">
        <v>51</v>
      </c>
      <c r="AF3227" t="s">
        <v>2414</v>
      </c>
    </row>
    <row r="3228" spans="1:32" ht="14.5" customHeight="1" x14ac:dyDescent="0.35">
      <c r="A3228" t="s">
        <v>531</v>
      </c>
      <c r="B3228" t="s">
        <v>2396</v>
      </c>
      <c r="C3228" t="s">
        <v>47</v>
      </c>
      <c r="D3228">
        <v>3100769</v>
      </c>
      <c r="E3228">
        <v>3000876</v>
      </c>
      <c r="F3228" t="s">
        <v>2397</v>
      </c>
      <c r="G3228" t="s">
        <v>2397</v>
      </c>
      <c r="H3228" t="s">
        <v>54</v>
      </c>
      <c r="I3228">
        <v>6954598</v>
      </c>
      <c r="J3228" s="12">
        <v>46090</v>
      </c>
      <c r="K3228" s="12">
        <v>46090</v>
      </c>
      <c r="L3228" s="12">
        <v>46090</v>
      </c>
      <c r="M3228">
        <v>42</v>
      </c>
      <c r="N3228">
        <v>-470090</v>
      </c>
      <c r="O3228">
        <v>-470090</v>
      </c>
      <c r="P3228">
        <v>0</v>
      </c>
      <c r="Q3228">
        <v>0</v>
      </c>
      <c r="R3228">
        <v>-470090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 t="s">
        <v>47</v>
      </c>
      <c r="AA3228" t="s">
        <v>501</v>
      </c>
      <c r="AB3228" t="s">
        <v>51</v>
      </c>
      <c r="AC3228" t="s">
        <v>51</v>
      </c>
      <c r="AD3228" t="s">
        <v>51</v>
      </c>
      <c r="AE3228" t="s">
        <v>51</v>
      </c>
      <c r="AF3228" t="s">
        <v>2415</v>
      </c>
    </row>
    <row r="3229" spans="1:32" ht="14.5" customHeight="1" x14ac:dyDescent="0.35">
      <c r="A3229" t="s">
        <v>531</v>
      </c>
      <c r="B3229" t="s">
        <v>2396</v>
      </c>
      <c r="C3229" t="s">
        <v>47</v>
      </c>
      <c r="D3229">
        <v>3100769</v>
      </c>
      <c r="E3229">
        <v>3000876</v>
      </c>
      <c r="F3229" t="s">
        <v>2397</v>
      </c>
      <c r="G3229" t="s">
        <v>2397</v>
      </c>
      <c r="H3229" t="s">
        <v>54</v>
      </c>
      <c r="I3229">
        <v>6954599</v>
      </c>
      <c r="J3229" s="12">
        <v>46090</v>
      </c>
      <c r="K3229" s="12">
        <v>46090</v>
      </c>
      <c r="L3229" s="12">
        <v>46090</v>
      </c>
      <c r="M3229">
        <v>42</v>
      </c>
      <c r="N3229">
        <v>-178312</v>
      </c>
      <c r="O3229">
        <v>-178312</v>
      </c>
      <c r="P3229">
        <v>0</v>
      </c>
      <c r="Q3229">
        <v>0</v>
      </c>
      <c r="R3229">
        <v>-178312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 t="s">
        <v>47</v>
      </c>
      <c r="AA3229" t="s">
        <v>501</v>
      </c>
      <c r="AB3229" t="s">
        <v>51</v>
      </c>
      <c r="AC3229" t="s">
        <v>51</v>
      </c>
      <c r="AD3229" t="s">
        <v>51</v>
      </c>
      <c r="AE3229" t="s">
        <v>51</v>
      </c>
      <c r="AF3229" t="s">
        <v>2416</v>
      </c>
    </row>
    <row r="3230" spans="1:32" ht="14.5" customHeight="1" x14ac:dyDescent="0.35">
      <c r="A3230" t="s">
        <v>531</v>
      </c>
      <c r="B3230" t="s">
        <v>2396</v>
      </c>
      <c r="C3230" t="s">
        <v>47</v>
      </c>
      <c r="D3230">
        <v>3100769</v>
      </c>
      <c r="E3230">
        <v>3000876</v>
      </c>
      <c r="F3230" t="s">
        <v>2397</v>
      </c>
      <c r="G3230" t="s">
        <v>2397</v>
      </c>
      <c r="H3230" t="s">
        <v>54</v>
      </c>
      <c r="I3230">
        <v>6954600</v>
      </c>
      <c r="J3230" s="12">
        <v>46090</v>
      </c>
      <c r="K3230" s="12">
        <v>46090</v>
      </c>
      <c r="L3230" s="12">
        <v>46090</v>
      </c>
      <c r="M3230">
        <v>42</v>
      </c>
      <c r="N3230">
        <v>-129015</v>
      </c>
      <c r="O3230">
        <v>-129015</v>
      </c>
      <c r="P3230">
        <v>0</v>
      </c>
      <c r="Q3230">
        <v>0</v>
      </c>
      <c r="R3230">
        <v>-129015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 t="s">
        <v>47</v>
      </c>
      <c r="AA3230" t="s">
        <v>501</v>
      </c>
      <c r="AB3230" t="s">
        <v>51</v>
      </c>
      <c r="AC3230" t="s">
        <v>51</v>
      </c>
      <c r="AD3230" t="s">
        <v>51</v>
      </c>
      <c r="AE3230" t="s">
        <v>51</v>
      </c>
      <c r="AF3230" t="s">
        <v>2417</v>
      </c>
    </row>
    <row r="3231" spans="1:32" ht="14.5" customHeight="1" x14ac:dyDescent="0.35">
      <c r="A3231" t="s">
        <v>531</v>
      </c>
      <c r="B3231" t="s">
        <v>2396</v>
      </c>
      <c r="C3231" t="s">
        <v>47</v>
      </c>
      <c r="D3231">
        <v>3100769</v>
      </c>
      <c r="E3231">
        <v>3000876</v>
      </c>
      <c r="F3231" t="s">
        <v>2397</v>
      </c>
      <c r="G3231" t="s">
        <v>2397</v>
      </c>
      <c r="H3231" t="s">
        <v>54</v>
      </c>
      <c r="I3231">
        <v>6954601</v>
      </c>
      <c r="J3231" s="12">
        <v>46090</v>
      </c>
      <c r="K3231" s="12">
        <v>46090</v>
      </c>
      <c r="L3231" s="12">
        <v>46090</v>
      </c>
      <c r="M3231">
        <v>42</v>
      </c>
      <c r="N3231">
        <v>-219000</v>
      </c>
      <c r="O3231">
        <v>-219000</v>
      </c>
      <c r="P3231">
        <v>0</v>
      </c>
      <c r="Q3231">
        <v>0</v>
      </c>
      <c r="R3231">
        <v>-219000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 t="s">
        <v>47</v>
      </c>
      <c r="AA3231" t="s">
        <v>501</v>
      </c>
      <c r="AB3231" t="s">
        <v>51</v>
      </c>
      <c r="AC3231" t="s">
        <v>51</v>
      </c>
      <c r="AD3231" t="s">
        <v>51</v>
      </c>
      <c r="AE3231" t="s">
        <v>51</v>
      </c>
      <c r="AF3231" t="s">
        <v>2418</v>
      </c>
    </row>
    <row r="3232" spans="1:32" ht="14.5" customHeight="1" x14ac:dyDescent="0.35">
      <c r="A3232" t="s">
        <v>531</v>
      </c>
      <c r="B3232" t="s">
        <v>2396</v>
      </c>
      <c r="C3232" t="s">
        <v>47</v>
      </c>
      <c r="D3232">
        <v>3100769</v>
      </c>
      <c r="E3232">
        <v>3000876</v>
      </c>
      <c r="F3232" t="s">
        <v>2397</v>
      </c>
      <c r="G3232" t="s">
        <v>2397</v>
      </c>
      <c r="H3232" t="s">
        <v>54</v>
      </c>
      <c r="I3232">
        <v>6954602</v>
      </c>
      <c r="J3232" s="12">
        <v>46090</v>
      </c>
      <c r="K3232" s="12">
        <v>46090</v>
      </c>
      <c r="L3232" s="12">
        <v>46090</v>
      </c>
      <c r="M3232">
        <v>42</v>
      </c>
      <c r="N3232">
        <v>-134926</v>
      </c>
      <c r="O3232">
        <v>-134926</v>
      </c>
      <c r="P3232">
        <v>0</v>
      </c>
      <c r="Q3232">
        <v>0</v>
      </c>
      <c r="R3232">
        <v>-134926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 t="s">
        <v>47</v>
      </c>
      <c r="AA3232" t="s">
        <v>501</v>
      </c>
      <c r="AB3232" t="s">
        <v>51</v>
      </c>
      <c r="AC3232" t="s">
        <v>51</v>
      </c>
      <c r="AD3232" t="s">
        <v>51</v>
      </c>
      <c r="AE3232" t="s">
        <v>51</v>
      </c>
      <c r="AF3232" t="s">
        <v>2419</v>
      </c>
    </row>
    <row r="3233" spans="1:32" ht="14.5" customHeight="1" x14ac:dyDescent="0.35">
      <c r="A3233" t="s">
        <v>531</v>
      </c>
      <c r="B3233" t="s">
        <v>2396</v>
      </c>
      <c r="C3233" t="s">
        <v>47</v>
      </c>
      <c r="D3233">
        <v>3100769</v>
      </c>
      <c r="E3233">
        <v>3000876</v>
      </c>
      <c r="F3233" t="s">
        <v>2397</v>
      </c>
      <c r="G3233" t="s">
        <v>2397</v>
      </c>
      <c r="H3233" t="s">
        <v>54</v>
      </c>
      <c r="I3233">
        <v>6954603</v>
      </c>
      <c r="J3233" s="12">
        <v>46090</v>
      </c>
      <c r="K3233" s="12">
        <v>46090</v>
      </c>
      <c r="L3233" s="12">
        <v>46090</v>
      </c>
      <c r="M3233">
        <v>42</v>
      </c>
      <c r="N3233">
        <v>-58307</v>
      </c>
      <c r="O3233">
        <v>-58307</v>
      </c>
      <c r="P3233">
        <v>0</v>
      </c>
      <c r="Q3233">
        <v>0</v>
      </c>
      <c r="R3233">
        <v>-58307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 t="s">
        <v>47</v>
      </c>
      <c r="AA3233" t="s">
        <v>501</v>
      </c>
      <c r="AB3233" t="s">
        <v>51</v>
      </c>
      <c r="AC3233" t="s">
        <v>51</v>
      </c>
      <c r="AD3233" t="s">
        <v>51</v>
      </c>
      <c r="AE3233" t="s">
        <v>51</v>
      </c>
      <c r="AF3233" t="s">
        <v>2414</v>
      </c>
    </row>
    <row r="3234" spans="1:32" ht="14.5" customHeight="1" x14ac:dyDescent="0.35">
      <c r="A3234" t="s">
        <v>531</v>
      </c>
      <c r="B3234" t="s">
        <v>2396</v>
      </c>
      <c r="C3234" t="s">
        <v>47</v>
      </c>
      <c r="D3234">
        <v>3100769</v>
      </c>
      <c r="E3234">
        <v>3000876</v>
      </c>
      <c r="F3234" t="s">
        <v>2397</v>
      </c>
      <c r="G3234" t="s">
        <v>2397</v>
      </c>
      <c r="H3234" t="s">
        <v>54</v>
      </c>
      <c r="I3234">
        <v>6954604</v>
      </c>
      <c r="J3234" s="12">
        <v>46090</v>
      </c>
      <c r="K3234" s="12">
        <v>46090</v>
      </c>
      <c r="L3234" s="12">
        <v>46090</v>
      </c>
      <c r="M3234">
        <v>42</v>
      </c>
      <c r="N3234">
        <v>-1150162</v>
      </c>
      <c r="O3234">
        <v>-1150162</v>
      </c>
      <c r="P3234">
        <v>0</v>
      </c>
      <c r="Q3234">
        <v>0</v>
      </c>
      <c r="R3234">
        <v>-1150162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 t="s">
        <v>47</v>
      </c>
      <c r="AA3234" t="s">
        <v>501</v>
      </c>
      <c r="AB3234" t="s">
        <v>51</v>
      </c>
      <c r="AC3234" t="s">
        <v>51</v>
      </c>
      <c r="AD3234" t="s">
        <v>51</v>
      </c>
      <c r="AE3234" t="s">
        <v>51</v>
      </c>
      <c r="AF3234" t="s">
        <v>2420</v>
      </c>
    </row>
    <row r="3235" spans="1:32" ht="14.5" customHeight="1" x14ac:dyDescent="0.35">
      <c r="A3235" t="s">
        <v>531</v>
      </c>
      <c r="B3235" t="s">
        <v>2396</v>
      </c>
      <c r="C3235" t="s">
        <v>47</v>
      </c>
      <c r="D3235">
        <v>3100769</v>
      </c>
      <c r="E3235">
        <v>3000876</v>
      </c>
      <c r="F3235" t="s">
        <v>2397</v>
      </c>
      <c r="G3235" t="s">
        <v>2397</v>
      </c>
      <c r="H3235" t="s">
        <v>54</v>
      </c>
      <c r="I3235">
        <v>6954605</v>
      </c>
      <c r="J3235" s="12">
        <v>46090</v>
      </c>
      <c r="K3235" s="12">
        <v>46090</v>
      </c>
      <c r="L3235" s="12">
        <v>46090</v>
      </c>
      <c r="M3235">
        <v>42</v>
      </c>
      <c r="N3235">
        <v>-677668</v>
      </c>
      <c r="O3235">
        <v>-677668</v>
      </c>
      <c r="P3235">
        <v>0</v>
      </c>
      <c r="Q3235">
        <v>0</v>
      </c>
      <c r="R3235">
        <v>-677668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 t="s">
        <v>47</v>
      </c>
      <c r="AA3235" t="s">
        <v>501</v>
      </c>
      <c r="AB3235" t="s">
        <v>51</v>
      </c>
      <c r="AC3235" t="s">
        <v>51</v>
      </c>
      <c r="AD3235" t="s">
        <v>51</v>
      </c>
      <c r="AE3235" t="s">
        <v>51</v>
      </c>
      <c r="AF3235" t="s">
        <v>2415</v>
      </c>
    </row>
    <row r="3236" spans="1:32" ht="14.5" customHeight="1" x14ac:dyDescent="0.35">
      <c r="A3236" t="s">
        <v>531</v>
      </c>
      <c r="B3236" t="s">
        <v>2396</v>
      </c>
      <c r="C3236" t="s">
        <v>47</v>
      </c>
      <c r="D3236">
        <v>3100769</v>
      </c>
      <c r="E3236">
        <v>3000876</v>
      </c>
      <c r="F3236" t="s">
        <v>2397</v>
      </c>
      <c r="G3236" t="s">
        <v>2397</v>
      </c>
      <c r="H3236" t="s">
        <v>54</v>
      </c>
      <c r="I3236">
        <v>6954606</v>
      </c>
      <c r="J3236" s="12">
        <v>46090</v>
      </c>
      <c r="K3236" s="12">
        <v>46090</v>
      </c>
      <c r="L3236" s="12">
        <v>46090</v>
      </c>
      <c r="M3236">
        <v>42</v>
      </c>
      <c r="N3236">
        <v>-4557784</v>
      </c>
      <c r="O3236">
        <v>-4557784</v>
      </c>
      <c r="P3236">
        <v>0</v>
      </c>
      <c r="Q3236">
        <v>0</v>
      </c>
      <c r="R3236">
        <v>-4557784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 t="s">
        <v>47</v>
      </c>
      <c r="AA3236" t="s">
        <v>501</v>
      </c>
      <c r="AB3236" t="s">
        <v>51</v>
      </c>
      <c r="AC3236" t="s">
        <v>51</v>
      </c>
      <c r="AD3236" t="s">
        <v>51</v>
      </c>
      <c r="AE3236" t="s">
        <v>51</v>
      </c>
      <c r="AF3236" t="s">
        <v>2420</v>
      </c>
    </row>
    <row r="3237" spans="1:32" ht="14.5" customHeight="1" x14ac:dyDescent="0.35">
      <c r="A3237" t="s">
        <v>531</v>
      </c>
      <c r="B3237" t="s">
        <v>2396</v>
      </c>
      <c r="C3237" t="s">
        <v>47</v>
      </c>
      <c r="D3237">
        <v>3100769</v>
      </c>
      <c r="E3237">
        <v>3000876</v>
      </c>
      <c r="F3237" t="s">
        <v>2397</v>
      </c>
      <c r="G3237" t="s">
        <v>2397</v>
      </c>
      <c r="H3237" t="s">
        <v>54</v>
      </c>
      <c r="I3237">
        <v>6954607</v>
      </c>
      <c r="J3237" s="12">
        <v>46090</v>
      </c>
      <c r="K3237" s="12">
        <v>46090</v>
      </c>
      <c r="L3237" s="12">
        <v>46090</v>
      </c>
      <c r="M3237">
        <v>42</v>
      </c>
      <c r="N3237">
        <v>-3864907</v>
      </c>
      <c r="O3237">
        <v>-3864907</v>
      </c>
      <c r="P3237">
        <v>0</v>
      </c>
      <c r="Q3237">
        <v>0</v>
      </c>
      <c r="R3237">
        <v>-3864907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 t="s">
        <v>47</v>
      </c>
      <c r="AA3237" t="s">
        <v>501</v>
      </c>
      <c r="AB3237" t="s">
        <v>51</v>
      </c>
      <c r="AC3237" t="s">
        <v>51</v>
      </c>
      <c r="AD3237" t="s">
        <v>51</v>
      </c>
      <c r="AE3237" t="s">
        <v>51</v>
      </c>
      <c r="AF3237" t="s">
        <v>2415</v>
      </c>
    </row>
    <row r="3238" spans="1:32" ht="14.5" customHeight="1" x14ac:dyDescent="0.35">
      <c r="A3238" t="s">
        <v>531</v>
      </c>
      <c r="B3238" t="s">
        <v>2396</v>
      </c>
      <c r="C3238" t="s">
        <v>47</v>
      </c>
      <c r="D3238">
        <v>3100769</v>
      </c>
      <c r="E3238">
        <v>3000876</v>
      </c>
      <c r="F3238" t="s">
        <v>2397</v>
      </c>
      <c r="G3238" t="s">
        <v>2397</v>
      </c>
      <c r="H3238" t="s">
        <v>54</v>
      </c>
      <c r="I3238">
        <v>6954608</v>
      </c>
      <c r="J3238" s="12">
        <v>46090</v>
      </c>
      <c r="K3238" s="12">
        <v>46090</v>
      </c>
      <c r="L3238" s="12">
        <v>46090</v>
      </c>
      <c r="M3238">
        <v>42</v>
      </c>
      <c r="N3238">
        <v>-632707</v>
      </c>
      <c r="O3238">
        <v>-632707</v>
      </c>
      <c r="P3238">
        <v>0</v>
      </c>
      <c r="Q3238">
        <v>0</v>
      </c>
      <c r="R3238">
        <v>-632707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 t="s">
        <v>47</v>
      </c>
      <c r="AA3238" t="s">
        <v>501</v>
      </c>
      <c r="AB3238" t="s">
        <v>51</v>
      </c>
      <c r="AC3238" t="s">
        <v>51</v>
      </c>
      <c r="AD3238" t="s">
        <v>51</v>
      </c>
      <c r="AE3238" t="s">
        <v>51</v>
      </c>
      <c r="AF3238" t="s">
        <v>2421</v>
      </c>
    </row>
    <row r="3239" spans="1:32" ht="14.5" customHeight="1" x14ac:dyDescent="0.35">
      <c r="A3239" t="s">
        <v>531</v>
      </c>
      <c r="B3239" t="s">
        <v>2396</v>
      </c>
      <c r="C3239" t="s">
        <v>47</v>
      </c>
      <c r="D3239">
        <v>3100769</v>
      </c>
      <c r="E3239">
        <v>3000876</v>
      </c>
      <c r="F3239" t="s">
        <v>2397</v>
      </c>
      <c r="G3239" t="s">
        <v>2397</v>
      </c>
      <c r="H3239" t="s">
        <v>54</v>
      </c>
      <c r="I3239">
        <v>6954609</v>
      </c>
      <c r="J3239" s="12">
        <v>46090</v>
      </c>
      <c r="K3239" s="12">
        <v>46090</v>
      </c>
      <c r="L3239" s="12">
        <v>46090</v>
      </c>
      <c r="M3239">
        <v>42</v>
      </c>
      <c r="N3239">
        <v>-151478</v>
      </c>
      <c r="O3239">
        <v>-151478</v>
      </c>
      <c r="P3239">
        <v>0</v>
      </c>
      <c r="Q3239">
        <v>0</v>
      </c>
      <c r="R3239">
        <v>-151478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 t="s">
        <v>47</v>
      </c>
      <c r="AA3239" t="s">
        <v>501</v>
      </c>
      <c r="AB3239" t="s">
        <v>51</v>
      </c>
      <c r="AC3239" t="s">
        <v>51</v>
      </c>
      <c r="AD3239" t="s">
        <v>51</v>
      </c>
      <c r="AE3239" t="s">
        <v>51</v>
      </c>
      <c r="AF3239" t="s">
        <v>2422</v>
      </c>
    </row>
    <row r="3240" spans="1:32" ht="14.5" customHeight="1" x14ac:dyDescent="0.35">
      <c r="A3240" t="s">
        <v>531</v>
      </c>
      <c r="B3240" t="s">
        <v>2396</v>
      </c>
      <c r="C3240" t="s">
        <v>47</v>
      </c>
      <c r="D3240">
        <v>3100769</v>
      </c>
      <c r="E3240">
        <v>3000876</v>
      </c>
      <c r="F3240" t="s">
        <v>2397</v>
      </c>
      <c r="G3240" t="s">
        <v>2397</v>
      </c>
      <c r="H3240" t="s">
        <v>54</v>
      </c>
      <c r="I3240">
        <v>6954667</v>
      </c>
      <c r="J3240" s="12">
        <v>46090</v>
      </c>
      <c r="K3240" s="12">
        <v>46090</v>
      </c>
      <c r="L3240" s="12">
        <v>46090</v>
      </c>
      <c r="M3240">
        <v>42</v>
      </c>
      <c r="N3240">
        <v>-346911</v>
      </c>
      <c r="O3240">
        <v>-346911</v>
      </c>
      <c r="P3240">
        <v>0</v>
      </c>
      <c r="Q3240">
        <v>0</v>
      </c>
      <c r="R3240">
        <v>-346911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 t="s">
        <v>47</v>
      </c>
      <c r="AA3240" t="s">
        <v>501</v>
      </c>
      <c r="AB3240" t="s">
        <v>51</v>
      </c>
      <c r="AC3240" t="s">
        <v>51</v>
      </c>
      <c r="AD3240" t="s">
        <v>51</v>
      </c>
      <c r="AE3240" t="s">
        <v>51</v>
      </c>
      <c r="AF3240" t="s">
        <v>2423</v>
      </c>
    </row>
    <row r="3241" spans="1:32" ht="14.5" customHeight="1" x14ac:dyDescent="0.35">
      <c r="A3241" t="s">
        <v>531</v>
      </c>
      <c r="B3241" t="s">
        <v>2396</v>
      </c>
      <c r="C3241" t="s">
        <v>47</v>
      </c>
      <c r="D3241">
        <v>3100769</v>
      </c>
      <c r="E3241">
        <v>3000876</v>
      </c>
      <c r="F3241" t="s">
        <v>2397</v>
      </c>
      <c r="G3241" t="s">
        <v>2397</v>
      </c>
      <c r="H3241" t="s">
        <v>54</v>
      </c>
      <c r="I3241">
        <v>6954668</v>
      </c>
      <c r="J3241" s="12">
        <v>46090</v>
      </c>
      <c r="K3241" s="12">
        <v>46090</v>
      </c>
      <c r="L3241" s="12">
        <v>46090</v>
      </c>
      <c r="M3241">
        <v>42</v>
      </c>
      <c r="N3241">
        <v>-996680</v>
      </c>
      <c r="O3241">
        <v>-996680</v>
      </c>
      <c r="P3241">
        <v>0</v>
      </c>
      <c r="Q3241">
        <v>0</v>
      </c>
      <c r="R3241">
        <v>-996680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 t="s">
        <v>47</v>
      </c>
      <c r="AA3241" t="s">
        <v>501</v>
      </c>
      <c r="AB3241" t="s">
        <v>51</v>
      </c>
      <c r="AC3241" t="s">
        <v>51</v>
      </c>
      <c r="AD3241" t="s">
        <v>51</v>
      </c>
      <c r="AE3241" t="s">
        <v>51</v>
      </c>
      <c r="AF3241" t="s">
        <v>2424</v>
      </c>
    </row>
    <row r="3242" spans="1:32" ht="14.5" customHeight="1" x14ac:dyDescent="0.35">
      <c r="A3242" t="s">
        <v>531</v>
      </c>
      <c r="B3242" t="s">
        <v>2396</v>
      </c>
      <c r="C3242" t="s">
        <v>47</v>
      </c>
      <c r="D3242">
        <v>3100769</v>
      </c>
      <c r="E3242">
        <v>3000878</v>
      </c>
      <c r="F3242" t="s">
        <v>2397</v>
      </c>
      <c r="G3242" t="s">
        <v>2397</v>
      </c>
      <c r="H3242" t="s">
        <v>54</v>
      </c>
      <c r="I3242">
        <v>6954669</v>
      </c>
      <c r="J3242" s="12">
        <v>46090</v>
      </c>
      <c r="K3242" s="12">
        <v>46090</v>
      </c>
      <c r="L3242" s="12">
        <v>46090</v>
      </c>
      <c r="M3242">
        <v>42</v>
      </c>
      <c r="N3242">
        <v>-102473</v>
      </c>
      <c r="O3242">
        <v>-102473</v>
      </c>
      <c r="P3242">
        <v>0</v>
      </c>
      <c r="Q3242">
        <v>0</v>
      </c>
      <c r="R3242">
        <v>-102473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 t="s">
        <v>47</v>
      </c>
      <c r="AA3242" t="s">
        <v>501</v>
      </c>
      <c r="AB3242" t="s">
        <v>51</v>
      </c>
      <c r="AC3242" t="s">
        <v>51</v>
      </c>
      <c r="AD3242" t="s">
        <v>51</v>
      </c>
      <c r="AE3242" t="s">
        <v>51</v>
      </c>
      <c r="AF3242" t="s">
        <v>2425</v>
      </c>
    </row>
    <row r="3243" spans="1:32" ht="14.5" customHeight="1" x14ac:dyDescent="0.35">
      <c r="A3243" t="s">
        <v>531</v>
      </c>
      <c r="B3243" t="s">
        <v>2396</v>
      </c>
      <c r="C3243" t="s">
        <v>47</v>
      </c>
      <c r="D3243">
        <v>3100769</v>
      </c>
      <c r="E3243">
        <v>3000878</v>
      </c>
      <c r="F3243" t="s">
        <v>2397</v>
      </c>
      <c r="G3243" t="s">
        <v>2397</v>
      </c>
      <c r="H3243" t="s">
        <v>54</v>
      </c>
      <c r="I3243">
        <v>6954670</v>
      </c>
      <c r="J3243" s="12">
        <v>46090</v>
      </c>
      <c r="K3243" s="12">
        <v>46090</v>
      </c>
      <c r="L3243" s="12">
        <v>46090</v>
      </c>
      <c r="M3243">
        <v>42</v>
      </c>
      <c r="N3243">
        <v>-490889</v>
      </c>
      <c r="O3243">
        <v>-490889</v>
      </c>
      <c r="P3243">
        <v>0</v>
      </c>
      <c r="Q3243">
        <v>0</v>
      </c>
      <c r="R3243">
        <v>-490889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 t="s">
        <v>47</v>
      </c>
      <c r="AA3243" t="s">
        <v>501</v>
      </c>
      <c r="AB3243" t="s">
        <v>51</v>
      </c>
      <c r="AC3243" t="s">
        <v>51</v>
      </c>
      <c r="AD3243" t="s">
        <v>51</v>
      </c>
      <c r="AE3243" t="s">
        <v>51</v>
      </c>
      <c r="AF3243" t="s">
        <v>2426</v>
      </c>
    </row>
    <row r="3244" spans="1:32" ht="14.5" customHeight="1" x14ac:dyDescent="0.35">
      <c r="A3244" t="s">
        <v>531</v>
      </c>
      <c r="B3244" t="s">
        <v>2396</v>
      </c>
      <c r="C3244" t="s">
        <v>47</v>
      </c>
      <c r="D3244">
        <v>3100769</v>
      </c>
      <c r="E3244">
        <v>3000878</v>
      </c>
      <c r="F3244" t="s">
        <v>2397</v>
      </c>
      <c r="G3244" t="s">
        <v>2397</v>
      </c>
      <c r="H3244" t="s">
        <v>54</v>
      </c>
      <c r="I3244">
        <v>6954671</v>
      </c>
      <c r="J3244" s="12">
        <v>46090</v>
      </c>
      <c r="K3244" s="12">
        <v>46090</v>
      </c>
      <c r="L3244" s="12">
        <v>46090</v>
      </c>
      <c r="M3244">
        <v>42</v>
      </c>
      <c r="N3244">
        <v>-388059</v>
      </c>
      <c r="O3244">
        <v>-388059</v>
      </c>
      <c r="P3244">
        <v>0</v>
      </c>
      <c r="Q3244">
        <v>0</v>
      </c>
      <c r="R3244">
        <v>-388059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 t="s">
        <v>47</v>
      </c>
      <c r="AA3244" t="s">
        <v>501</v>
      </c>
      <c r="AB3244" t="s">
        <v>51</v>
      </c>
      <c r="AC3244" t="s">
        <v>51</v>
      </c>
      <c r="AD3244" t="s">
        <v>51</v>
      </c>
      <c r="AE3244" t="s">
        <v>51</v>
      </c>
      <c r="AF3244" t="s">
        <v>2425</v>
      </c>
    </row>
    <row r="3245" spans="1:32" ht="14.5" customHeight="1" x14ac:dyDescent="0.35">
      <c r="A3245" t="s">
        <v>531</v>
      </c>
      <c r="B3245" t="s">
        <v>2396</v>
      </c>
      <c r="C3245" t="s">
        <v>47</v>
      </c>
      <c r="D3245">
        <v>3100769</v>
      </c>
      <c r="E3245">
        <v>3000878</v>
      </c>
      <c r="F3245" t="s">
        <v>2397</v>
      </c>
      <c r="G3245" t="s">
        <v>2397</v>
      </c>
      <c r="H3245" t="s">
        <v>54</v>
      </c>
      <c r="I3245">
        <v>6954672</v>
      </c>
      <c r="J3245" s="12">
        <v>46090</v>
      </c>
      <c r="K3245" s="12">
        <v>46090</v>
      </c>
      <c r="L3245" s="12">
        <v>46090</v>
      </c>
      <c r="M3245">
        <v>42</v>
      </c>
      <c r="N3245">
        <v>-1421135</v>
      </c>
      <c r="O3245">
        <v>-1421135</v>
      </c>
      <c r="P3245">
        <v>0</v>
      </c>
      <c r="Q3245">
        <v>0</v>
      </c>
      <c r="R3245">
        <v>-1421135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 t="s">
        <v>47</v>
      </c>
      <c r="AA3245" t="s">
        <v>501</v>
      </c>
      <c r="AB3245" t="s">
        <v>51</v>
      </c>
      <c r="AC3245" t="s">
        <v>51</v>
      </c>
      <c r="AD3245" t="s">
        <v>51</v>
      </c>
      <c r="AE3245" t="s">
        <v>51</v>
      </c>
      <c r="AF3245" t="s">
        <v>2427</v>
      </c>
    </row>
    <row r="3246" spans="1:32" ht="14.5" customHeight="1" x14ac:dyDescent="0.35">
      <c r="A3246" t="s">
        <v>531</v>
      </c>
      <c r="B3246" t="s">
        <v>2396</v>
      </c>
      <c r="C3246" t="s">
        <v>47</v>
      </c>
      <c r="D3246">
        <v>3100769</v>
      </c>
      <c r="E3246">
        <v>3000878</v>
      </c>
      <c r="F3246" t="s">
        <v>2397</v>
      </c>
      <c r="G3246" t="s">
        <v>2397</v>
      </c>
      <c r="H3246" t="s">
        <v>54</v>
      </c>
      <c r="I3246">
        <v>6954673</v>
      </c>
      <c r="J3246" s="12">
        <v>46090</v>
      </c>
      <c r="K3246" s="12">
        <v>46090</v>
      </c>
      <c r="L3246" s="12">
        <v>46090</v>
      </c>
      <c r="M3246">
        <v>42</v>
      </c>
      <c r="N3246">
        <v>-1583205</v>
      </c>
      <c r="O3246">
        <v>-1583205</v>
      </c>
      <c r="P3246">
        <v>0</v>
      </c>
      <c r="Q3246">
        <v>0</v>
      </c>
      <c r="R3246">
        <v>-1583205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 t="s">
        <v>47</v>
      </c>
      <c r="AA3246" t="s">
        <v>501</v>
      </c>
      <c r="AB3246" t="s">
        <v>51</v>
      </c>
      <c r="AC3246" t="s">
        <v>51</v>
      </c>
      <c r="AD3246" t="s">
        <v>51</v>
      </c>
      <c r="AE3246" t="s">
        <v>51</v>
      </c>
      <c r="AF3246" t="s">
        <v>2428</v>
      </c>
    </row>
    <row r="3247" spans="1:32" ht="14.5" customHeight="1" x14ac:dyDescent="0.35">
      <c r="A3247" t="s">
        <v>531</v>
      </c>
      <c r="B3247" t="s">
        <v>2396</v>
      </c>
      <c r="C3247" t="s">
        <v>47</v>
      </c>
      <c r="D3247">
        <v>3100769</v>
      </c>
      <c r="E3247">
        <v>3000878</v>
      </c>
      <c r="F3247" t="s">
        <v>2397</v>
      </c>
      <c r="G3247" t="s">
        <v>2397</v>
      </c>
      <c r="H3247" t="s">
        <v>54</v>
      </c>
      <c r="I3247">
        <v>6954674</v>
      </c>
      <c r="J3247" s="12">
        <v>46090</v>
      </c>
      <c r="K3247" s="12">
        <v>46090</v>
      </c>
      <c r="L3247" s="12">
        <v>46090</v>
      </c>
      <c r="M3247">
        <v>42</v>
      </c>
      <c r="N3247">
        <v>-309527</v>
      </c>
      <c r="O3247">
        <v>-309527</v>
      </c>
      <c r="P3247">
        <v>0</v>
      </c>
      <c r="Q3247">
        <v>0</v>
      </c>
      <c r="R3247">
        <v>-309527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 t="s">
        <v>47</v>
      </c>
      <c r="AA3247" t="s">
        <v>501</v>
      </c>
      <c r="AB3247" t="s">
        <v>51</v>
      </c>
      <c r="AC3247" t="s">
        <v>51</v>
      </c>
      <c r="AD3247" t="s">
        <v>51</v>
      </c>
      <c r="AE3247" t="s">
        <v>51</v>
      </c>
      <c r="AF3247" t="s">
        <v>2398</v>
      </c>
    </row>
    <row r="3248" spans="1:32" ht="14.5" customHeight="1" x14ac:dyDescent="0.35">
      <c r="A3248" t="s">
        <v>531</v>
      </c>
      <c r="B3248" t="s">
        <v>2396</v>
      </c>
      <c r="C3248" t="s">
        <v>47</v>
      </c>
      <c r="D3248">
        <v>3100769</v>
      </c>
      <c r="E3248">
        <v>3000878</v>
      </c>
      <c r="F3248" t="s">
        <v>2397</v>
      </c>
      <c r="G3248" t="s">
        <v>2397</v>
      </c>
      <c r="H3248" t="s">
        <v>54</v>
      </c>
      <c r="I3248">
        <v>6954675</v>
      </c>
      <c r="J3248" s="12">
        <v>46090</v>
      </c>
      <c r="K3248" s="12">
        <v>46090</v>
      </c>
      <c r="L3248" s="12">
        <v>46090</v>
      </c>
      <c r="M3248">
        <v>42</v>
      </c>
      <c r="N3248">
        <v>-153408</v>
      </c>
      <c r="O3248">
        <v>-153408</v>
      </c>
      <c r="P3248">
        <v>0</v>
      </c>
      <c r="Q3248">
        <v>0</v>
      </c>
      <c r="R3248">
        <v>-153408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 t="s">
        <v>47</v>
      </c>
      <c r="AA3248" t="s">
        <v>501</v>
      </c>
      <c r="AB3248" t="s">
        <v>51</v>
      </c>
      <c r="AC3248" t="s">
        <v>51</v>
      </c>
      <c r="AD3248" t="s">
        <v>51</v>
      </c>
      <c r="AE3248" t="s">
        <v>51</v>
      </c>
      <c r="AF3248" t="s">
        <v>2401</v>
      </c>
    </row>
    <row r="3249" spans="1:32" ht="14.5" customHeight="1" x14ac:dyDescent="0.35">
      <c r="A3249" t="s">
        <v>531</v>
      </c>
      <c r="B3249" t="s">
        <v>2396</v>
      </c>
      <c r="C3249" t="s">
        <v>47</v>
      </c>
      <c r="D3249">
        <v>3100769</v>
      </c>
      <c r="E3249">
        <v>3000878</v>
      </c>
      <c r="F3249" t="s">
        <v>2397</v>
      </c>
      <c r="G3249" t="s">
        <v>2397</v>
      </c>
      <c r="H3249" t="s">
        <v>54</v>
      </c>
      <c r="I3249">
        <v>6954676</v>
      </c>
      <c r="J3249" s="12">
        <v>46090</v>
      </c>
      <c r="K3249" s="12">
        <v>46090</v>
      </c>
      <c r="L3249" s="12">
        <v>46090</v>
      </c>
      <c r="M3249">
        <v>42</v>
      </c>
      <c r="N3249">
        <v>-162579</v>
      </c>
      <c r="O3249">
        <v>-162579</v>
      </c>
      <c r="P3249">
        <v>0</v>
      </c>
      <c r="Q3249">
        <v>0</v>
      </c>
      <c r="R3249">
        <v>-162579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 t="s">
        <v>47</v>
      </c>
      <c r="AA3249" t="s">
        <v>501</v>
      </c>
      <c r="AB3249" t="s">
        <v>51</v>
      </c>
      <c r="AC3249" t="s">
        <v>51</v>
      </c>
      <c r="AD3249" t="s">
        <v>51</v>
      </c>
      <c r="AE3249" t="s">
        <v>51</v>
      </c>
      <c r="AF3249" t="s">
        <v>2401</v>
      </c>
    </row>
    <row r="3250" spans="1:32" ht="14.5" customHeight="1" x14ac:dyDescent="0.35">
      <c r="A3250" t="s">
        <v>531</v>
      </c>
      <c r="B3250" t="s">
        <v>2396</v>
      </c>
      <c r="C3250" t="s">
        <v>47</v>
      </c>
      <c r="D3250">
        <v>3100769</v>
      </c>
      <c r="E3250">
        <v>3000878</v>
      </c>
      <c r="F3250" t="s">
        <v>2397</v>
      </c>
      <c r="G3250" t="s">
        <v>2397</v>
      </c>
      <c r="H3250" t="s">
        <v>54</v>
      </c>
      <c r="I3250">
        <v>6954677</v>
      </c>
      <c r="J3250" s="12">
        <v>46090</v>
      </c>
      <c r="K3250" s="12">
        <v>46090</v>
      </c>
      <c r="L3250" s="12">
        <v>46090</v>
      </c>
      <c r="M3250">
        <v>42</v>
      </c>
      <c r="N3250">
        <v>-543124</v>
      </c>
      <c r="O3250">
        <v>-543124</v>
      </c>
      <c r="P3250">
        <v>0</v>
      </c>
      <c r="Q3250">
        <v>0</v>
      </c>
      <c r="R3250">
        <v>-543124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 t="s">
        <v>47</v>
      </c>
      <c r="AA3250" t="s">
        <v>501</v>
      </c>
      <c r="AB3250" t="s">
        <v>51</v>
      </c>
      <c r="AC3250" t="s">
        <v>51</v>
      </c>
      <c r="AD3250" t="s">
        <v>51</v>
      </c>
      <c r="AE3250" t="s">
        <v>51</v>
      </c>
      <c r="AF3250" t="s">
        <v>2429</v>
      </c>
    </row>
    <row r="3251" spans="1:32" ht="14.5" customHeight="1" x14ac:dyDescent="0.35">
      <c r="A3251" t="s">
        <v>531</v>
      </c>
      <c r="B3251" t="s">
        <v>2396</v>
      </c>
      <c r="C3251" t="s">
        <v>47</v>
      </c>
      <c r="D3251">
        <v>3100769</v>
      </c>
      <c r="E3251">
        <v>3000878</v>
      </c>
      <c r="F3251" t="s">
        <v>2397</v>
      </c>
      <c r="G3251" t="s">
        <v>2397</v>
      </c>
      <c r="H3251" t="s">
        <v>54</v>
      </c>
      <c r="I3251">
        <v>6954678</v>
      </c>
      <c r="J3251" s="12">
        <v>46090</v>
      </c>
      <c r="K3251" s="12">
        <v>46090</v>
      </c>
      <c r="L3251" s="12">
        <v>46090</v>
      </c>
      <c r="M3251">
        <v>42</v>
      </c>
      <c r="N3251">
        <v>-257616</v>
      </c>
      <c r="O3251">
        <v>-257616</v>
      </c>
      <c r="P3251">
        <v>0</v>
      </c>
      <c r="Q3251">
        <v>0</v>
      </c>
      <c r="R3251">
        <v>-257616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 t="s">
        <v>47</v>
      </c>
      <c r="AA3251" t="s">
        <v>501</v>
      </c>
      <c r="AB3251" t="s">
        <v>51</v>
      </c>
      <c r="AC3251" t="s">
        <v>51</v>
      </c>
      <c r="AD3251" t="s">
        <v>51</v>
      </c>
      <c r="AE3251" t="s">
        <v>51</v>
      </c>
      <c r="AF3251" t="s">
        <v>2430</v>
      </c>
    </row>
    <row r="3252" spans="1:32" ht="14.5" customHeight="1" x14ac:dyDescent="0.35">
      <c r="A3252" t="s">
        <v>531</v>
      </c>
      <c r="B3252" t="s">
        <v>2396</v>
      </c>
      <c r="C3252" t="s">
        <v>47</v>
      </c>
      <c r="D3252">
        <v>3100769</v>
      </c>
      <c r="E3252">
        <v>3000878</v>
      </c>
      <c r="F3252" t="s">
        <v>2397</v>
      </c>
      <c r="G3252" t="s">
        <v>2397</v>
      </c>
      <c r="H3252" t="s">
        <v>54</v>
      </c>
      <c r="I3252">
        <v>6954679</v>
      </c>
      <c r="J3252" s="12">
        <v>46090</v>
      </c>
      <c r="K3252" s="12">
        <v>46090</v>
      </c>
      <c r="L3252" s="12">
        <v>46090</v>
      </c>
      <c r="M3252">
        <v>42</v>
      </c>
      <c r="N3252">
        <v>-112200</v>
      </c>
      <c r="O3252">
        <v>-112200</v>
      </c>
      <c r="P3252">
        <v>0</v>
      </c>
      <c r="Q3252">
        <v>0</v>
      </c>
      <c r="R3252">
        <v>-112200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 t="s">
        <v>47</v>
      </c>
      <c r="AA3252" t="s">
        <v>501</v>
      </c>
      <c r="AB3252" t="s">
        <v>51</v>
      </c>
      <c r="AC3252" t="s">
        <v>51</v>
      </c>
      <c r="AD3252" t="s">
        <v>51</v>
      </c>
      <c r="AE3252" t="s">
        <v>51</v>
      </c>
      <c r="AF3252" t="s">
        <v>2431</v>
      </c>
    </row>
    <row r="3253" spans="1:32" ht="14.5" customHeight="1" x14ac:dyDescent="0.35">
      <c r="A3253" t="s">
        <v>531</v>
      </c>
      <c r="B3253" t="s">
        <v>2396</v>
      </c>
      <c r="C3253" t="s">
        <v>47</v>
      </c>
      <c r="D3253">
        <v>3100769</v>
      </c>
      <c r="E3253">
        <v>3000878</v>
      </c>
      <c r="F3253" t="s">
        <v>2397</v>
      </c>
      <c r="G3253" t="s">
        <v>2397</v>
      </c>
      <c r="H3253" t="s">
        <v>54</v>
      </c>
      <c r="I3253">
        <v>6954680</v>
      </c>
      <c r="J3253" s="12">
        <v>46090</v>
      </c>
      <c r="K3253" s="12">
        <v>46090</v>
      </c>
      <c r="L3253" s="12">
        <v>46090</v>
      </c>
      <c r="M3253">
        <v>42</v>
      </c>
      <c r="N3253">
        <v>-170803</v>
      </c>
      <c r="O3253">
        <v>-170803</v>
      </c>
      <c r="P3253">
        <v>0</v>
      </c>
      <c r="Q3253">
        <v>0</v>
      </c>
      <c r="R3253">
        <v>-170803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 t="s">
        <v>47</v>
      </c>
      <c r="AA3253" t="s">
        <v>501</v>
      </c>
      <c r="AB3253" t="s">
        <v>51</v>
      </c>
      <c r="AC3253" t="s">
        <v>51</v>
      </c>
      <c r="AD3253" t="s">
        <v>51</v>
      </c>
      <c r="AE3253" t="s">
        <v>51</v>
      </c>
      <c r="AF3253" t="s">
        <v>2432</v>
      </c>
    </row>
    <row r="3254" spans="1:32" ht="14.5" customHeight="1" x14ac:dyDescent="0.35">
      <c r="A3254" t="s">
        <v>531</v>
      </c>
      <c r="B3254" t="s">
        <v>2396</v>
      </c>
      <c r="C3254" t="s">
        <v>47</v>
      </c>
      <c r="D3254">
        <v>3100769</v>
      </c>
      <c r="E3254">
        <v>3000878</v>
      </c>
      <c r="F3254" t="s">
        <v>2397</v>
      </c>
      <c r="G3254" t="s">
        <v>2397</v>
      </c>
      <c r="H3254" t="s">
        <v>54</v>
      </c>
      <c r="I3254">
        <v>6954681</v>
      </c>
      <c r="J3254" s="12">
        <v>46090</v>
      </c>
      <c r="K3254" s="12">
        <v>46090</v>
      </c>
      <c r="L3254" s="12">
        <v>46090</v>
      </c>
      <c r="M3254">
        <v>42</v>
      </c>
      <c r="N3254">
        <v>-186276</v>
      </c>
      <c r="O3254">
        <v>-186276</v>
      </c>
      <c r="P3254">
        <v>0</v>
      </c>
      <c r="Q3254">
        <v>0</v>
      </c>
      <c r="R3254">
        <v>-186276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 t="s">
        <v>47</v>
      </c>
      <c r="AA3254" t="s">
        <v>501</v>
      </c>
      <c r="AB3254" t="s">
        <v>51</v>
      </c>
      <c r="AC3254" t="s">
        <v>51</v>
      </c>
      <c r="AD3254" t="s">
        <v>51</v>
      </c>
      <c r="AE3254" t="s">
        <v>51</v>
      </c>
      <c r="AF3254" t="s">
        <v>2433</v>
      </c>
    </row>
    <row r="3255" spans="1:32" ht="14.5" customHeight="1" x14ac:dyDescent="0.35">
      <c r="A3255" t="s">
        <v>531</v>
      </c>
      <c r="B3255" t="s">
        <v>2396</v>
      </c>
      <c r="C3255" t="s">
        <v>47</v>
      </c>
      <c r="D3255">
        <v>3100769</v>
      </c>
      <c r="E3255">
        <v>3000878</v>
      </c>
      <c r="F3255" t="s">
        <v>2397</v>
      </c>
      <c r="G3255" t="s">
        <v>2397</v>
      </c>
      <c r="H3255" t="s">
        <v>54</v>
      </c>
      <c r="I3255">
        <v>6954682</v>
      </c>
      <c r="J3255" s="12">
        <v>46090</v>
      </c>
      <c r="K3255" s="12">
        <v>46090</v>
      </c>
      <c r="L3255" s="12">
        <v>46090</v>
      </c>
      <c r="M3255">
        <v>42</v>
      </c>
      <c r="N3255">
        <v>-120406</v>
      </c>
      <c r="O3255">
        <v>-120406</v>
      </c>
      <c r="P3255">
        <v>0</v>
      </c>
      <c r="Q3255">
        <v>0</v>
      </c>
      <c r="R3255">
        <v>-120406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 t="s">
        <v>47</v>
      </c>
      <c r="AA3255" t="s">
        <v>501</v>
      </c>
      <c r="AB3255" t="s">
        <v>51</v>
      </c>
      <c r="AC3255" t="s">
        <v>51</v>
      </c>
      <c r="AD3255" t="s">
        <v>51</v>
      </c>
      <c r="AE3255" t="s">
        <v>51</v>
      </c>
      <c r="AF3255" t="s">
        <v>2434</v>
      </c>
    </row>
    <row r="3256" spans="1:32" ht="14.5" customHeight="1" x14ac:dyDescent="0.35">
      <c r="A3256" t="s">
        <v>531</v>
      </c>
      <c r="B3256" t="s">
        <v>2396</v>
      </c>
      <c r="C3256" t="s">
        <v>47</v>
      </c>
      <c r="D3256">
        <v>3100769</v>
      </c>
      <c r="E3256">
        <v>3000878</v>
      </c>
      <c r="F3256" t="s">
        <v>2397</v>
      </c>
      <c r="G3256" t="s">
        <v>2397</v>
      </c>
      <c r="H3256" t="s">
        <v>54</v>
      </c>
      <c r="I3256">
        <v>6954683</v>
      </c>
      <c r="J3256" s="12">
        <v>46090</v>
      </c>
      <c r="K3256" s="12">
        <v>46090</v>
      </c>
      <c r="L3256" s="12">
        <v>46090</v>
      </c>
      <c r="M3256">
        <v>42</v>
      </c>
      <c r="N3256">
        <v>-1343011</v>
      </c>
      <c r="O3256">
        <v>-1343011</v>
      </c>
      <c r="P3256">
        <v>0</v>
      </c>
      <c r="Q3256">
        <v>0</v>
      </c>
      <c r="R3256">
        <v>-1343011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 t="s">
        <v>47</v>
      </c>
      <c r="AA3256" t="s">
        <v>501</v>
      </c>
      <c r="AB3256" t="s">
        <v>51</v>
      </c>
      <c r="AC3256" t="s">
        <v>51</v>
      </c>
      <c r="AD3256" t="s">
        <v>51</v>
      </c>
      <c r="AE3256" t="s">
        <v>51</v>
      </c>
      <c r="AF3256" t="s">
        <v>2435</v>
      </c>
    </row>
    <row r="3257" spans="1:32" ht="14.5" customHeight="1" x14ac:dyDescent="0.35">
      <c r="A3257" t="s">
        <v>531</v>
      </c>
      <c r="B3257" t="s">
        <v>2396</v>
      </c>
      <c r="C3257" t="s">
        <v>47</v>
      </c>
      <c r="D3257">
        <v>3100769</v>
      </c>
      <c r="E3257">
        <v>3000878</v>
      </c>
      <c r="F3257" t="s">
        <v>2397</v>
      </c>
      <c r="G3257" t="s">
        <v>2397</v>
      </c>
      <c r="H3257" t="s">
        <v>54</v>
      </c>
      <c r="I3257">
        <v>6954684</v>
      </c>
      <c r="J3257" s="12">
        <v>46090</v>
      </c>
      <c r="K3257" s="12">
        <v>46090</v>
      </c>
      <c r="L3257" s="12">
        <v>46090</v>
      </c>
      <c r="M3257">
        <v>42</v>
      </c>
      <c r="N3257">
        <v>-936908</v>
      </c>
      <c r="O3257">
        <v>-936908</v>
      </c>
      <c r="P3257">
        <v>0</v>
      </c>
      <c r="Q3257">
        <v>0</v>
      </c>
      <c r="R3257">
        <v>-936908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 t="s">
        <v>47</v>
      </c>
      <c r="AA3257" t="s">
        <v>501</v>
      </c>
      <c r="AB3257" t="s">
        <v>51</v>
      </c>
      <c r="AC3257" t="s">
        <v>51</v>
      </c>
      <c r="AD3257" t="s">
        <v>51</v>
      </c>
      <c r="AE3257" t="s">
        <v>51</v>
      </c>
      <c r="AF3257" t="s">
        <v>2436</v>
      </c>
    </row>
    <row r="3258" spans="1:32" ht="14.5" customHeight="1" x14ac:dyDescent="0.35">
      <c r="A3258" t="s">
        <v>531</v>
      </c>
      <c r="B3258" t="s">
        <v>2396</v>
      </c>
      <c r="C3258" t="s">
        <v>47</v>
      </c>
      <c r="D3258">
        <v>3100769</v>
      </c>
      <c r="E3258">
        <v>3000878</v>
      </c>
      <c r="F3258" t="s">
        <v>2397</v>
      </c>
      <c r="G3258" t="s">
        <v>2397</v>
      </c>
      <c r="H3258" t="s">
        <v>54</v>
      </c>
      <c r="I3258">
        <v>6954685</v>
      </c>
      <c r="J3258" s="12">
        <v>46090</v>
      </c>
      <c r="K3258" s="12">
        <v>46090</v>
      </c>
      <c r="L3258" s="12">
        <v>46090</v>
      </c>
      <c r="M3258">
        <v>42</v>
      </c>
      <c r="N3258">
        <v>-244312</v>
      </c>
      <c r="O3258">
        <v>-244312</v>
      </c>
      <c r="P3258">
        <v>0</v>
      </c>
      <c r="Q3258">
        <v>0</v>
      </c>
      <c r="R3258">
        <v>-244312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 t="s">
        <v>47</v>
      </c>
      <c r="AA3258" t="s">
        <v>501</v>
      </c>
      <c r="AB3258" t="s">
        <v>51</v>
      </c>
      <c r="AC3258" t="s">
        <v>51</v>
      </c>
      <c r="AD3258" t="s">
        <v>51</v>
      </c>
      <c r="AE3258" t="s">
        <v>51</v>
      </c>
      <c r="AF3258" t="s">
        <v>2437</v>
      </c>
    </row>
    <row r="3259" spans="1:32" ht="14.5" customHeight="1" x14ac:dyDescent="0.35">
      <c r="A3259" t="s">
        <v>531</v>
      </c>
      <c r="B3259" t="s">
        <v>2396</v>
      </c>
      <c r="C3259" t="s">
        <v>47</v>
      </c>
      <c r="D3259">
        <v>3100769</v>
      </c>
      <c r="E3259">
        <v>3000878</v>
      </c>
      <c r="F3259" t="s">
        <v>2397</v>
      </c>
      <c r="G3259" t="s">
        <v>2397</v>
      </c>
      <c r="H3259" t="s">
        <v>54</v>
      </c>
      <c r="I3259">
        <v>6954686</v>
      </c>
      <c r="J3259" s="12">
        <v>46090</v>
      </c>
      <c r="K3259" s="12">
        <v>46090</v>
      </c>
      <c r="L3259" s="12">
        <v>46090</v>
      </c>
      <c r="M3259">
        <v>42</v>
      </c>
      <c r="N3259">
        <v>-4456584</v>
      </c>
      <c r="O3259">
        <v>-4456584</v>
      </c>
      <c r="P3259">
        <v>0</v>
      </c>
      <c r="Q3259">
        <v>0</v>
      </c>
      <c r="R3259">
        <v>-4456584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 t="s">
        <v>47</v>
      </c>
      <c r="AA3259" t="s">
        <v>501</v>
      </c>
      <c r="AB3259" t="s">
        <v>51</v>
      </c>
      <c r="AC3259" t="s">
        <v>51</v>
      </c>
      <c r="AD3259" t="s">
        <v>51</v>
      </c>
      <c r="AE3259" t="s">
        <v>51</v>
      </c>
      <c r="AF3259" t="s">
        <v>2438</v>
      </c>
    </row>
    <row r="3260" spans="1:32" ht="14.5" customHeight="1" x14ac:dyDescent="0.35">
      <c r="A3260" t="s">
        <v>531</v>
      </c>
      <c r="B3260" t="s">
        <v>2396</v>
      </c>
      <c r="C3260" t="s">
        <v>47</v>
      </c>
      <c r="D3260">
        <v>3100769</v>
      </c>
      <c r="E3260">
        <v>3000878</v>
      </c>
      <c r="F3260" t="s">
        <v>2397</v>
      </c>
      <c r="G3260" t="s">
        <v>2397</v>
      </c>
      <c r="H3260" t="s">
        <v>54</v>
      </c>
      <c r="I3260">
        <v>6954687</v>
      </c>
      <c r="J3260" s="12">
        <v>46090</v>
      </c>
      <c r="K3260" s="12">
        <v>46090</v>
      </c>
      <c r="L3260" s="12">
        <v>46090</v>
      </c>
      <c r="M3260">
        <v>42</v>
      </c>
      <c r="N3260">
        <v>-255031</v>
      </c>
      <c r="O3260">
        <v>-255031</v>
      </c>
      <c r="P3260">
        <v>0</v>
      </c>
      <c r="Q3260">
        <v>0</v>
      </c>
      <c r="R3260">
        <v>-255031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 t="s">
        <v>47</v>
      </c>
      <c r="AA3260" t="s">
        <v>501</v>
      </c>
      <c r="AB3260" t="s">
        <v>51</v>
      </c>
      <c r="AC3260" t="s">
        <v>51</v>
      </c>
      <c r="AD3260" t="s">
        <v>51</v>
      </c>
      <c r="AE3260" t="s">
        <v>51</v>
      </c>
      <c r="AF3260" t="s">
        <v>2439</v>
      </c>
    </row>
    <row r="3261" spans="1:32" ht="14.5" customHeight="1" x14ac:dyDescent="0.35">
      <c r="A3261" t="s">
        <v>531</v>
      </c>
      <c r="B3261" t="s">
        <v>2396</v>
      </c>
      <c r="C3261" t="s">
        <v>47</v>
      </c>
      <c r="D3261">
        <v>3100769</v>
      </c>
      <c r="E3261">
        <v>3000878</v>
      </c>
      <c r="F3261" t="s">
        <v>2397</v>
      </c>
      <c r="G3261" t="s">
        <v>2397</v>
      </c>
      <c r="H3261" t="s">
        <v>54</v>
      </c>
      <c r="I3261">
        <v>6954688</v>
      </c>
      <c r="J3261" s="12">
        <v>46090</v>
      </c>
      <c r="K3261" s="12">
        <v>46090</v>
      </c>
      <c r="L3261" s="12">
        <v>46090</v>
      </c>
      <c r="M3261">
        <v>42</v>
      </c>
      <c r="N3261">
        <v>-452054</v>
      </c>
      <c r="O3261">
        <v>-452054</v>
      </c>
      <c r="P3261">
        <v>0</v>
      </c>
      <c r="Q3261">
        <v>0</v>
      </c>
      <c r="R3261">
        <v>-452054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 t="s">
        <v>47</v>
      </c>
      <c r="AA3261" t="s">
        <v>501</v>
      </c>
      <c r="AB3261" t="s">
        <v>51</v>
      </c>
      <c r="AC3261" t="s">
        <v>51</v>
      </c>
      <c r="AD3261" t="s">
        <v>51</v>
      </c>
      <c r="AE3261" t="s">
        <v>51</v>
      </c>
      <c r="AF3261" t="s">
        <v>2440</v>
      </c>
    </row>
    <row r="3262" spans="1:32" ht="14.5" customHeight="1" x14ac:dyDescent="0.35">
      <c r="A3262" t="s">
        <v>531</v>
      </c>
      <c r="B3262" t="s">
        <v>2396</v>
      </c>
      <c r="C3262" t="s">
        <v>47</v>
      </c>
      <c r="D3262">
        <v>3100769</v>
      </c>
      <c r="E3262">
        <v>3000878</v>
      </c>
      <c r="F3262" t="s">
        <v>2397</v>
      </c>
      <c r="G3262" t="s">
        <v>2397</v>
      </c>
      <c r="H3262" t="s">
        <v>54</v>
      </c>
      <c r="I3262">
        <v>6954696</v>
      </c>
      <c r="J3262" s="12">
        <v>46090</v>
      </c>
      <c r="K3262" s="12">
        <v>46090</v>
      </c>
      <c r="L3262" s="12">
        <v>46090</v>
      </c>
      <c r="M3262">
        <v>42</v>
      </c>
      <c r="N3262">
        <v>-416859</v>
      </c>
      <c r="O3262">
        <v>-416859</v>
      </c>
      <c r="P3262">
        <v>0</v>
      </c>
      <c r="Q3262">
        <v>0</v>
      </c>
      <c r="R3262">
        <v>-416859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 t="s">
        <v>47</v>
      </c>
      <c r="AA3262" t="s">
        <v>501</v>
      </c>
      <c r="AB3262" t="s">
        <v>51</v>
      </c>
      <c r="AC3262" t="s">
        <v>51</v>
      </c>
      <c r="AD3262" t="s">
        <v>51</v>
      </c>
      <c r="AE3262" t="s">
        <v>51</v>
      </c>
      <c r="AF3262" t="s">
        <v>2441</v>
      </c>
    </row>
    <row r="3263" spans="1:32" ht="14.5" customHeight="1" x14ac:dyDescent="0.35">
      <c r="A3263" t="s">
        <v>531</v>
      </c>
      <c r="B3263" t="s">
        <v>2396</v>
      </c>
      <c r="C3263" t="s">
        <v>47</v>
      </c>
      <c r="D3263">
        <v>3100769</v>
      </c>
      <c r="E3263">
        <v>3000878</v>
      </c>
      <c r="F3263" t="s">
        <v>2397</v>
      </c>
      <c r="G3263" t="s">
        <v>2397</v>
      </c>
      <c r="H3263" t="s">
        <v>54</v>
      </c>
      <c r="I3263">
        <v>6954697</v>
      </c>
      <c r="J3263" s="12">
        <v>46090</v>
      </c>
      <c r="K3263" s="12">
        <v>46090</v>
      </c>
      <c r="L3263" s="12">
        <v>46090</v>
      </c>
      <c r="M3263">
        <v>42</v>
      </c>
      <c r="N3263">
        <v>-994792</v>
      </c>
      <c r="O3263">
        <v>-994792</v>
      </c>
      <c r="P3263">
        <v>0</v>
      </c>
      <c r="Q3263">
        <v>0</v>
      </c>
      <c r="R3263">
        <v>-994792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 t="s">
        <v>47</v>
      </c>
      <c r="AA3263" t="s">
        <v>501</v>
      </c>
      <c r="AB3263" t="s">
        <v>51</v>
      </c>
      <c r="AC3263" t="s">
        <v>51</v>
      </c>
      <c r="AD3263" t="s">
        <v>51</v>
      </c>
      <c r="AE3263" t="s">
        <v>51</v>
      </c>
      <c r="AF3263" t="s">
        <v>2442</v>
      </c>
    </row>
    <row r="3264" spans="1:32" ht="14.5" customHeight="1" x14ac:dyDescent="0.35">
      <c r="A3264" t="s">
        <v>531</v>
      </c>
      <c r="B3264" t="s">
        <v>2396</v>
      </c>
      <c r="C3264" t="s">
        <v>47</v>
      </c>
      <c r="D3264">
        <v>3100769</v>
      </c>
      <c r="E3264">
        <v>3000878</v>
      </c>
      <c r="F3264" t="s">
        <v>2397</v>
      </c>
      <c r="G3264" t="s">
        <v>2397</v>
      </c>
      <c r="H3264" t="s">
        <v>54</v>
      </c>
      <c r="I3264">
        <v>6954698</v>
      </c>
      <c r="J3264" s="12">
        <v>46090</v>
      </c>
      <c r="K3264" s="12">
        <v>46090</v>
      </c>
      <c r="L3264" s="12">
        <v>46090</v>
      </c>
      <c r="M3264">
        <v>42</v>
      </c>
      <c r="N3264">
        <v>-9196574</v>
      </c>
      <c r="O3264">
        <v>-9196574</v>
      </c>
      <c r="P3264">
        <v>0</v>
      </c>
      <c r="Q3264">
        <v>0</v>
      </c>
      <c r="R3264">
        <v>-9196574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 t="s">
        <v>47</v>
      </c>
      <c r="AA3264" t="s">
        <v>501</v>
      </c>
      <c r="AB3264" t="s">
        <v>51</v>
      </c>
      <c r="AC3264" t="s">
        <v>51</v>
      </c>
      <c r="AD3264" t="s">
        <v>51</v>
      </c>
      <c r="AE3264" t="s">
        <v>51</v>
      </c>
      <c r="AF3264" t="s">
        <v>2443</v>
      </c>
    </row>
    <row r="3265" spans="1:32" ht="14.5" customHeight="1" x14ac:dyDescent="0.35">
      <c r="A3265" t="s">
        <v>531</v>
      </c>
      <c r="B3265" t="s">
        <v>2396</v>
      </c>
      <c r="C3265" t="s">
        <v>47</v>
      </c>
      <c r="D3265">
        <v>3100769</v>
      </c>
      <c r="E3265">
        <v>3000878</v>
      </c>
      <c r="F3265" t="s">
        <v>2397</v>
      </c>
      <c r="G3265" t="s">
        <v>2397</v>
      </c>
      <c r="H3265" t="s">
        <v>54</v>
      </c>
      <c r="I3265">
        <v>6954699</v>
      </c>
      <c r="J3265" s="12">
        <v>46090</v>
      </c>
      <c r="K3265" s="12">
        <v>46090</v>
      </c>
      <c r="L3265" s="12">
        <v>46090</v>
      </c>
      <c r="M3265">
        <v>42</v>
      </c>
      <c r="N3265">
        <v>-257640</v>
      </c>
      <c r="O3265">
        <v>-257640</v>
      </c>
      <c r="P3265">
        <v>0</v>
      </c>
      <c r="Q3265">
        <v>0</v>
      </c>
      <c r="R3265">
        <v>-257640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 t="s">
        <v>47</v>
      </c>
      <c r="AA3265" t="s">
        <v>501</v>
      </c>
      <c r="AB3265" t="s">
        <v>51</v>
      </c>
      <c r="AC3265" t="s">
        <v>51</v>
      </c>
      <c r="AD3265" t="s">
        <v>51</v>
      </c>
      <c r="AE3265" t="s">
        <v>51</v>
      </c>
      <c r="AF3265" t="s">
        <v>2444</v>
      </c>
    </row>
    <row r="3266" spans="1:32" ht="14.5" customHeight="1" x14ac:dyDescent="0.35">
      <c r="A3266" t="s">
        <v>531</v>
      </c>
      <c r="B3266" t="s">
        <v>2396</v>
      </c>
      <c r="C3266" t="s">
        <v>47</v>
      </c>
      <c r="D3266">
        <v>3100769</v>
      </c>
      <c r="E3266">
        <v>3000878</v>
      </c>
      <c r="F3266" t="s">
        <v>2397</v>
      </c>
      <c r="G3266" t="s">
        <v>2397</v>
      </c>
      <c r="H3266" t="s">
        <v>54</v>
      </c>
      <c r="I3266">
        <v>6954700</v>
      </c>
      <c r="J3266" s="12">
        <v>46090</v>
      </c>
      <c r="K3266" s="12">
        <v>46090</v>
      </c>
      <c r="L3266" s="12">
        <v>46090</v>
      </c>
      <c r="M3266">
        <v>42</v>
      </c>
      <c r="N3266">
        <v>-287564</v>
      </c>
      <c r="O3266">
        <v>-287564</v>
      </c>
      <c r="P3266">
        <v>0</v>
      </c>
      <c r="Q3266">
        <v>0</v>
      </c>
      <c r="R3266">
        <v>-287564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 t="s">
        <v>47</v>
      </c>
      <c r="AA3266" t="s">
        <v>501</v>
      </c>
      <c r="AB3266" t="s">
        <v>51</v>
      </c>
      <c r="AC3266" t="s">
        <v>51</v>
      </c>
      <c r="AD3266" t="s">
        <v>51</v>
      </c>
      <c r="AE3266" t="s">
        <v>51</v>
      </c>
      <c r="AF3266" t="s">
        <v>2445</v>
      </c>
    </row>
    <row r="3267" spans="1:32" ht="14.5" customHeight="1" x14ac:dyDescent="0.35">
      <c r="A3267" t="s">
        <v>531</v>
      </c>
      <c r="B3267" t="s">
        <v>2396</v>
      </c>
      <c r="C3267" t="s">
        <v>47</v>
      </c>
      <c r="D3267">
        <v>3100769</v>
      </c>
      <c r="E3267">
        <v>3000878</v>
      </c>
      <c r="F3267" t="s">
        <v>2397</v>
      </c>
      <c r="G3267" t="s">
        <v>2397</v>
      </c>
      <c r="H3267" t="s">
        <v>54</v>
      </c>
      <c r="I3267">
        <v>6954701</v>
      </c>
      <c r="J3267" s="12">
        <v>46090</v>
      </c>
      <c r="K3267" s="12">
        <v>46090</v>
      </c>
      <c r="L3267" s="12">
        <v>46090</v>
      </c>
      <c r="M3267">
        <v>42</v>
      </c>
      <c r="N3267">
        <v>-483471</v>
      </c>
      <c r="O3267">
        <v>-483471</v>
      </c>
      <c r="P3267">
        <v>0</v>
      </c>
      <c r="Q3267">
        <v>0</v>
      </c>
      <c r="R3267">
        <v>-483471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 t="s">
        <v>47</v>
      </c>
      <c r="AA3267" t="s">
        <v>501</v>
      </c>
      <c r="AB3267" t="s">
        <v>51</v>
      </c>
      <c r="AC3267" t="s">
        <v>51</v>
      </c>
      <c r="AD3267" t="s">
        <v>51</v>
      </c>
      <c r="AE3267" t="s">
        <v>51</v>
      </c>
      <c r="AF3267" t="s">
        <v>2446</v>
      </c>
    </row>
    <row r="3268" spans="1:32" ht="14.5" customHeight="1" x14ac:dyDescent="0.35">
      <c r="A3268" t="s">
        <v>531</v>
      </c>
      <c r="B3268" t="s">
        <v>2396</v>
      </c>
      <c r="C3268" t="s">
        <v>47</v>
      </c>
      <c r="D3268">
        <v>3100769</v>
      </c>
      <c r="E3268">
        <v>3000878</v>
      </c>
      <c r="F3268" t="s">
        <v>2397</v>
      </c>
      <c r="G3268" t="s">
        <v>2397</v>
      </c>
      <c r="H3268" t="s">
        <v>54</v>
      </c>
      <c r="I3268">
        <v>6954702</v>
      </c>
      <c r="J3268" s="12">
        <v>46090</v>
      </c>
      <c r="K3268" s="12">
        <v>46090</v>
      </c>
      <c r="L3268" s="12">
        <v>46090</v>
      </c>
      <c r="M3268">
        <v>42</v>
      </c>
      <c r="N3268">
        <v>-85646</v>
      </c>
      <c r="O3268">
        <v>-85646</v>
      </c>
      <c r="P3268">
        <v>0</v>
      </c>
      <c r="Q3268">
        <v>0</v>
      </c>
      <c r="R3268">
        <v>-85646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 t="s">
        <v>47</v>
      </c>
      <c r="AA3268" t="s">
        <v>501</v>
      </c>
      <c r="AB3268" t="s">
        <v>51</v>
      </c>
      <c r="AC3268" t="s">
        <v>51</v>
      </c>
      <c r="AD3268" t="s">
        <v>51</v>
      </c>
      <c r="AE3268" t="s">
        <v>51</v>
      </c>
      <c r="AF3268" t="s">
        <v>2447</v>
      </c>
    </row>
    <row r="3269" spans="1:32" ht="14.5" customHeight="1" x14ac:dyDescent="0.35">
      <c r="A3269" t="s">
        <v>531</v>
      </c>
      <c r="B3269" t="s">
        <v>2396</v>
      </c>
      <c r="C3269" t="s">
        <v>47</v>
      </c>
      <c r="D3269">
        <v>3100769</v>
      </c>
      <c r="E3269">
        <v>3000878</v>
      </c>
      <c r="F3269" t="s">
        <v>2397</v>
      </c>
      <c r="G3269" t="s">
        <v>2397</v>
      </c>
      <c r="H3269" t="s">
        <v>54</v>
      </c>
      <c r="I3269">
        <v>6954703</v>
      </c>
      <c r="J3269" s="12">
        <v>46090</v>
      </c>
      <c r="K3269" s="12">
        <v>46090</v>
      </c>
      <c r="L3269" s="12">
        <v>46090</v>
      </c>
      <c r="M3269">
        <v>42</v>
      </c>
      <c r="N3269">
        <v>-162129</v>
      </c>
      <c r="O3269">
        <v>-162129</v>
      </c>
      <c r="P3269">
        <v>0</v>
      </c>
      <c r="Q3269">
        <v>0</v>
      </c>
      <c r="R3269">
        <v>-162129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 t="s">
        <v>47</v>
      </c>
      <c r="AA3269" t="s">
        <v>501</v>
      </c>
      <c r="AB3269" t="s">
        <v>51</v>
      </c>
      <c r="AC3269" t="s">
        <v>51</v>
      </c>
      <c r="AD3269" t="s">
        <v>51</v>
      </c>
      <c r="AE3269" t="s">
        <v>51</v>
      </c>
      <c r="AF3269" t="s">
        <v>2448</v>
      </c>
    </row>
    <row r="3270" spans="1:32" ht="14.5" customHeight="1" x14ac:dyDescent="0.35">
      <c r="A3270" t="s">
        <v>531</v>
      </c>
      <c r="B3270" t="s">
        <v>2396</v>
      </c>
      <c r="C3270" t="s">
        <v>47</v>
      </c>
      <c r="D3270">
        <v>3100769</v>
      </c>
      <c r="E3270">
        <v>3000878</v>
      </c>
      <c r="F3270" t="s">
        <v>2397</v>
      </c>
      <c r="G3270" t="s">
        <v>2397</v>
      </c>
      <c r="H3270" t="s">
        <v>54</v>
      </c>
      <c r="I3270">
        <v>6954704</v>
      </c>
      <c r="J3270" s="12">
        <v>46090</v>
      </c>
      <c r="K3270" s="12">
        <v>46090</v>
      </c>
      <c r="L3270" s="12">
        <v>46090</v>
      </c>
      <c r="M3270">
        <v>42</v>
      </c>
      <c r="N3270">
        <v>-75655</v>
      </c>
      <c r="O3270">
        <v>-75655</v>
      </c>
      <c r="P3270">
        <v>0</v>
      </c>
      <c r="Q3270">
        <v>0</v>
      </c>
      <c r="R3270">
        <v>-75655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 t="s">
        <v>47</v>
      </c>
      <c r="AA3270" t="s">
        <v>501</v>
      </c>
      <c r="AB3270" t="s">
        <v>51</v>
      </c>
      <c r="AC3270" t="s">
        <v>51</v>
      </c>
      <c r="AD3270" t="s">
        <v>51</v>
      </c>
      <c r="AE3270" t="s">
        <v>51</v>
      </c>
      <c r="AF3270" t="s">
        <v>2449</v>
      </c>
    </row>
    <row r="3271" spans="1:32" ht="14.5" customHeight="1" x14ac:dyDescent="0.35">
      <c r="A3271" t="s">
        <v>531</v>
      </c>
      <c r="B3271" t="s">
        <v>2396</v>
      </c>
      <c r="C3271" t="s">
        <v>47</v>
      </c>
      <c r="D3271">
        <v>3100769</v>
      </c>
      <c r="E3271">
        <v>3000878</v>
      </c>
      <c r="F3271" t="s">
        <v>2397</v>
      </c>
      <c r="G3271" t="s">
        <v>2397</v>
      </c>
      <c r="H3271" t="s">
        <v>54</v>
      </c>
      <c r="I3271">
        <v>6954705</v>
      </c>
      <c r="J3271" s="12">
        <v>46090</v>
      </c>
      <c r="K3271" s="12">
        <v>46090</v>
      </c>
      <c r="L3271" s="12">
        <v>46090</v>
      </c>
      <c r="M3271">
        <v>42</v>
      </c>
      <c r="N3271">
        <v>-95370</v>
      </c>
      <c r="O3271">
        <v>-95370</v>
      </c>
      <c r="P3271">
        <v>0</v>
      </c>
      <c r="Q3271">
        <v>0</v>
      </c>
      <c r="R3271">
        <v>-95370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 t="s">
        <v>47</v>
      </c>
      <c r="AA3271" t="s">
        <v>501</v>
      </c>
      <c r="AB3271" t="s">
        <v>51</v>
      </c>
      <c r="AC3271" t="s">
        <v>51</v>
      </c>
      <c r="AD3271" t="s">
        <v>51</v>
      </c>
      <c r="AE3271" t="s">
        <v>51</v>
      </c>
      <c r="AF3271" t="s">
        <v>2450</v>
      </c>
    </row>
    <row r="3272" spans="1:32" ht="14.5" customHeight="1" x14ac:dyDescent="0.35">
      <c r="A3272" t="s">
        <v>531</v>
      </c>
      <c r="B3272" t="s">
        <v>2396</v>
      </c>
      <c r="C3272" t="s">
        <v>47</v>
      </c>
      <c r="D3272">
        <v>3100769</v>
      </c>
      <c r="E3272">
        <v>3000878</v>
      </c>
      <c r="F3272" t="s">
        <v>2397</v>
      </c>
      <c r="G3272" t="s">
        <v>2397</v>
      </c>
      <c r="H3272" t="s">
        <v>54</v>
      </c>
      <c r="I3272">
        <v>6954706</v>
      </c>
      <c r="J3272" s="12">
        <v>46090</v>
      </c>
      <c r="K3272" s="12">
        <v>46090</v>
      </c>
      <c r="L3272" s="12">
        <v>46090</v>
      </c>
      <c r="M3272">
        <v>42</v>
      </c>
      <c r="N3272">
        <v>-93500</v>
      </c>
      <c r="O3272">
        <v>-93500</v>
      </c>
      <c r="P3272">
        <v>0</v>
      </c>
      <c r="Q3272">
        <v>0</v>
      </c>
      <c r="R3272">
        <v>-93500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 t="s">
        <v>47</v>
      </c>
      <c r="AA3272" t="s">
        <v>501</v>
      </c>
      <c r="AB3272" t="s">
        <v>51</v>
      </c>
      <c r="AC3272" t="s">
        <v>51</v>
      </c>
      <c r="AD3272" t="s">
        <v>51</v>
      </c>
      <c r="AE3272" t="s">
        <v>51</v>
      </c>
      <c r="AF3272" t="s">
        <v>2450</v>
      </c>
    </row>
    <row r="3273" spans="1:32" ht="14.5" customHeight="1" x14ac:dyDescent="0.35">
      <c r="A3273" t="s">
        <v>531</v>
      </c>
      <c r="B3273" t="s">
        <v>2396</v>
      </c>
      <c r="C3273" t="s">
        <v>47</v>
      </c>
      <c r="D3273">
        <v>3100769</v>
      </c>
      <c r="E3273">
        <v>3000876</v>
      </c>
      <c r="F3273" t="s">
        <v>2397</v>
      </c>
      <c r="G3273" t="s">
        <v>2397</v>
      </c>
      <c r="H3273" t="s">
        <v>54</v>
      </c>
      <c r="I3273">
        <v>6954708</v>
      </c>
      <c r="J3273" s="12">
        <v>46090</v>
      </c>
      <c r="K3273" s="12">
        <v>46090</v>
      </c>
      <c r="L3273" s="12">
        <v>46090</v>
      </c>
      <c r="M3273">
        <v>42</v>
      </c>
      <c r="N3273">
        <v>-69798</v>
      </c>
      <c r="O3273">
        <v>-69798</v>
      </c>
      <c r="P3273">
        <v>0</v>
      </c>
      <c r="Q3273">
        <v>0</v>
      </c>
      <c r="R3273">
        <v>-69798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 t="s">
        <v>47</v>
      </c>
      <c r="AA3273" t="s">
        <v>501</v>
      </c>
      <c r="AB3273" t="s">
        <v>51</v>
      </c>
      <c r="AC3273" t="s">
        <v>51</v>
      </c>
      <c r="AD3273" t="s">
        <v>51</v>
      </c>
      <c r="AE3273" t="s">
        <v>51</v>
      </c>
      <c r="AF3273" t="s">
        <v>2451</v>
      </c>
    </row>
    <row r="3274" spans="1:32" ht="14.5" customHeight="1" x14ac:dyDescent="0.35">
      <c r="A3274" t="s">
        <v>531</v>
      </c>
      <c r="B3274" t="s">
        <v>2396</v>
      </c>
      <c r="C3274" t="s">
        <v>47</v>
      </c>
      <c r="D3274">
        <v>3100769</v>
      </c>
      <c r="E3274">
        <v>3000878</v>
      </c>
      <c r="F3274" t="s">
        <v>2397</v>
      </c>
      <c r="G3274" t="s">
        <v>2397</v>
      </c>
      <c r="H3274" t="s">
        <v>54</v>
      </c>
      <c r="I3274">
        <v>6954709</v>
      </c>
      <c r="J3274" s="12">
        <v>46090</v>
      </c>
      <c r="K3274" s="12">
        <v>46090</v>
      </c>
      <c r="L3274" s="12">
        <v>46090</v>
      </c>
      <c r="M3274">
        <v>42</v>
      </c>
      <c r="N3274">
        <v>-411400</v>
      </c>
      <c r="O3274">
        <v>-411400</v>
      </c>
      <c r="P3274">
        <v>0</v>
      </c>
      <c r="Q3274">
        <v>0</v>
      </c>
      <c r="R3274">
        <v>-411400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 t="s">
        <v>47</v>
      </c>
      <c r="AA3274" t="s">
        <v>501</v>
      </c>
      <c r="AB3274" t="s">
        <v>51</v>
      </c>
      <c r="AC3274" t="s">
        <v>51</v>
      </c>
      <c r="AD3274" t="s">
        <v>51</v>
      </c>
      <c r="AE3274" t="s">
        <v>51</v>
      </c>
      <c r="AF3274" t="s">
        <v>2452</v>
      </c>
    </row>
    <row r="3275" spans="1:32" ht="14.5" customHeight="1" x14ac:dyDescent="0.35">
      <c r="A3275" t="s">
        <v>531</v>
      </c>
      <c r="B3275" t="s">
        <v>2396</v>
      </c>
      <c r="C3275" t="s">
        <v>47</v>
      </c>
      <c r="D3275">
        <v>3100769</v>
      </c>
      <c r="E3275">
        <v>3000878</v>
      </c>
      <c r="F3275" t="s">
        <v>2397</v>
      </c>
      <c r="G3275" t="s">
        <v>2397</v>
      </c>
      <c r="H3275" t="s">
        <v>54</v>
      </c>
      <c r="I3275">
        <v>6954710</v>
      </c>
      <c r="J3275" s="12">
        <v>46090</v>
      </c>
      <c r="K3275" s="12">
        <v>46090</v>
      </c>
      <c r="L3275" s="12">
        <v>46090</v>
      </c>
      <c r="M3275">
        <v>42</v>
      </c>
      <c r="N3275">
        <v>-4731100</v>
      </c>
      <c r="O3275">
        <v>-4731100</v>
      </c>
      <c r="P3275">
        <v>0</v>
      </c>
      <c r="Q3275">
        <v>0</v>
      </c>
      <c r="R3275">
        <v>-4731100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 t="s">
        <v>47</v>
      </c>
      <c r="AA3275" t="s">
        <v>501</v>
      </c>
      <c r="AB3275" t="s">
        <v>51</v>
      </c>
      <c r="AC3275" t="s">
        <v>51</v>
      </c>
      <c r="AD3275" t="s">
        <v>51</v>
      </c>
      <c r="AE3275" t="s">
        <v>51</v>
      </c>
      <c r="AF3275" t="s">
        <v>2453</v>
      </c>
    </row>
    <row r="3276" spans="1:32" ht="14.5" customHeight="1" x14ac:dyDescent="0.35">
      <c r="A3276" t="s">
        <v>531</v>
      </c>
      <c r="B3276" t="s">
        <v>2396</v>
      </c>
      <c r="C3276" t="s">
        <v>47</v>
      </c>
      <c r="D3276">
        <v>3100769</v>
      </c>
      <c r="E3276">
        <v>3000878</v>
      </c>
      <c r="F3276" t="s">
        <v>2397</v>
      </c>
      <c r="G3276" t="s">
        <v>2397</v>
      </c>
      <c r="H3276" t="s">
        <v>54</v>
      </c>
      <c r="I3276">
        <v>6954711</v>
      </c>
      <c r="J3276" s="12">
        <v>46090</v>
      </c>
      <c r="K3276" s="12">
        <v>46090</v>
      </c>
      <c r="L3276" s="12">
        <v>46090</v>
      </c>
      <c r="M3276">
        <v>42</v>
      </c>
      <c r="N3276">
        <v>-137292</v>
      </c>
      <c r="O3276">
        <v>-137292</v>
      </c>
      <c r="P3276">
        <v>0</v>
      </c>
      <c r="Q3276">
        <v>0</v>
      </c>
      <c r="R3276">
        <v>-137292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 t="s">
        <v>47</v>
      </c>
      <c r="AA3276" t="s">
        <v>501</v>
      </c>
      <c r="AB3276" t="s">
        <v>51</v>
      </c>
      <c r="AC3276" t="s">
        <v>51</v>
      </c>
      <c r="AD3276" t="s">
        <v>51</v>
      </c>
      <c r="AE3276" t="s">
        <v>51</v>
      </c>
      <c r="AF3276" t="s">
        <v>2454</v>
      </c>
    </row>
    <row r="3277" spans="1:32" ht="14.5" customHeight="1" x14ac:dyDescent="0.35">
      <c r="A3277" t="s">
        <v>531</v>
      </c>
      <c r="B3277" t="s">
        <v>2396</v>
      </c>
      <c r="C3277" t="s">
        <v>47</v>
      </c>
      <c r="D3277">
        <v>3100769</v>
      </c>
      <c r="E3277">
        <v>3000878</v>
      </c>
      <c r="F3277" t="s">
        <v>2397</v>
      </c>
      <c r="G3277" t="s">
        <v>2397</v>
      </c>
      <c r="H3277" t="s">
        <v>54</v>
      </c>
      <c r="I3277">
        <v>6954712</v>
      </c>
      <c r="J3277" s="12">
        <v>46090</v>
      </c>
      <c r="K3277" s="12">
        <v>46090</v>
      </c>
      <c r="L3277" s="12">
        <v>46090</v>
      </c>
      <c r="M3277">
        <v>42</v>
      </c>
      <c r="N3277">
        <v>-230098</v>
      </c>
      <c r="O3277">
        <v>-230098</v>
      </c>
      <c r="P3277">
        <v>0</v>
      </c>
      <c r="Q3277">
        <v>0</v>
      </c>
      <c r="R3277">
        <v>-230098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 t="s">
        <v>47</v>
      </c>
      <c r="AA3277" t="s">
        <v>501</v>
      </c>
      <c r="AB3277" t="s">
        <v>51</v>
      </c>
      <c r="AC3277" t="s">
        <v>51</v>
      </c>
      <c r="AD3277" t="s">
        <v>51</v>
      </c>
      <c r="AE3277" t="s">
        <v>51</v>
      </c>
      <c r="AF3277" t="s">
        <v>2455</v>
      </c>
    </row>
    <row r="3278" spans="1:32" ht="14.5" customHeight="1" x14ac:dyDescent="0.35">
      <c r="A3278" t="s">
        <v>531</v>
      </c>
      <c r="B3278" t="s">
        <v>2396</v>
      </c>
      <c r="C3278" t="s">
        <v>47</v>
      </c>
      <c r="D3278">
        <v>3100769</v>
      </c>
      <c r="E3278">
        <v>3000878</v>
      </c>
      <c r="F3278" t="s">
        <v>2397</v>
      </c>
      <c r="G3278" t="s">
        <v>2397</v>
      </c>
      <c r="H3278" t="s">
        <v>54</v>
      </c>
      <c r="I3278">
        <v>6954713</v>
      </c>
      <c r="J3278" s="12">
        <v>46090</v>
      </c>
      <c r="K3278" s="12">
        <v>46090</v>
      </c>
      <c r="L3278" s="12">
        <v>46090</v>
      </c>
      <c r="M3278">
        <v>42</v>
      </c>
      <c r="N3278">
        <v>-399349</v>
      </c>
      <c r="O3278">
        <v>-399349</v>
      </c>
      <c r="P3278">
        <v>0</v>
      </c>
      <c r="Q3278">
        <v>0</v>
      </c>
      <c r="R3278">
        <v>-399349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 t="s">
        <v>47</v>
      </c>
      <c r="AA3278" t="s">
        <v>501</v>
      </c>
      <c r="AB3278" t="s">
        <v>51</v>
      </c>
      <c r="AC3278" t="s">
        <v>51</v>
      </c>
      <c r="AD3278" t="s">
        <v>51</v>
      </c>
      <c r="AE3278" t="s">
        <v>51</v>
      </c>
      <c r="AF3278" t="s">
        <v>2456</v>
      </c>
    </row>
    <row r="3279" spans="1:32" ht="14.5" customHeight="1" x14ac:dyDescent="0.35">
      <c r="A3279" t="s">
        <v>531</v>
      </c>
      <c r="B3279" t="s">
        <v>2396</v>
      </c>
      <c r="C3279" t="s">
        <v>47</v>
      </c>
      <c r="D3279">
        <v>3100769</v>
      </c>
      <c r="E3279">
        <v>3000878</v>
      </c>
      <c r="F3279" t="s">
        <v>2397</v>
      </c>
      <c r="G3279" t="s">
        <v>2397</v>
      </c>
      <c r="H3279" t="s">
        <v>54</v>
      </c>
      <c r="I3279">
        <v>6954714</v>
      </c>
      <c r="J3279" s="12">
        <v>46090</v>
      </c>
      <c r="K3279" s="12">
        <v>46090</v>
      </c>
      <c r="L3279" s="12">
        <v>46090</v>
      </c>
      <c r="M3279">
        <v>42</v>
      </c>
      <c r="N3279">
        <v>-177650</v>
      </c>
      <c r="O3279">
        <v>-177650</v>
      </c>
      <c r="P3279">
        <v>0</v>
      </c>
      <c r="Q3279">
        <v>0</v>
      </c>
      <c r="R3279">
        <v>-177650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 t="s">
        <v>47</v>
      </c>
      <c r="AA3279" t="s">
        <v>501</v>
      </c>
      <c r="AB3279" t="s">
        <v>51</v>
      </c>
      <c r="AC3279" t="s">
        <v>51</v>
      </c>
      <c r="AD3279" t="s">
        <v>51</v>
      </c>
      <c r="AE3279" t="s">
        <v>51</v>
      </c>
      <c r="AF3279" t="s">
        <v>2457</v>
      </c>
    </row>
    <row r="3280" spans="1:32" ht="14.5" customHeight="1" x14ac:dyDescent="0.35">
      <c r="A3280" t="s">
        <v>531</v>
      </c>
      <c r="B3280" t="s">
        <v>2396</v>
      </c>
      <c r="C3280" t="s">
        <v>47</v>
      </c>
      <c r="D3280">
        <v>3100769</v>
      </c>
      <c r="E3280">
        <v>3000878</v>
      </c>
      <c r="F3280" t="s">
        <v>2397</v>
      </c>
      <c r="G3280" t="s">
        <v>2397</v>
      </c>
      <c r="H3280" t="s">
        <v>54</v>
      </c>
      <c r="I3280">
        <v>6954715</v>
      </c>
      <c r="J3280" s="12">
        <v>46090</v>
      </c>
      <c r="K3280" s="12">
        <v>46090</v>
      </c>
      <c r="L3280" s="12">
        <v>46090</v>
      </c>
      <c r="M3280">
        <v>42</v>
      </c>
      <c r="N3280">
        <v>-149512</v>
      </c>
      <c r="O3280">
        <v>-149512</v>
      </c>
      <c r="P3280">
        <v>0</v>
      </c>
      <c r="Q3280">
        <v>0</v>
      </c>
      <c r="R3280">
        <v>-149512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 t="s">
        <v>47</v>
      </c>
      <c r="AA3280" t="s">
        <v>501</v>
      </c>
      <c r="AB3280" t="s">
        <v>51</v>
      </c>
      <c r="AC3280" t="s">
        <v>51</v>
      </c>
      <c r="AD3280" t="s">
        <v>51</v>
      </c>
      <c r="AE3280" t="s">
        <v>51</v>
      </c>
      <c r="AF3280" t="s">
        <v>2458</v>
      </c>
    </row>
    <row r="3281" spans="1:32" ht="14.5" customHeight="1" x14ac:dyDescent="0.35">
      <c r="A3281" t="s">
        <v>531</v>
      </c>
      <c r="B3281" t="s">
        <v>2396</v>
      </c>
      <c r="C3281" t="s">
        <v>47</v>
      </c>
      <c r="D3281">
        <v>3100769</v>
      </c>
      <c r="E3281">
        <v>3000878</v>
      </c>
      <c r="F3281" t="s">
        <v>2397</v>
      </c>
      <c r="G3281" t="s">
        <v>2397</v>
      </c>
      <c r="H3281" t="s">
        <v>54</v>
      </c>
      <c r="I3281">
        <v>6954716</v>
      </c>
      <c r="J3281" s="12">
        <v>46090</v>
      </c>
      <c r="K3281" s="12">
        <v>46090</v>
      </c>
      <c r="L3281" s="12">
        <v>46090</v>
      </c>
      <c r="M3281">
        <v>42</v>
      </c>
      <c r="N3281">
        <v>-514250</v>
      </c>
      <c r="O3281">
        <v>-514250</v>
      </c>
      <c r="P3281">
        <v>0</v>
      </c>
      <c r="Q3281">
        <v>0</v>
      </c>
      <c r="R3281">
        <v>-514250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 t="s">
        <v>47</v>
      </c>
      <c r="AA3281" t="s">
        <v>501</v>
      </c>
      <c r="AB3281" t="s">
        <v>51</v>
      </c>
      <c r="AC3281" t="s">
        <v>51</v>
      </c>
      <c r="AD3281" t="s">
        <v>51</v>
      </c>
      <c r="AE3281" t="s">
        <v>51</v>
      </c>
      <c r="AF3281" t="s">
        <v>2459</v>
      </c>
    </row>
    <row r="3282" spans="1:32" ht="14.5" customHeight="1" x14ac:dyDescent="0.35">
      <c r="A3282" t="s">
        <v>531</v>
      </c>
      <c r="B3282" t="s">
        <v>2396</v>
      </c>
      <c r="C3282" t="s">
        <v>47</v>
      </c>
      <c r="D3282">
        <v>3100769</v>
      </c>
      <c r="E3282">
        <v>3000878</v>
      </c>
      <c r="F3282" t="s">
        <v>2397</v>
      </c>
      <c r="G3282" t="s">
        <v>2397</v>
      </c>
      <c r="H3282" t="s">
        <v>54</v>
      </c>
      <c r="I3282">
        <v>6954717</v>
      </c>
      <c r="J3282" s="12">
        <v>46090</v>
      </c>
      <c r="K3282" s="12">
        <v>46090</v>
      </c>
      <c r="L3282" s="12">
        <v>46090</v>
      </c>
      <c r="M3282">
        <v>42</v>
      </c>
      <c r="N3282">
        <v>-9892300</v>
      </c>
      <c r="O3282">
        <v>-9892300</v>
      </c>
      <c r="P3282">
        <v>0</v>
      </c>
      <c r="Q3282">
        <v>0</v>
      </c>
      <c r="R3282">
        <v>-9892300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 t="s">
        <v>47</v>
      </c>
      <c r="AA3282" t="s">
        <v>501</v>
      </c>
      <c r="AB3282" t="s">
        <v>51</v>
      </c>
      <c r="AC3282" t="s">
        <v>51</v>
      </c>
      <c r="AD3282" t="s">
        <v>51</v>
      </c>
      <c r="AE3282" t="s">
        <v>51</v>
      </c>
      <c r="AF3282" t="s">
        <v>2460</v>
      </c>
    </row>
    <row r="3283" spans="1:32" ht="14.5" customHeight="1" x14ac:dyDescent="0.35">
      <c r="A3283" t="s">
        <v>531</v>
      </c>
      <c r="B3283" t="s">
        <v>2396</v>
      </c>
      <c r="C3283" t="s">
        <v>47</v>
      </c>
      <c r="D3283">
        <v>3100769</v>
      </c>
      <c r="E3283">
        <v>3000878</v>
      </c>
      <c r="F3283" t="s">
        <v>2397</v>
      </c>
      <c r="G3283" t="s">
        <v>2397</v>
      </c>
      <c r="H3283" t="s">
        <v>54</v>
      </c>
      <c r="I3283">
        <v>6954718</v>
      </c>
      <c r="J3283" s="12">
        <v>46090</v>
      </c>
      <c r="K3283" s="12">
        <v>46090</v>
      </c>
      <c r="L3283" s="12">
        <v>46090</v>
      </c>
      <c r="M3283">
        <v>42</v>
      </c>
      <c r="N3283">
        <v>-155734</v>
      </c>
      <c r="O3283">
        <v>-155734</v>
      </c>
      <c r="P3283">
        <v>0</v>
      </c>
      <c r="Q3283">
        <v>0</v>
      </c>
      <c r="R3283">
        <v>-155734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 t="s">
        <v>47</v>
      </c>
      <c r="AA3283" t="s">
        <v>501</v>
      </c>
      <c r="AB3283" t="s">
        <v>51</v>
      </c>
      <c r="AC3283" t="s">
        <v>51</v>
      </c>
      <c r="AD3283" t="s">
        <v>51</v>
      </c>
      <c r="AE3283" t="s">
        <v>51</v>
      </c>
      <c r="AF3283" t="s">
        <v>2461</v>
      </c>
    </row>
    <row r="3284" spans="1:32" ht="14.5" customHeight="1" x14ac:dyDescent="0.35">
      <c r="A3284" t="s">
        <v>531</v>
      </c>
      <c r="B3284" t="s">
        <v>2396</v>
      </c>
      <c r="C3284" t="s">
        <v>47</v>
      </c>
      <c r="D3284">
        <v>3100769</v>
      </c>
      <c r="E3284">
        <v>3000876</v>
      </c>
      <c r="F3284" t="s">
        <v>2397</v>
      </c>
      <c r="G3284" t="s">
        <v>2397</v>
      </c>
      <c r="H3284" t="s">
        <v>54</v>
      </c>
      <c r="I3284">
        <v>6954759</v>
      </c>
      <c r="J3284" s="12">
        <v>46090</v>
      </c>
      <c r="K3284" s="12">
        <v>46090</v>
      </c>
      <c r="L3284" s="12">
        <v>46090</v>
      </c>
      <c r="M3284">
        <v>42</v>
      </c>
      <c r="N3284">
        <v>-181016</v>
      </c>
      <c r="O3284">
        <v>-181016</v>
      </c>
      <c r="P3284">
        <v>0</v>
      </c>
      <c r="Q3284">
        <v>0</v>
      </c>
      <c r="R3284">
        <v>-181016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 t="s">
        <v>47</v>
      </c>
      <c r="AA3284" t="s">
        <v>501</v>
      </c>
      <c r="AB3284" t="s">
        <v>51</v>
      </c>
      <c r="AC3284" t="s">
        <v>51</v>
      </c>
      <c r="AD3284" t="s">
        <v>51</v>
      </c>
      <c r="AE3284" t="s">
        <v>51</v>
      </c>
      <c r="AF3284" t="s">
        <v>2462</v>
      </c>
    </row>
    <row r="3285" spans="1:32" ht="14.5" customHeight="1" x14ac:dyDescent="0.35">
      <c r="A3285" t="s">
        <v>531</v>
      </c>
      <c r="B3285" t="s">
        <v>2396</v>
      </c>
      <c r="C3285" t="s">
        <v>47</v>
      </c>
      <c r="D3285">
        <v>3100769</v>
      </c>
      <c r="E3285">
        <v>3000878</v>
      </c>
      <c r="F3285" t="s">
        <v>2397</v>
      </c>
      <c r="G3285" t="s">
        <v>2397</v>
      </c>
      <c r="H3285" t="s">
        <v>54</v>
      </c>
      <c r="I3285">
        <v>6954760</v>
      </c>
      <c r="J3285" s="12">
        <v>46090</v>
      </c>
      <c r="K3285" s="12">
        <v>46090</v>
      </c>
      <c r="L3285" s="12">
        <v>46090</v>
      </c>
      <c r="M3285">
        <v>42</v>
      </c>
      <c r="N3285">
        <v>-158950</v>
      </c>
      <c r="O3285">
        <v>-158950</v>
      </c>
      <c r="P3285">
        <v>0</v>
      </c>
      <c r="Q3285">
        <v>0</v>
      </c>
      <c r="R3285">
        <v>-158950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 t="s">
        <v>47</v>
      </c>
      <c r="AA3285" t="s">
        <v>501</v>
      </c>
      <c r="AB3285" t="s">
        <v>51</v>
      </c>
      <c r="AC3285" t="s">
        <v>51</v>
      </c>
      <c r="AD3285" t="s">
        <v>51</v>
      </c>
      <c r="AE3285" t="s">
        <v>51</v>
      </c>
      <c r="AF3285" t="s">
        <v>2463</v>
      </c>
    </row>
    <row r="3286" spans="1:32" ht="14.5" customHeight="1" x14ac:dyDescent="0.35">
      <c r="A3286" t="s">
        <v>531</v>
      </c>
      <c r="B3286" t="s">
        <v>2396</v>
      </c>
      <c r="C3286" t="s">
        <v>47</v>
      </c>
      <c r="D3286">
        <v>3100769</v>
      </c>
      <c r="E3286">
        <v>3000878</v>
      </c>
      <c r="F3286" t="s">
        <v>2397</v>
      </c>
      <c r="G3286" t="s">
        <v>2397</v>
      </c>
      <c r="H3286" t="s">
        <v>54</v>
      </c>
      <c r="I3286">
        <v>6954761</v>
      </c>
      <c r="J3286" s="12">
        <v>46090</v>
      </c>
      <c r="K3286" s="12">
        <v>46090</v>
      </c>
      <c r="L3286" s="12">
        <v>46090</v>
      </c>
      <c r="M3286">
        <v>42</v>
      </c>
      <c r="N3286">
        <v>-481139</v>
      </c>
      <c r="O3286">
        <v>-481139</v>
      </c>
      <c r="P3286">
        <v>0</v>
      </c>
      <c r="Q3286">
        <v>0</v>
      </c>
      <c r="R3286">
        <v>-481139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 t="s">
        <v>47</v>
      </c>
      <c r="AA3286" t="s">
        <v>501</v>
      </c>
      <c r="AB3286" t="s">
        <v>51</v>
      </c>
      <c r="AC3286" t="s">
        <v>51</v>
      </c>
      <c r="AD3286" t="s">
        <v>51</v>
      </c>
      <c r="AE3286" t="s">
        <v>51</v>
      </c>
      <c r="AF3286" t="s">
        <v>2464</v>
      </c>
    </row>
    <row r="3287" spans="1:32" ht="14.5" customHeight="1" x14ac:dyDescent="0.35">
      <c r="A3287" t="s">
        <v>531</v>
      </c>
      <c r="B3287" t="s">
        <v>2396</v>
      </c>
      <c r="C3287" t="s">
        <v>47</v>
      </c>
      <c r="D3287">
        <v>3100769</v>
      </c>
      <c r="E3287">
        <v>3000878</v>
      </c>
      <c r="F3287" t="s">
        <v>2397</v>
      </c>
      <c r="G3287" t="s">
        <v>2397</v>
      </c>
      <c r="H3287" t="s">
        <v>54</v>
      </c>
      <c r="I3287">
        <v>6954762</v>
      </c>
      <c r="J3287" s="12">
        <v>46090</v>
      </c>
      <c r="K3287" s="12">
        <v>46090</v>
      </c>
      <c r="L3287" s="12">
        <v>46090</v>
      </c>
      <c r="M3287">
        <v>42</v>
      </c>
      <c r="N3287">
        <v>-257251</v>
      </c>
      <c r="O3287">
        <v>-257251</v>
      </c>
      <c r="P3287">
        <v>0</v>
      </c>
      <c r="Q3287">
        <v>0</v>
      </c>
      <c r="R3287">
        <v>-257251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 t="s">
        <v>47</v>
      </c>
      <c r="AA3287" t="s">
        <v>501</v>
      </c>
      <c r="AB3287" t="s">
        <v>51</v>
      </c>
      <c r="AC3287" t="s">
        <v>51</v>
      </c>
      <c r="AD3287" t="s">
        <v>51</v>
      </c>
      <c r="AE3287" t="s">
        <v>51</v>
      </c>
      <c r="AF3287" t="s">
        <v>2444</v>
      </c>
    </row>
    <row r="3288" spans="1:32" ht="14.5" customHeight="1" x14ac:dyDescent="0.35">
      <c r="A3288" t="s">
        <v>531</v>
      </c>
      <c r="B3288" t="s">
        <v>2396</v>
      </c>
      <c r="C3288" t="s">
        <v>47</v>
      </c>
      <c r="D3288">
        <v>3100769</v>
      </c>
      <c r="E3288">
        <v>3000878</v>
      </c>
      <c r="F3288" t="s">
        <v>2397</v>
      </c>
      <c r="G3288" t="s">
        <v>2397</v>
      </c>
      <c r="H3288" t="s">
        <v>54</v>
      </c>
      <c r="I3288">
        <v>6954763</v>
      </c>
      <c r="J3288" s="12">
        <v>46090</v>
      </c>
      <c r="K3288" s="12">
        <v>46090</v>
      </c>
      <c r="L3288" s="12">
        <v>46090</v>
      </c>
      <c r="M3288">
        <v>42</v>
      </c>
      <c r="N3288">
        <v>-307217</v>
      </c>
      <c r="O3288">
        <v>-307217</v>
      </c>
      <c r="P3288">
        <v>0</v>
      </c>
      <c r="Q3288">
        <v>0</v>
      </c>
      <c r="R3288">
        <v>-307217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 t="s">
        <v>47</v>
      </c>
      <c r="AA3288" t="s">
        <v>501</v>
      </c>
      <c r="AB3288" t="s">
        <v>51</v>
      </c>
      <c r="AC3288" t="s">
        <v>51</v>
      </c>
      <c r="AD3288" t="s">
        <v>51</v>
      </c>
      <c r="AE3288" t="s">
        <v>51</v>
      </c>
      <c r="AF3288" t="s">
        <v>2465</v>
      </c>
    </row>
    <row r="3289" spans="1:32" ht="14.5" customHeight="1" x14ac:dyDescent="0.35">
      <c r="A3289" t="s">
        <v>531</v>
      </c>
      <c r="B3289" t="s">
        <v>2396</v>
      </c>
      <c r="C3289" t="s">
        <v>47</v>
      </c>
      <c r="D3289">
        <v>3100769</v>
      </c>
      <c r="E3289">
        <v>3000878</v>
      </c>
      <c r="F3289" t="s">
        <v>2397</v>
      </c>
      <c r="G3289" t="s">
        <v>2397</v>
      </c>
      <c r="H3289" t="s">
        <v>54</v>
      </c>
      <c r="I3289">
        <v>6954764</v>
      </c>
      <c r="J3289" s="12">
        <v>46090</v>
      </c>
      <c r="K3289" s="12">
        <v>46090</v>
      </c>
      <c r="L3289" s="12">
        <v>46090</v>
      </c>
      <c r="M3289">
        <v>42</v>
      </c>
      <c r="N3289">
        <v>-406664</v>
      </c>
      <c r="O3289">
        <v>-406664</v>
      </c>
      <c r="P3289">
        <v>0</v>
      </c>
      <c r="Q3289">
        <v>0</v>
      </c>
      <c r="R3289">
        <v>-406664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 t="s">
        <v>47</v>
      </c>
      <c r="AA3289" t="s">
        <v>501</v>
      </c>
      <c r="AB3289" t="s">
        <v>51</v>
      </c>
      <c r="AC3289" t="s">
        <v>51</v>
      </c>
      <c r="AD3289" t="s">
        <v>51</v>
      </c>
      <c r="AE3289" t="s">
        <v>51</v>
      </c>
      <c r="AF3289" t="s">
        <v>2466</v>
      </c>
    </row>
    <row r="3290" spans="1:32" ht="14.5" customHeight="1" x14ac:dyDescent="0.35">
      <c r="A3290" t="s">
        <v>531</v>
      </c>
      <c r="B3290" t="s">
        <v>2396</v>
      </c>
      <c r="C3290" t="s">
        <v>47</v>
      </c>
      <c r="D3290">
        <v>3100769</v>
      </c>
      <c r="E3290">
        <v>3000878</v>
      </c>
      <c r="F3290" t="s">
        <v>2397</v>
      </c>
      <c r="G3290" t="s">
        <v>2397</v>
      </c>
      <c r="H3290" t="s">
        <v>54</v>
      </c>
      <c r="I3290">
        <v>6954765</v>
      </c>
      <c r="J3290" s="12">
        <v>46090</v>
      </c>
      <c r="K3290" s="12">
        <v>46090</v>
      </c>
      <c r="L3290" s="12">
        <v>46090</v>
      </c>
      <c r="M3290">
        <v>42</v>
      </c>
      <c r="N3290">
        <v>-158950</v>
      </c>
      <c r="O3290">
        <v>-158950</v>
      </c>
      <c r="P3290">
        <v>0</v>
      </c>
      <c r="Q3290">
        <v>0</v>
      </c>
      <c r="R3290">
        <v>-158950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 t="s">
        <v>47</v>
      </c>
      <c r="AA3290" t="s">
        <v>501</v>
      </c>
      <c r="AB3290" t="s">
        <v>51</v>
      </c>
      <c r="AC3290" t="s">
        <v>51</v>
      </c>
      <c r="AD3290" t="s">
        <v>51</v>
      </c>
      <c r="AE3290" t="s">
        <v>51</v>
      </c>
      <c r="AF3290" t="s">
        <v>2467</v>
      </c>
    </row>
    <row r="3291" spans="1:32" ht="14.5" customHeight="1" x14ac:dyDescent="0.35">
      <c r="A3291" t="s">
        <v>531</v>
      </c>
      <c r="B3291" t="s">
        <v>2396</v>
      </c>
      <c r="C3291" t="s">
        <v>47</v>
      </c>
      <c r="D3291">
        <v>3100769</v>
      </c>
      <c r="E3291">
        <v>3000878</v>
      </c>
      <c r="F3291" t="s">
        <v>2397</v>
      </c>
      <c r="G3291" t="s">
        <v>2397</v>
      </c>
      <c r="H3291" t="s">
        <v>54</v>
      </c>
      <c r="I3291">
        <v>6954766</v>
      </c>
      <c r="J3291" s="12">
        <v>46090</v>
      </c>
      <c r="K3291" s="12">
        <v>46090</v>
      </c>
      <c r="L3291" s="12">
        <v>46090</v>
      </c>
      <c r="M3291">
        <v>42</v>
      </c>
      <c r="N3291">
        <v>-333662</v>
      </c>
      <c r="O3291">
        <v>-333662</v>
      </c>
      <c r="P3291">
        <v>0</v>
      </c>
      <c r="Q3291">
        <v>0</v>
      </c>
      <c r="R3291">
        <v>-333662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 t="s">
        <v>47</v>
      </c>
      <c r="AA3291" t="s">
        <v>501</v>
      </c>
      <c r="AB3291" t="s">
        <v>51</v>
      </c>
      <c r="AC3291" t="s">
        <v>51</v>
      </c>
      <c r="AD3291" t="s">
        <v>51</v>
      </c>
      <c r="AE3291" t="s">
        <v>51</v>
      </c>
      <c r="AF3291" t="s">
        <v>2468</v>
      </c>
    </row>
    <row r="3292" spans="1:32" ht="14.5" customHeight="1" x14ac:dyDescent="0.35">
      <c r="A3292" t="s">
        <v>531</v>
      </c>
      <c r="B3292" t="s">
        <v>2396</v>
      </c>
      <c r="C3292" t="s">
        <v>47</v>
      </c>
      <c r="D3292">
        <v>3100769</v>
      </c>
      <c r="E3292">
        <v>3000878</v>
      </c>
      <c r="F3292" t="s">
        <v>2397</v>
      </c>
      <c r="G3292" t="s">
        <v>2397</v>
      </c>
      <c r="H3292" t="s">
        <v>54</v>
      </c>
      <c r="I3292">
        <v>6954767</v>
      </c>
      <c r="J3292" s="12">
        <v>46090</v>
      </c>
      <c r="K3292" s="12">
        <v>46090</v>
      </c>
      <c r="L3292" s="12">
        <v>46090</v>
      </c>
      <c r="M3292">
        <v>42</v>
      </c>
      <c r="N3292">
        <v>-545332</v>
      </c>
      <c r="O3292">
        <v>-545332</v>
      </c>
      <c r="P3292">
        <v>0</v>
      </c>
      <c r="Q3292">
        <v>0</v>
      </c>
      <c r="R3292">
        <v>-545332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 t="s">
        <v>47</v>
      </c>
      <c r="AA3292" t="s">
        <v>501</v>
      </c>
      <c r="AB3292" t="s">
        <v>51</v>
      </c>
      <c r="AC3292" t="s">
        <v>51</v>
      </c>
      <c r="AD3292" t="s">
        <v>51</v>
      </c>
      <c r="AE3292" t="s">
        <v>51</v>
      </c>
      <c r="AF3292" t="s">
        <v>2411</v>
      </c>
    </row>
    <row r="3293" spans="1:32" ht="14.5" customHeight="1" x14ac:dyDescent="0.35">
      <c r="A3293" t="s">
        <v>531</v>
      </c>
      <c r="B3293" t="s">
        <v>2396</v>
      </c>
      <c r="C3293" t="s">
        <v>47</v>
      </c>
      <c r="D3293">
        <v>3100769</v>
      </c>
      <c r="E3293">
        <v>3000878</v>
      </c>
      <c r="F3293" t="s">
        <v>2397</v>
      </c>
      <c r="G3293" t="s">
        <v>2397</v>
      </c>
      <c r="H3293" t="s">
        <v>54</v>
      </c>
      <c r="I3293">
        <v>6954768</v>
      </c>
      <c r="J3293" s="12">
        <v>46090</v>
      </c>
      <c r="K3293" s="12">
        <v>46090</v>
      </c>
      <c r="L3293" s="12">
        <v>46090</v>
      </c>
      <c r="M3293">
        <v>42</v>
      </c>
      <c r="N3293">
        <v>-123919</v>
      </c>
      <c r="O3293">
        <v>-123919</v>
      </c>
      <c r="P3293">
        <v>0</v>
      </c>
      <c r="Q3293">
        <v>0</v>
      </c>
      <c r="R3293">
        <v>-123919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 t="s">
        <v>47</v>
      </c>
      <c r="AA3293" t="s">
        <v>501</v>
      </c>
      <c r="AB3293" t="s">
        <v>51</v>
      </c>
      <c r="AC3293" t="s">
        <v>51</v>
      </c>
      <c r="AD3293" t="s">
        <v>51</v>
      </c>
      <c r="AE3293" t="s">
        <v>51</v>
      </c>
      <c r="AF3293" t="s">
        <v>2469</v>
      </c>
    </row>
    <row r="3294" spans="1:32" ht="14.5" customHeight="1" x14ac:dyDescent="0.35">
      <c r="A3294" t="s">
        <v>531</v>
      </c>
      <c r="B3294" t="s">
        <v>2396</v>
      </c>
      <c r="C3294" t="s">
        <v>47</v>
      </c>
      <c r="D3294">
        <v>3100769</v>
      </c>
      <c r="E3294">
        <v>3000878</v>
      </c>
      <c r="F3294" t="s">
        <v>2397</v>
      </c>
      <c r="G3294" t="s">
        <v>2397</v>
      </c>
      <c r="H3294" t="s">
        <v>54</v>
      </c>
      <c r="I3294">
        <v>6954769</v>
      </c>
      <c r="J3294" s="12">
        <v>46090</v>
      </c>
      <c r="K3294" s="12">
        <v>46090</v>
      </c>
      <c r="L3294" s="12">
        <v>46090</v>
      </c>
      <c r="M3294">
        <v>42</v>
      </c>
      <c r="N3294">
        <v>-121550</v>
      </c>
      <c r="O3294">
        <v>-121550</v>
      </c>
      <c r="P3294">
        <v>0</v>
      </c>
      <c r="Q3294">
        <v>0</v>
      </c>
      <c r="R3294">
        <v>-121550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 t="s">
        <v>47</v>
      </c>
      <c r="AA3294" t="s">
        <v>501</v>
      </c>
      <c r="AB3294" t="s">
        <v>51</v>
      </c>
      <c r="AC3294" t="s">
        <v>51</v>
      </c>
      <c r="AD3294" t="s">
        <v>51</v>
      </c>
      <c r="AE3294" t="s">
        <v>51</v>
      </c>
      <c r="AF3294" t="s">
        <v>2470</v>
      </c>
    </row>
    <row r="3295" spans="1:32" ht="14.5" customHeight="1" x14ac:dyDescent="0.35">
      <c r="A3295" t="s">
        <v>531</v>
      </c>
      <c r="B3295" t="s">
        <v>2396</v>
      </c>
      <c r="C3295" t="s">
        <v>47</v>
      </c>
      <c r="D3295">
        <v>3100769</v>
      </c>
      <c r="E3295">
        <v>3000876</v>
      </c>
      <c r="F3295" t="s">
        <v>2397</v>
      </c>
      <c r="G3295" t="s">
        <v>2397</v>
      </c>
      <c r="H3295" t="s">
        <v>54</v>
      </c>
      <c r="I3295">
        <v>6954794</v>
      </c>
      <c r="J3295" s="12">
        <v>46090</v>
      </c>
      <c r="K3295" s="12">
        <v>46090</v>
      </c>
      <c r="L3295" s="12">
        <v>46090</v>
      </c>
      <c r="M3295">
        <v>42</v>
      </c>
      <c r="N3295">
        <v>-530213</v>
      </c>
      <c r="O3295">
        <v>-530213</v>
      </c>
      <c r="P3295">
        <v>0</v>
      </c>
      <c r="Q3295">
        <v>0</v>
      </c>
      <c r="R3295">
        <v>-530213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 t="s">
        <v>47</v>
      </c>
      <c r="AA3295" t="s">
        <v>501</v>
      </c>
      <c r="AB3295" t="s">
        <v>51</v>
      </c>
      <c r="AC3295" t="s">
        <v>51</v>
      </c>
      <c r="AD3295" t="s">
        <v>51</v>
      </c>
      <c r="AE3295" t="s">
        <v>51</v>
      </c>
      <c r="AF3295" t="s">
        <v>2471</v>
      </c>
    </row>
    <row r="3296" spans="1:32" ht="14.5" customHeight="1" x14ac:dyDescent="0.35">
      <c r="A3296" t="s">
        <v>531</v>
      </c>
      <c r="B3296" t="s">
        <v>2396</v>
      </c>
      <c r="C3296" t="s">
        <v>47</v>
      </c>
      <c r="D3296">
        <v>3100769</v>
      </c>
      <c r="E3296">
        <v>3000876</v>
      </c>
      <c r="F3296" t="s">
        <v>2397</v>
      </c>
      <c r="G3296" t="s">
        <v>2397</v>
      </c>
      <c r="H3296" t="s">
        <v>54</v>
      </c>
      <c r="I3296">
        <v>6954795</v>
      </c>
      <c r="J3296" s="12">
        <v>46090</v>
      </c>
      <c r="K3296" s="12">
        <v>46090</v>
      </c>
      <c r="L3296" s="12">
        <v>46090</v>
      </c>
      <c r="M3296">
        <v>42</v>
      </c>
      <c r="N3296">
        <v>-1841388</v>
      </c>
      <c r="O3296">
        <v>-1841388</v>
      </c>
      <c r="P3296">
        <v>0</v>
      </c>
      <c r="Q3296">
        <v>0</v>
      </c>
      <c r="R3296">
        <v>-1841388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 t="s">
        <v>47</v>
      </c>
      <c r="AA3296" t="s">
        <v>501</v>
      </c>
      <c r="AB3296" t="s">
        <v>51</v>
      </c>
      <c r="AC3296" t="s">
        <v>51</v>
      </c>
      <c r="AD3296" t="s">
        <v>51</v>
      </c>
      <c r="AE3296" t="s">
        <v>51</v>
      </c>
      <c r="AF3296" t="s">
        <v>2472</v>
      </c>
    </row>
    <row r="3297" spans="1:32" ht="14.5" customHeight="1" x14ac:dyDescent="0.35">
      <c r="A3297" t="s">
        <v>531</v>
      </c>
      <c r="B3297" t="s">
        <v>2396</v>
      </c>
      <c r="C3297" t="s">
        <v>47</v>
      </c>
      <c r="D3297">
        <v>3100769</v>
      </c>
      <c r="E3297">
        <v>3000876</v>
      </c>
      <c r="F3297" t="s">
        <v>2397</v>
      </c>
      <c r="G3297" t="s">
        <v>2397</v>
      </c>
      <c r="H3297" t="s">
        <v>54</v>
      </c>
      <c r="I3297">
        <v>6954796</v>
      </c>
      <c r="J3297" s="12">
        <v>46090</v>
      </c>
      <c r="K3297" s="12">
        <v>46090</v>
      </c>
      <c r="L3297" s="12">
        <v>46090</v>
      </c>
      <c r="M3297">
        <v>42</v>
      </c>
      <c r="N3297">
        <v>-1571613</v>
      </c>
      <c r="O3297">
        <v>-1571613</v>
      </c>
      <c r="P3297">
        <v>0</v>
      </c>
      <c r="Q3297">
        <v>0</v>
      </c>
      <c r="R3297">
        <v>-1571613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 t="s">
        <v>47</v>
      </c>
      <c r="AA3297" t="s">
        <v>501</v>
      </c>
      <c r="AB3297" t="s">
        <v>51</v>
      </c>
      <c r="AC3297" t="s">
        <v>51</v>
      </c>
      <c r="AD3297" t="s">
        <v>51</v>
      </c>
      <c r="AE3297" t="s">
        <v>51</v>
      </c>
      <c r="AF3297" t="s">
        <v>2473</v>
      </c>
    </row>
    <row r="3298" spans="1:32" ht="14.5" customHeight="1" x14ac:dyDescent="0.35">
      <c r="A3298" t="s">
        <v>531</v>
      </c>
      <c r="B3298" t="s">
        <v>2396</v>
      </c>
      <c r="C3298" t="s">
        <v>47</v>
      </c>
      <c r="D3298">
        <v>3100769</v>
      </c>
      <c r="E3298">
        <v>3000876</v>
      </c>
      <c r="F3298" t="s">
        <v>2397</v>
      </c>
      <c r="G3298" t="s">
        <v>2397</v>
      </c>
      <c r="H3298" t="s">
        <v>54</v>
      </c>
      <c r="I3298">
        <v>6954797</v>
      </c>
      <c r="J3298" s="12">
        <v>46090</v>
      </c>
      <c r="K3298" s="12">
        <v>46090</v>
      </c>
      <c r="L3298" s="12">
        <v>46090</v>
      </c>
      <c r="M3298">
        <v>42</v>
      </c>
      <c r="N3298">
        <v>-1174591</v>
      </c>
      <c r="O3298">
        <v>-1174591</v>
      </c>
      <c r="P3298">
        <v>0</v>
      </c>
      <c r="Q3298">
        <v>0</v>
      </c>
      <c r="R3298">
        <v>-1174591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 t="s">
        <v>47</v>
      </c>
      <c r="AA3298" t="s">
        <v>501</v>
      </c>
      <c r="AB3298" t="s">
        <v>51</v>
      </c>
      <c r="AC3298" t="s">
        <v>51</v>
      </c>
      <c r="AD3298" t="s">
        <v>51</v>
      </c>
      <c r="AE3298" t="s">
        <v>51</v>
      </c>
      <c r="AF3298" t="s">
        <v>2474</v>
      </c>
    </row>
    <row r="3299" spans="1:32" ht="14.5" customHeight="1" x14ac:dyDescent="0.35">
      <c r="A3299" t="s">
        <v>531</v>
      </c>
      <c r="B3299" t="s">
        <v>2396</v>
      </c>
      <c r="C3299" t="s">
        <v>47</v>
      </c>
      <c r="D3299">
        <v>3100769</v>
      </c>
      <c r="E3299">
        <v>3000876</v>
      </c>
      <c r="F3299" t="s">
        <v>2397</v>
      </c>
      <c r="G3299" t="s">
        <v>2397</v>
      </c>
      <c r="H3299" t="s">
        <v>54</v>
      </c>
      <c r="I3299">
        <v>6954798</v>
      </c>
      <c r="J3299" s="12">
        <v>46090</v>
      </c>
      <c r="K3299" s="12">
        <v>46090</v>
      </c>
      <c r="L3299" s="12">
        <v>46090</v>
      </c>
      <c r="M3299">
        <v>42</v>
      </c>
      <c r="N3299">
        <v>-928553</v>
      </c>
      <c r="O3299">
        <v>-928553</v>
      </c>
      <c r="P3299">
        <v>0</v>
      </c>
      <c r="Q3299">
        <v>0</v>
      </c>
      <c r="R3299">
        <v>-928553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 t="s">
        <v>47</v>
      </c>
      <c r="AA3299" t="s">
        <v>501</v>
      </c>
      <c r="AB3299" t="s">
        <v>51</v>
      </c>
      <c r="AC3299" t="s">
        <v>51</v>
      </c>
      <c r="AD3299" t="s">
        <v>51</v>
      </c>
      <c r="AE3299" t="s">
        <v>51</v>
      </c>
      <c r="AF3299" t="s">
        <v>2475</v>
      </c>
    </row>
    <row r="3300" spans="1:32" ht="14.5" customHeight="1" x14ac:dyDescent="0.35">
      <c r="A3300" t="s">
        <v>531</v>
      </c>
      <c r="B3300" t="s">
        <v>2396</v>
      </c>
      <c r="C3300" t="s">
        <v>47</v>
      </c>
      <c r="D3300">
        <v>3100769</v>
      </c>
      <c r="E3300">
        <v>3000876</v>
      </c>
      <c r="F3300" t="s">
        <v>2397</v>
      </c>
      <c r="G3300" t="s">
        <v>2397</v>
      </c>
      <c r="H3300" t="s">
        <v>54</v>
      </c>
      <c r="I3300">
        <v>6954799</v>
      </c>
      <c r="J3300" s="12">
        <v>46090</v>
      </c>
      <c r="K3300" s="12">
        <v>46090</v>
      </c>
      <c r="L3300" s="12">
        <v>46090</v>
      </c>
      <c r="M3300">
        <v>42</v>
      </c>
      <c r="N3300">
        <v>-704999</v>
      </c>
      <c r="O3300">
        <v>-704999</v>
      </c>
      <c r="P3300">
        <v>0</v>
      </c>
      <c r="Q3300">
        <v>0</v>
      </c>
      <c r="R3300">
        <v>-704999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 t="s">
        <v>47</v>
      </c>
      <c r="AA3300" t="s">
        <v>501</v>
      </c>
      <c r="AB3300" t="s">
        <v>51</v>
      </c>
      <c r="AC3300" t="s">
        <v>51</v>
      </c>
      <c r="AD3300" t="s">
        <v>51</v>
      </c>
      <c r="AE3300" t="s">
        <v>51</v>
      </c>
      <c r="AF3300" t="s">
        <v>2476</v>
      </c>
    </row>
    <row r="3301" spans="1:32" ht="14.5" customHeight="1" x14ac:dyDescent="0.35">
      <c r="A3301" t="s">
        <v>531</v>
      </c>
      <c r="B3301" t="s">
        <v>2396</v>
      </c>
      <c r="C3301" t="s">
        <v>47</v>
      </c>
      <c r="D3301">
        <v>3100769</v>
      </c>
      <c r="E3301">
        <v>3000876</v>
      </c>
      <c r="F3301" t="s">
        <v>2397</v>
      </c>
      <c r="G3301" t="s">
        <v>2397</v>
      </c>
      <c r="H3301" t="s">
        <v>54</v>
      </c>
      <c r="I3301">
        <v>6954800</v>
      </c>
      <c r="J3301" s="12">
        <v>46090</v>
      </c>
      <c r="K3301" s="12">
        <v>46090</v>
      </c>
      <c r="L3301" s="12">
        <v>46090</v>
      </c>
      <c r="M3301">
        <v>42</v>
      </c>
      <c r="N3301">
        <v>-574212</v>
      </c>
      <c r="O3301">
        <v>-574212</v>
      </c>
      <c r="P3301">
        <v>0</v>
      </c>
      <c r="Q3301">
        <v>0</v>
      </c>
      <c r="R3301">
        <v>-574212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 t="s">
        <v>47</v>
      </c>
      <c r="AA3301" t="s">
        <v>501</v>
      </c>
      <c r="AB3301" t="s">
        <v>51</v>
      </c>
      <c r="AC3301" t="s">
        <v>51</v>
      </c>
      <c r="AD3301" t="s">
        <v>51</v>
      </c>
      <c r="AE3301" t="s">
        <v>51</v>
      </c>
      <c r="AF3301" t="s">
        <v>2477</v>
      </c>
    </row>
    <row r="3302" spans="1:32" ht="14.5" customHeight="1" x14ac:dyDescent="0.35">
      <c r="A3302" t="s">
        <v>531</v>
      </c>
      <c r="B3302" t="s">
        <v>2396</v>
      </c>
      <c r="C3302" t="s">
        <v>47</v>
      </c>
      <c r="D3302">
        <v>3100769</v>
      </c>
      <c r="E3302">
        <v>3000876</v>
      </c>
      <c r="F3302" t="s">
        <v>2397</v>
      </c>
      <c r="G3302" t="s">
        <v>2397</v>
      </c>
      <c r="H3302" t="s">
        <v>54</v>
      </c>
      <c r="I3302">
        <v>6954801</v>
      </c>
      <c r="J3302" s="12">
        <v>46090</v>
      </c>
      <c r="K3302" s="12">
        <v>46090</v>
      </c>
      <c r="L3302" s="12">
        <v>46090</v>
      </c>
      <c r="M3302">
        <v>42</v>
      </c>
      <c r="N3302">
        <v>-475714</v>
      </c>
      <c r="O3302">
        <v>-475714</v>
      </c>
      <c r="P3302">
        <v>0</v>
      </c>
      <c r="Q3302">
        <v>0</v>
      </c>
      <c r="R3302">
        <v>-475714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 t="s">
        <v>47</v>
      </c>
      <c r="AA3302" t="s">
        <v>501</v>
      </c>
      <c r="AB3302" t="s">
        <v>51</v>
      </c>
      <c r="AC3302" t="s">
        <v>51</v>
      </c>
      <c r="AD3302" t="s">
        <v>51</v>
      </c>
      <c r="AE3302" t="s">
        <v>51</v>
      </c>
      <c r="AF3302" t="s">
        <v>2478</v>
      </c>
    </row>
    <row r="3303" spans="1:32" ht="14.5" customHeight="1" x14ac:dyDescent="0.35">
      <c r="A3303" t="s">
        <v>531</v>
      </c>
      <c r="B3303" t="s">
        <v>2396</v>
      </c>
      <c r="C3303" t="s">
        <v>47</v>
      </c>
      <c r="D3303">
        <v>3100769</v>
      </c>
      <c r="E3303">
        <v>3000876</v>
      </c>
      <c r="F3303" t="s">
        <v>2397</v>
      </c>
      <c r="G3303" t="s">
        <v>2397</v>
      </c>
      <c r="H3303" t="s">
        <v>54</v>
      </c>
      <c r="I3303">
        <v>6954802</v>
      </c>
      <c r="J3303" s="12">
        <v>46090</v>
      </c>
      <c r="K3303" s="12">
        <v>46090</v>
      </c>
      <c r="L3303" s="12">
        <v>46090</v>
      </c>
      <c r="M3303">
        <v>42</v>
      </c>
      <c r="N3303">
        <v>-374544</v>
      </c>
      <c r="O3303">
        <v>-374544</v>
      </c>
      <c r="P3303">
        <v>0</v>
      </c>
      <c r="Q3303">
        <v>0</v>
      </c>
      <c r="R3303">
        <v>-374544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 t="s">
        <v>47</v>
      </c>
      <c r="AA3303" t="s">
        <v>501</v>
      </c>
      <c r="AB3303" t="s">
        <v>51</v>
      </c>
      <c r="AC3303" t="s">
        <v>51</v>
      </c>
      <c r="AD3303" t="s">
        <v>51</v>
      </c>
      <c r="AE3303" t="s">
        <v>51</v>
      </c>
      <c r="AF3303" t="s">
        <v>2479</v>
      </c>
    </row>
    <row r="3304" spans="1:32" ht="14.5" customHeight="1" x14ac:dyDescent="0.35">
      <c r="A3304" t="s">
        <v>531</v>
      </c>
      <c r="B3304" t="s">
        <v>2396</v>
      </c>
      <c r="C3304" t="s">
        <v>47</v>
      </c>
      <c r="D3304">
        <v>3100769</v>
      </c>
      <c r="E3304">
        <v>3000876</v>
      </c>
      <c r="F3304" t="s">
        <v>2397</v>
      </c>
      <c r="G3304" t="s">
        <v>2397</v>
      </c>
      <c r="H3304" t="s">
        <v>54</v>
      </c>
      <c r="I3304">
        <v>6954803</v>
      </c>
      <c r="J3304" s="12">
        <v>46090</v>
      </c>
      <c r="K3304" s="12">
        <v>46090</v>
      </c>
      <c r="L3304" s="12">
        <v>46090</v>
      </c>
      <c r="M3304">
        <v>42</v>
      </c>
      <c r="N3304">
        <v>-355729</v>
      </c>
      <c r="O3304">
        <v>-355729</v>
      </c>
      <c r="P3304">
        <v>0</v>
      </c>
      <c r="Q3304">
        <v>0</v>
      </c>
      <c r="R3304">
        <v>-355729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 t="s">
        <v>47</v>
      </c>
      <c r="AA3304" t="s">
        <v>501</v>
      </c>
      <c r="AB3304" t="s">
        <v>51</v>
      </c>
      <c r="AC3304" t="s">
        <v>51</v>
      </c>
      <c r="AD3304" t="s">
        <v>51</v>
      </c>
      <c r="AE3304" t="s">
        <v>51</v>
      </c>
      <c r="AF3304" t="s">
        <v>2480</v>
      </c>
    </row>
    <row r="3305" spans="1:32" ht="14.5" customHeight="1" x14ac:dyDescent="0.35">
      <c r="A3305" t="s">
        <v>531</v>
      </c>
      <c r="B3305" t="s">
        <v>2396</v>
      </c>
      <c r="C3305" t="s">
        <v>47</v>
      </c>
      <c r="D3305">
        <v>3100769</v>
      </c>
      <c r="E3305">
        <v>3000876</v>
      </c>
      <c r="F3305" t="s">
        <v>2397</v>
      </c>
      <c r="G3305" t="s">
        <v>2397</v>
      </c>
      <c r="H3305" t="s">
        <v>54</v>
      </c>
      <c r="I3305">
        <v>6954804</v>
      </c>
      <c r="J3305" s="12">
        <v>46090</v>
      </c>
      <c r="K3305" s="12">
        <v>46090</v>
      </c>
      <c r="L3305" s="12">
        <v>46090</v>
      </c>
      <c r="M3305">
        <v>42</v>
      </c>
      <c r="N3305">
        <v>-1437037</v>
      </c>
      <c r="O3305">
        <v>-1437037</v>
      </c>
      <c r="P3305">
        <v>0</v>
      </c>
      <c r="Q3305">
        <v>0</v>
      </c>
      <c r="R3305">
        <v>-1437037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 t="s">
        <v>47</v>
      </c>
      <c r="AA3305" t="s">
        <v>501</v>
      </c>
      <c r="AB3305" t="s">
        <v>51</v>
      </c>
      <c r="AC3305" t="s">
        <v>51</v>
      </c>
      <c r="AD3305" t="s">
        <v>51</v>
      </c>
      <c r="AE3305" t="s">
        <v>51</v>
      </c>
      <c r="AF3305" t="s">
        <v>2481</v>
      </c>
    </row>
    <row r="3306" spans="1:32" ht="14.5" customHeight="1" x14ac:dyDescent="0.35">
      <c r="A3306" t="s">
        <v>531</v>
      </c>
      <c r="B3306" t="s">
        <v>2396</v>
      </c>
      <c r="C3306" t="s">
        <v>47</v>
      </c>
      <c r="D3306">
        <v>3100769</v>
      </c>
      <c r="E3306">
        <v>3000876</v>
      </c>
      <c r="F3306" t="s">
        <v>2397</v>
      </c>
      <c r="G3306" t="s">
        <v>2397</v>
      </c>
      <c r="H3306" t="s">
        <v>54</v>
      </c>
      <c r="I3306">
        <v>6954805</v>
      </c>
      <c r="J3306" s="12">
        <v>46090</v>
      </c>
      <c r="K3306" s="12">
        <v>46090</v>
      </c>
      <c r="L3306" s="12">
        <v>46090</v>
      </c>
      <c r="M3306">
        <v>42</v>
      </c>
      <c r="N3306">
        <v>-1146110</v>
      </c>
      <c r="O3306">
        <v>-1146110</v>
      </c>
      <c r="P3306">
        <v>0</v>
      </c>
      <c r="Q3306">
        <v>0</v>
      </c>
      <c r="R3306">
        <v>-1146110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 t="s">
        <v>47</v>
      </c>
      <c r="AA3306" t="s">
        <v>501</v>
      </c>
      <c r="AB3306" t="s">
        <v>51</v>
      </c>
      <c r="AC3306" t="s">
        <v>51</v>
      </c>
      <c r="AD3306" t="s">
        <v>51</v>
      </c>
      <c r="AE3306" t="s">
        <v>51</v>
      </c>
      <c r="AF3306" t="s">
        <v>2482</v>
      </c>
    </row>
    <row r="3307" spans="1:32" ht="14.5" customHeight="1" x14ac:dyDescent="0.35">
      <c r="A3307" t="s">
        <v>531</v>
      </c>
      <c r="B3307" t="s">
        <v>2396</v>
      </c>
      <c r="C3307" t="s">
        <v>47</v>
      </c>
      <c r="D3307">
        <v>3100769</v>
      </c>
      <c r="E3307">
        <v>3000876</v>
      </c>
      <c r="F3307" t="s">
        <v>2397</v>
      </c>
      <c r="G3307" t="s">
        <v>2397</v>
      </c>
      <c r="H3307" t="s">
        <v>54</v>
      </c>
      <c r="I3307">
        <v>6954806</v>
      </c>
      <c r="J3307" s="12">
        <v>46090</v>
      </c>
      <c r="K3307" s="12">
        <v>46090</v>
      </c>
      <c r="L3307" s="12">
        <v>46090</v>
      </c>
      <c r="M3307">
        <v>42</v>
      </c>
      <c r="N3307">
        <v>-371048</v>
      </c>
      <c r="O3307">
        <v>-371048</v>
      </c>
      <c r="P3307">
        <v>0</v>
      </c>
      <c r="Q3307">
        <v>0</v>
      </c>
      <c r="R3307">
        <v>-371048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 t="s">
        <v>47</v>
      </c>
      <c r="AA3307" t="s">
        <v>501</v>
      </c>
      <c r="AB3307" t="s">
        <v>51</v>
      </c>
      <c r="AC3307" t="s">
        <v>51</v>
      </c>
      <c r="AD3307" t="s">
        <v>51</v>
      </c>
      <c r="AE3307" t="s">
        <v>51</v>
      </c>
      <c r="AF3307" t="s">
        <v>2423</v>
      </c>
    </row>
    <row r="3308" spans="1:32" ht="14.5" customHeight="1" x14ac:dyDescent="0.35">
      <c r="A3308" t="s">
        <v>531</v>
      </c>
      <c r="B3308" t="s">
        <v>2396</v>
      </c>
      <c r="C3308" t="s">
        <v>47</v>
      </c>
      <c r="D3308">
        <v>3100769</v>
      </c>
      <c r="E3308">
        <v>3000876</v>
      </c>
      <c r="F3308" t="s">
        <v>2397</v>
      </c>
      <c r="G3308" t="s">
        <v>2397</v>
      </c>
      <c r="H3308" t="s">
        <v>54</v>
      </c>
      <c r="I3308">
        <v>6954807</v>
      </c>
      <c r="J3308" s="12">
        <v>46090</v>
      </c>
      <c r="K3308" s="12">
        <v>46090</v>
      </c>
      <c r="L3308" s="12">
        <v>46090</v>
      </c>
      <c r="M3308">
        <v>42</v>
      </c>
      <c r="N3308">
        <v>-134557</v>
      </c>
      <c r="O3308">
        <v>-134557</v>
      </c>
      <c r="P3308">
        <v>0</v>
      </c>
      <c r="Q3308">
        <v>0</v>
      </c>
      <c r="R3308">
        <v>-134557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 t="s">
        <v>47</v>
      </c>
      <c r="AA3308" t="s">
        <v>501</v>
      </c>
      <c r="AB3308" t="s">
        <v>51</v>
      </c>
      <c r="AC3308" t="s">
        <v>51</v>
      </c>
      <c r="AD3308" t="s">
        <v>51</v>
      </c>
      <c r="AE3308" t="s">
        <v>51</v>
      </c>
      <c r="AF3308" t="s">
        <v>2417</v>
      </c>
    </row>
    <row r="3309" spans="1:32" ht="14.5" customHeight="1" x14ac:dyDescent="0.35">
      <c r="A3309" t="s">
        <v>531</v>
      </c>
      <c r="B3309" t="s">
        <v>2396</v>
      </c>
      <c r="C3309" t="s">
        <v>47</v>
      </c>
      <c r="D3309">
        <v>3100769</v>
      </c>
      <c r="E3309">
        <v>3000876</v>
      </c>
      <c r="F3309" t="s">
        <v>2397</v>
      </c>
      <c r="G3309" t="s">
        <v>2397</v>
      </c>
      <c r="H3309" t="s">
        <v>54</v>
      </c>
      <c r="I3309">
        <v>6954808</v>
      </c>
      <c r="J3309" s="12">
        <v>46090</v>
      </c>
      <c r="K3309" s="12">
        <v>46090</v>
      </c>
      <c r="L3309" s="12">
        <v>46090</v>
      </c>
      <c r="M3309">
        <v>42</v>
      </c>
      <c r="N3309">
        <v>-121513</v>
      </c>
      <c r="O3309">
        <v>-121513</v>
      </c>
      <c r="P3309">
        <v>0</v>
      </c>
      <c r="Q3309">
        <v>0</v>
      </c>
      <c r="R3309">
        <v>-121513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 t="s">
        <v>47</v>
      </c>
      <c r="AA3309" t="s">
        <v>501</v>
      </c>
      <c r="AB3309" t="s">
        <v>51</v>
      </c>
      <c r="AC3309" t="s">
        <v>51</v>
      </c>
      <c r="AD3309" t="s">
        <v>51</v>
      </c>
      <c r="AE3309" t="s">
        <v>51</v>
      </c>
      <c r="AF3309" t="s">
        <v>2483</v>
      </c>
    </row>
    <row r="3310" spans="1:32" ht="14.5" customHeight="1" x14ac:dyDescent="0.35">
      <c r="A3310" t="s">
        <v>531</v>
      </c>
      <c r="B3310" t="s">
        <v>2396</v>
      </c>
      <c r="C3310" t="s">
        <v>47</v>
      </c>
      <c r="D3310">
        <v>3100769</v>
      </c>
      <c r="E3310">
        <v>3000876</v>
      </c>
      <c r="F3310" t="s">
        <v>2397</v>
      </c>
      <c r="G3310" t="s">
        <v>2397</v>
      </c>
      <c r="H3310" t="s">
        <v>54</v>
      </c>
      <c r="I3310">
        <v>6954809</v>
      </c>
      <c r="J3310" s="12">
        <v>46090</v>
      </c>
      <c r="K3310" s="12">
        <v>46090</v>
      </c>
      <c r="L3310" s="12">
        <v>46090</v>
      </c>
      <c r="M3310">
        <v>42</v>
      </c>
      <c r="N3310">
        <v>-97813</v>
      </c>
      <c r="O3310">
        <v>-97813</v>
      </c>
      <c r="P3310">
        <v>0</v>
      </c>
      <c r="Q3310">
        <v>0</v>
      </c>
      <c r="R3310">
        <v>-97813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 t="s">
        <v>47</v>
      </c>
      <c r="AA3310" t="s">
        <v>501</v>
      </c>
      <c r="AB3310" t="s">
        <v>51</v>
      </c>
      <c r="AC3310" t="s">
        <v>51</v>
      </c>
      <c r="AD3310" t="s">
        <v>51</v>
      </c>
      <c r="AE3310" t="s">
        <v>51</v>
      </c>
      <c r="AF3310" t="s">
        <v>2484</v>
      </c>
    </row>
    <row r="3311" spans="1:32" ht="14.5" customHeight="1" x14ac:dyDescent="0.35">
      <c r="A3311" t="s">
        <v>531</v>
      </c>
      <c r="B3311" t="s">
        <v>2396</v>
      </c>
      <c r="C3311" t="s">
        <v>47</v>
      </c>
      <c r="D3311">
        <v>3100769</v>
      </c>
      <c r="E3311">
        <v>3000878</v>
      </c>
      <c r="F3311" t="s">
        <v>2397</v>
      </c>
      <c r="G3311" t="s">
        <v>2397</v>
      </c>
      <c r="H3311" t="s">
        <v>54</v>
      </c>
      <c r="I3311">
        <v>6954810</v>
      </c>
      <c r="J3311" s="12">
        <v>46090</v>
      </c>
      <c r="K3311" s="12">
        <v>46090</v>
      </c>
      <c r="L3311" s="12">
        <v>46090</v>
      </c>
      <c r="M3311">
        <v>42</v>
      </c>
      <c r="N3311">
        <v>-60653</v>
      </c>
      <c r="O3311">
        <v>-60653</v>
      </c>
      <c r="P3311">
        <v>0</v>
      </c>
      <c r="Q3311">
        <v>0</v>
      </c>
      <c r="R3311">
        <v>-60653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 t="s">
        <v>47</v>
      </c>
      <c r="AA3311" t="s">
        <v>501</v>
      </c>
      <c r="AB3311" t="s">
        <v>51</v>
      </c>
      <c r="AC3311" t="s">
        <v>51</v>
      </c>
      <c r="AD3311" t="s">
        <v>51</v>
      </c>
      <c r="AE3311" t="s">
        <v>51</v>
      </c>
      <c r="AF3311" t="s">
        <v>2485</v>
      </c>
    </row>
    <row r="3312" spans="1:32" ht="14.5" customHeight="1" x14ac:dyDescent="0.35">
      <c r="A3312" t="s">
        <v>531</v>
      </c>
      <c r="B3312" t="s">
        <v>2396</v>
      </c>
      <c r="C3312" t="s">
        <v>47</v>
      </c>
      <c r="D3312">
        <v>3100769</v>
      </c>
      <c r="E3312">
        <v>3000878</v>
      </c>
      <c r="F3312" t="s">
        <v>2397</v>
      </c>
      <c r="G3312" t="s">
        <v>2397</v>
      </c>
      <c r="H3312" t="s">
        <v>54</v>
      </c>
      <c r="I3312">
        <v>6954811</v>
      </c>
      <c r="J3312" s="12">
        <v>46090</v>
      </c>
      <c r="K3312" s="12">
        <v>46090</v>
      </c>
      <c r="L3312" s="12">
        <v>46090</v>
      </c>
      <c r="M3312">
        <v>42</v>
      </c>
      <c r="N3312">
        <v>-165416</v>
      </c>
      <c r="O3312">
        <v>-165416</v>
      </c>
      <c r="P3312">
        <v>0</v>
      </c>
      <c r="Q3312">
        <v>0</v>
      </c>
      <c r="R3312">
        <v>-165416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 t="s">
        <v>47</v>
      </c>
      <c r="AA3312" t="s">
        <v>501</v>
      </c>
      <c r="AB3312" t="s">
        <v>51</v>
      </c>
      <c r="AC3312" t="s">
        <v>51</v>
      </c>
      <c r="AD3312" t="s">
        <v>51</v>
      </c>
      <c r="AE3312" t="s">
        <v>51</v>
      </c>
      <c r="AF3312" t="s">
        <v>2486</v>
      </c>
    </row>
    <row r="3313" spans="1:32" ht="14.5" customHeight="1" x14ac:dyDescent="0.35">
      <c r="A3313" t="s">
        <v>531</v>
      </c>
      <c r="B3313" t="s">
        <v>2396</v>
      </c>
      <c r="C3313" t="s">
        <v>47</v>
      </c>
      <c r="D3313">
        <v>3100769</v>
      </c>
      <c r="E3313">
        <v>3000878</v>
      </c>
      <c r="F3313" t="s">
        <v>2397</v>
      </c>
      <c r="G3313" t="s">
        <v>2397</v>
      </c>
      <c r="H3313" t="s">
        <v>54</v>
      </c>
      <c r="I3313">
        <v>6954812</v>
      </c>
      <c r="J3313" s="12">
        <v>46090</v>
      </c>
      <c r="K3313" s="12">
        <v>46090</v>
      </c>
      <c r="L3313" s="12">
        <v>46090</v>
      </c>
      <c r="M3313">
        <v>42</v>
      </c>
      <c r="N3313">
        <v>-245508</v>
      </c>
      <c r="O3313">
        <v>-245508</v>
      </c>
      <c r="P3313">
        <v>0</v>
      </c>
      <c r="Q3313">
        <v>0</v>
      </c>
      <c r="R3313">
        <v>-245508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 t="s">
        <v>47</v>
      </c>
      <c r="AA3313" t="s">
        <v>501</v>
      </c>
      <c r="AB3313" t="s">
        <v>51</v>
      </c>
      <c r="AC3313" t="s">
        <v>51</v>
      </c>
      <c r="AD3313" t="s">
        <v>51</v>
      </c>
      <c r="AE3313" t="s">
        <v>51</v>
      </c>
      <c r="AF3313" t="s">
        <v>2423</v>
      </c>
    </row>
    <row r="3314" spans="1:32" ht="14.5" customHeight="1" x14ac:dyDescent="0.35">
      <c r="A3314" t="s">
        <v>531</v>
      </c>
      <c r="B3314" t="s">
        <v>2396</v>
      </c>
      <c r="C3314" t="s">
        <v>47</v>
      </c>
      <c r="D3314">
        <v>3100769</v>
      </c>
      <c r="E3314">
        <v>3000878</v>
      </c>
      <c r="F3314" t="s">
        <v>2397</v>
      </c>
      <c r="G3314" t="s">
        <v>2397</v>
      </c>
      <c r="H3314" t="s">
        <v>54</v>
      </c>
      <c r="I3314">
        <v>6954813</v>
      </c>
      <c r="J3314" s="12">
        <v>46090</v>
      </c>
      <c r="K3314" s="12">
        <v>46090</v>
      </c>
      <c r="L3314" s="12">
        <v>46090</v>
      </c>
      <c r="M3314">
        <v>42</v>
      </c>
      <c r="N3314">
        <v>-163116</v>
      </c>
      <c r="O3314">
        <v>-163116</v>
      </c>
      <c r="P3314">
        <v>0</v>
      </c>
      <c r="Q3314">
        <v>0</v>
      </c>
      <c r="R3314">
        <v>-163116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 t="s">
        <v>47</v>
      </c>
      <c r="AA3314" t="s">
        <v>501</v>
      </c>
      <c r="AB3314" t="s">
        <v>51</v>
      </c>
      <c r="AC3314" t="s">
        <v>51</v>
      </c>
      <c r="AD3314" t="s">
        <v>51</v>
      </c>
      <c r="AE3314" t="s">
        <v>51</v>
      </c>
      <c r="AF3314" t="s">
        <v>2417</v>
      </c>
    </row>
    <row r="3315" spans="1:32" ht="14.5" customHeight="1" x14ac:dyDescent="0.35">
      <c r="A3315" t="s">
        <v>531</v>
      </c>
      <c r="B3315" t="s">
        <v>2396</v>
      </c>
      <c r="C3315" t="s">
        <v>47</v>
      </c>
      <c r="D3315">
        <v>3100769</v>
      </c>
      <c r="E3315">
        <v>3000878</v>
      </c>
      <c r="F3315" t="s">
        <v>2397</v>
      </c>
      <c r="G3315" t="s">
        <v>2397</v>
      </c>
      <c r="H3315" t="s">
        <v>54</v>
      </c>
      <c r="I3315">
        <v>6954814</v>
      </c>
      <c r="J3315" s="12">
        <v>46090</v>
      </c>
      <c r="K3315" s="12">
        <v>46090</v>
      </c>
      <c r="L3315" s="12">
        <v>46090</v>
      </c>
      <c r="M3315">
        <v>42</v>
      </c>
      <c r="N3315">
        <v>-115234</v>
      </c>
      <c r="O3315">
        <v>-115234</v>
      </c>
      <c r="P3315">
        <v>0</v>
      </c>
      <c r="Q3315">
        <v>0</v>
      </c>
      <c r="R3315">
        <v>-115234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 t="s">
        <v>47</v>
      </c>
      <c r="AA3315" t="s">
        <v>501</v>
      </c>
      <c r="AB3315" t="s">
        <v>51</v>
      </c>
      <c r="AC3315" t="s">
        <v>51</v>
      </c>
      <c r="AD3315" t="s">
        <v>51</v>
      </c>
      <c r="AE3315" t="s">
        <v>51</v>
      </c>
      <c r="AF3315" t="s">
        <v>2483</v>
      </c>
    </row>
    <row r="3316" spans="1:32" ht="14.5" customHeight="1" x14ac:dyDescent="0.35">
      <c r="A3316" t="s">
        <v>531</v>
      </c>
      <c r="B3316" t="s">
        <v>2396</v>
      </c>
      <c r="C3316" t="s">
        <v>47</v>
      </c>
      <c r="D3316">
        <v>3100769</v>
      </c>
      <c r="E3316">
        <v>3000876</v>
      </c>
      <c r="F3316" t="s">
        <v>2397</v>
      </c>
      <c r="G3316" t="s">
        <v>2397</v>
      </c>
      <c r="H3316" t="s">
        <v>54</v>
      </c>
      <c r="I3316">
        <v>6955003</v>
      </c>
      <c r="J3316" s="12">
        <v>46091</v>
      </c>
      <c r="K3316" s="12">
        <v>46091</v>
      </c>
      <c r="L3316" s="12">
        <v>46091</v>
      </c>
      <c r="M3316">
        <v>41</v>
      </c>
      <c r="N3316">
        <v>-196479</v>
      </c>
      <c r="O3316">
        <v>-196479</v>
      </c>
      <c r="P3316">
        <v>0</v>
      </c>
      <c r="Q3316">
        <v>0</v>
      </c>
      <c r="R3316">
        <v>-196479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 t="s">
        <v>47</v>
      </c>
      <c r="AA3316" t="s">
        <v>501</v>
      </c>
      <c r="AB3316" t="s">
        <v>51</v>
      </c>
      <c r="AC3316" t="s">
        <v>51</v>
      </c>
      <c r="AD3316" t="s">
        <v>51</v>
      </c>
      <c r="AE3316" t="s">
        <v>51</v>
      </c>
      <c r="AF3316" t="s">
        <v>2462</v>
      </c>
    </row>
    <row r="3317" spans="1:32" ht="14.5" customHeight="1" x14ac:dyDescent="0.35">
      <c r="A3317" t="s">
        <v>531</v>
      </c>
      <c r="B3317" t="s">
        <v>2396</v>
      </c>
      <c r="C3317" t="s">
        <v>47</v>
      </c>
      <c r="D3317">
        <v>3100769</v>
      </c>
      <c r="E3317">
        <v>3000876</v>
      </c>
      <c r="F3317" t="s">
        <v>2397</v>
      </c>
      <c r="G3317" t="s">
        <v>2397</v>
      </c>
      <c r="H3317" t="s">
        <v>54</v>
      </c>
      <c r="I3317">
        <v>6955014</v>
      </c>
      <c r="J3317" s="12">
        <v>46092</v>
      </c>
      <c r="K3317" s="12">
        <v>46092</v>
      </c>
      <c r="L3317" s="12">
        <v>46092</v>
      </c>
      <c r="M3317">
        <v>40</v>
      </c>
      <c r="N3317">
        <v>-14014646</v>
      </c>
      <c r="O3317">
        <v>-14014646</v>
      </c>
      <c r="P3317">
        <v>0</v>
      </c>
      <c r="Q3317">
        <v>0</v>
      </c>
      <c r="R3317">
        <v>-14014646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 t="s">
        <v>47</v>
      </c>
      <c r="AA3317" t="s">
        <v>501</v>
      </c>
      <c r="AB3317" t="s">
        <v>51</v>
      </c>
      <c r="AC3317" t="s">
        <v>51</v>
      </c>
      <c r="AD3317" t="s">
        <v>51</v>
      </c>
      <c r="AE3317" t="s">
        <v>51</v>
      </c>
      <c r="AF3317" t="s">
        <v>56</v>
      </c>
    </row>
    <row r="3318" spans="1:32" ht="14.5" customHeight="1" x14ac:dyDescent="0.35">
      <c r="A3318" t="s">
        <v>531</v>
      </c>
      <c r="B3318" t="s">
        <v>532</v>
      </c>
      <c r="C3318" t="s">
        <v>47</v>
      </c>
      <c r="D3318">
        <v>3100769</v>
      </c>
      <c r="E3318">
        <v>3100849</v>
      </c>
      <c r="F3318" t="s">
        <v>2397</v>
      </c>
      <c r="G3318" t="s">
        <v>2487</v>
      </c>
      <c r="H3318" t="s">
        <v>54</v>
      </c>
      <c r="I3318">
        <v>6955015</v>
      </c>
      <c r="J3318" s="12">
        <v>46092</v>
      </c>
      <c r="K3318" s="12">
        <v>46092</v>
      </c>
      <c r="L3318" s="12">
        <v>46092</v>
      </c>
      <c r="M3318">
        <v>40</v>
      </c>
      <c r="N3318">
        <v>-32206983</v>
      </c>
      <c r="O3318">
        <v>-32206983</v>
      </c>
      <c r="P3318">
        <v>0</v>
      </c>
      <c r="Q3318">
        <v>0</v>
      </c>
      <c r="R3318">
        <v>-32206983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 t="s">
        <v>47</v>
      </c>
      <c r="AA3318" t="s">
        <v>501</v>
      </c>
      <c r="AB3318" t="s">
        <v>51</v>
      </c>
      <c r="AC3318" t="s">
        <v>51</v>
      </c>
      <c r="AD3318" t="s">
        <v>51</v>
      </c>
      <c r="AE3318" t="s">
        <v>51</v>
      </c>
      <c r="AF3318" t="s">
        <v>106</v>
      </c>
    </row>
    <row r="3319" spans="1:32" ht="14.5" customHeight="1" x14ac:dyDescent="0.35">
      <c r="A3319" t="s">
        <v>531</v>
      </c>
      <c r="B3319" t="s">
        <v>532</v>
      </c>
      <c r="C3319" t="s">
        <v>47</v>
      </c>
      <c r="D3319">
        <v>3100769</v>
      </c>
      <c r="E3319">
        <v>3100851</v>
      </c>
      <c r="F3319" t="s">
        <v>2397</v>
      </c>
      <c r="G3319" t="s">
        <v>2488</v>
      </c>
      <c r="H3319" t="s">
        <v>54</v>
      </c>
      <c r="I3319">
        <v>6955016</v>
      </c>
      <c r="J3319" s="12">
        <v>46092</v>
      </c>
      <c r="K3319" s="12">
        <v>46092</v>
      </c>
      <c r="L3319" s="12">
        <v>46092</v>
      </c>
      <c r="M3319">
        <v>40</v>
      </c>
      <c r="N3319">
        <v>-58067317</v>
      </c>
      <c r="O3319">
        <v>-58067317</v>
      </c>
      <c r="P3319">
        <v>0</v>
      </c>
      <c r="Q3319">
        <v>0</v>
      </c>
      <c r="R3319">
        <v>-58067317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 t="s">
        <v>47</v>
      </c>
      <c r="AA3319" t="s">
        <v>501</v>
      </c>
      <c r="AB3319" t="s">
        <v>51</v>
      </c>
      <c r="AC3319" t="s">
        <v>51</v>
      </c>
      <c r="AD3319" t="s">
        <v>51</v>
      </c>
      <c r="AE3319" t="s">
        <v>51</v>
      </c>
      <c r="AF3319" t="s">
        <v>309</v>
      </c>
    </row>
    <row r="3320" spans="1:32" ht="14.5" customHeight="1" x14ac:dyDescent="0.35">
      <c r="A3320" t="s">
        <v>531</v>
      </c>
      <c r="B3320" t="s">
        <v>532</v>
      </c>
      <c r="C3320" t="s">
        <v>47</v>
      </c>
      <c r="D3320">
        <v>3100769</v>
      </c>
      <c r="E3320">
        <v>3100853</v>
      </c>
      <c r="F3320" t="s">
        <v>2397</v>
      </c>
      <c r="G3320" t="s">
        <v>2405</v>
      </c>
      <c r="H3320" t="s">
        <v>54</v>
      </c>
      <c r="I3320">
        <v>6955017</v>
      </c>
      <c r="J3320" s="12">
        <v>46092</v>
      </c>
      <c r="K3320" s="12">
        <v>46092</v>
      </c>
      <c r="L3320" s="12">
        <v>46092</v>
      </c>
      <c r="M3320">
        <v>40</v>
      </c>
      <c r="N3320">
        <v>-37980884</v>
      </c>
      <c r="O3320">
        <v>-37980884</v>
      </c>
      <c r="P3320">
        <v>0</v>
      </c>
      <c r="Q3320">
        <v>0</v>
      </c>
      <c r="R3320">
        <v>-37980884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 t="s">
        <v>47</v>
      </c>
      <c r="AA3320" t="s">
        <v>501</v>
      </c>
      <c r="AB3320" t="s">
        <v>51</v>
      </c>
      <c r="AC3320" t="s">
        <v>51</v>
      </c>
      <c r="AD3320" t="s">
        <v>51</v>
      </c>
      <c r="AE3320" t="s">
        <v>51</v>
      </c>
      <c r="AF3320" t="s">
        <v>910</v>
      </c>
    </row>
    <row r="3321" spans="1:32" ht="14.5" customHeight="1" x14ac:dyDescent="0.35">
      <c r="A3321" t="s">
        <v>1593</v>
      </c>
      <c r="B3321" t="s">
        <v>606</v>
      </c>
      <c r="C3321" t="s">
        <v>47</v>
      </c>
      <c r="D3321">
        <v>3100769</v>
      </c>
      <c r="E3321">
        <v>3100979</v>
      </c>
      <c r="F3321" t="s">
        <v>2397</v>
      </c>
      <c r="G3321" t="s">
        <v>2489</v>
      </c>
      <c r="H3321" t="s">
        <v>54</v>
      </c>
      <c r="I3321">
        <v>6955030</v>
      </c>
      <c r="J3321" s="12">
        <v>46092</v>
      </c>
      <c r="K3321" s="12">
        <v>46092</v>
      </c>
      <c r="L3321" s="12">
        <v>46092</v>
      </c>
      <c r="M3321">
        <v>40</v>
      </c>
      <c r="N3321">
        <v>-276844235</v>
      </c>
      <c r="O3321">
        <v>-276844235</v>
      </c>
      <c r="P3321">
        <v>0</v>
      </c>
      <c r="Q3321">
        <v>0</v>
      </c>
      <c r="R3321">
        <v>-276844235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 t="s">
        <v>47</v>
      </c>
      <c r="AA3321" t="s">
        <v>501</v>
      </c>
      <c r="AB3321" t="s">
        <v>51</v>
      </c>
      <c r="AC3321" t="s">
        <v>51</v>
      </c>
      <c r="AD3321" t="s">
        <v>51</v>
      </c>
      <c r="AE3321" t="s">
        <v>51</v>
      </c>
      <c r="AF3321" t="s">
        <v>106</v>
      </c>
    </row>
    <row r="3322" spans="1:32" ht="14.5" customHeight="1" x14ac:dyDescent="0.35">
      <c r="A3322" t="s">
        <v>1593</v>
      </c>
      <c r="B3322" t="s">
        <v>606</v>
      </c>
      <c r="C3322" t="s">
        <v>47</v>
      </c>
      <c r="D3322">
        <v>3100769</v>
      </c>
      <c r="E3322">
        <v>3100979</v>
      </c>
      <c r="F3322" t="s">
        <v>2397</v>
      </c>
      <c r="G3322" t="s">
        <v>2489</v>
      </c>
      <c r="H3322" t="s">
        <v>54</v>
      </c>
      <c r="I3322">
        <v>6955031</v>
      </c>
      <c r="J3322" s="12">
        <v>46092</v>
      </c>
      <c r="K3322" s="12">
        <v>46092</v>
      </c>
      <c r="L3322" s="12">
        <v>46092</v>
      </c>
      <c r="M3322">
        <v>40</v>
      </c>
      <c r="N3322">
        <v>-208982474</v>
      </c>
      <c r="O3322">
        <v>-208982474</v>
      </c>
      <c r="P3322">
        <v>0</v>
      </c>
      <c r="Q3322">
        <v>0</v>
      </c>
      <c r="R3322">
        <v>-208982474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 t="s">
        <v>47</v>
      </c>
      <c r="AA3322" t="s">
        <v>501</v>
      </c>
      <c r="AB3322" t="s">
        <v>51</v>
      </c>
      <c r="AC3322" t="s">
        <v>51</v>
      </c>
      <c r="AD3322" t="s">
        <v>51</v>
      </c>
      <c r="AE3322" t="s">
        <v>51</v>
      </c>
      <c r="AF3322" t="s">
        <v>287</v>
      </c>
    </row>
    <row r="3323" spans="1:32" ht="14.5" customHeight="1" x14ac:dyDescent="0.35">
      <c r="A3323" t="s">
        <v>531</v>
      </c>
      <c r="B3323" t="s">
        <v>2396</v>
      </c>
      <c r="C3323" t="s">
        <v>47</v>
      </c>
      <c r="D3323">
        <v>3100769</v>
      </c>
      <c r="E3323">
        <v>3000876</v>
      </c>
      <c r="F3323" t="s">
        <v>2397</v>
      </c>
      <c r="G3323" t="s">
        <v>2397</v>
      </c>
      <c r="H3323" t="s">
        <v>54</v>
      </c>
      <c r="I3323">
        <v>6955046</v>
      </c>
      <c r="J3323" s="12">
        <v>46092</v>
      </c>
      <c r="K3323" s="12">
        <v>46092</v>
      </c>
      <c r="L3323" s="12">
        <v>46092</v>
      </c>
      <c r="M3323">
        <v>40</v>
      </c>
      <c r="N3323">
        <v>-4586298</v>
      </c>
      <c r="O3323">
        <v>-4586298</v>
      </c>
      <c r="P3323">
        <v>0</v>
      </c>
      <c r="Q3323">
        <v>0</v>
      </c>
      <c r="R3323">
        <v>-4586298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 t="s">
        <v>47</v>
      </c>
      <c r="AA3323" t="s">
        <v>501</v>
      </c>
      <c r="AB3323" t="s">
        <v>51</v>
      </c>
      <c r="AC3323" t="s">
        <v>51</v>
      </c>
      <c r="AD3323" t="s">
        <v>51</v>
      </c>
      <c r="AE3323" t="s">
        <v>51</v>
      </c>
      <c r="AF3323" t="s">
        <v>2032</v>
      </c>
    </row>
    <row r="3324" spans="1:32" ht="14.5" customHeight="1" x14ac:dyDescent="0.35">
      <c r="A3324" t="s">
        <v>531</v>
      </c>
      <c r="B3324" t="s">
        <v>2396</v>
      </c>
      <c r="C3324" t="s">
        <v>47</v>
      </c>
      <c r="D3324">
        <v>3100769</v>
      </c>
      <c r="E3324">
        <v>3000876</v>
      </c>
      <c r="F3324" t="s">
        <v>2397</v>
      </c>
      <c r="G3324" t="s">
        <v>2397</v>
      </c>
      <c r="H3324" t="s">
        <v>54</v>
      </c>
      <c r="I3324">
        <v>6955047</v>
      </c>
      <c r="J3324" s="12">
        <v>46092</v>
      </c>
      <c r="K3324" s="12">
        <v>46092</v>
      </c>
      <c r="L3324" s="12">
        <v>46092</v>
      </c>
      <c r="M3324">
        <v>40</v>
      </c>
      <c r="N3324">
        <v>-1494504</v>
      </c>
      <c r="O3324">
        <v>-1494504</v>
      </c>
      <c r="P3324">
        <v>0</v>
      </c>
      <c r="Q3324">
        <v>0</v>
      </c>
      <c r="R3324">
        <v>-1494504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 t="s">
        <v>47</v>
      </c>
      <c r="AA3324" t="s">
        <v>501</v>
      </c>
      <c r="AB3324" t="s">
        <v>51</v>
      </c>
      <c r="AC3324" t="s">
        <v>51</v>
      </c>
      <c r="AD3324" t="s">
        <v>51</v>
      </c>
      <c r="AE3324" t="s">
        <v>51</v>
      </c>
      <c r="AF3324" t="s">
        <v>1030</v>
      </c>
    </row>
    <row r="3325" spans="1:32" ht="14.5" customHeight="1" x14ac:dyDescent="0.35">
      <c r="A3325" t="s">
        <v>531</v>
      </c>
      <c r="B3325" t="s">
        <v>2396</v>
      </c>
      <c r="C3325" t="s">
        <v>47</v>
      </c>
      <c r="D3325">
        <v>3100769</v>
      </c>
      <c r="E3325">
        <v>3000876</v>
      </c>
      <c r="F3325" t="s">
        <v>2397</v>
      </c>
      <c r="G3325" t="s">
        <v>2397</v>
      </c>
      <c r="H3325" t="s">
        <v>54</v>
      </c>
      <c r="I3325">
        <v>6955068</v>
      </c>
      <c r="J3325" s="12">
        <v>46092</v>
      </c>
      <c r="K3325" s="12">
        <v>46092</v>
      </c>
      <c r="L3325" s="12">
        <v>46092</v>
      </c>
      <c r="M3325">
        <v>40</v>
      </c>
      <c r="N3325">
        <v>-1274724</v>
      </c>
      <c r="O3325">
        <v>-1274724</v>
      </c>
      <c r="P3325">
        <v>0</v>
      </c>
      <c r="Q3325">
        <v>0</v>
      </c>
      <c r="R3325">
        <v>-1274724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 t="s">
        <v>47</v>
      </c>
      <c r="AA3325" t="s">
        <v>501</v>
      </c>
      <c r="AB3325" t="s">
        <v>51</v>
      </c>
      <c r="AC3325" t="s">
        <v>51</v>
      </c>
      <c r="AD3325" t="s">
        <v>51</v>
      </c>
      <c r="AE3325" t="s">
        <v>51</v>
      </c>
      <c r="AF3325" t="s">
        <v>939</v>
      </c>
    </row>
    <row r="3326" spans="1:32" ht="14.5" customHeight="1" x14ac:dyDescent="0.35">
      <c r="A3326" t="s">
        <v>531</v>
      </c>
      <c r="B3326" t="s">
        <v>2396</v>
      </c>
      <c r="C3326" t="s">
        <v>47</v>
      </c>
      <c r="D3326">
        <v>3100769</v>
      </c>
      <c r="E3326">
        <v>3000876</v>
      </c>
      <c r="F3326" t="s">
        <v>2397</v>
      </c>
      <c r="G3326" t="s">
        <v>2397</v>
      </c>
      <c r="H3326" t="s">
        <v>54</v>
      </c>
      <c r="I3326">
        <v>6955073</v>
      </c>
      <c r="J3326" s="12">
        <v>46092</v>
      </c>
      <c r="K3326" s="12">
        <v>46092</v>
      </c>
      <c r="L3326" s="12">
        <v>46092</v>
      </c>
      <c r="M3326">
        <v>40</v>
      </c>
      <c r="N3326">
        <v>-1755576</v>
      </c>
      <c r="O3326">
        <v>-1755576</v>
      </c>
      <c r="P3326">
        <v>0</v>
      </c>
      <c r="Q3326">
        <v>0</v>
      </c>
      <c r="R3326">
        <v>-1755576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 t="s">
        <v>47</v>
      </c>
      <c r="AA3326" t="s">
        <v>501</v>
      </c>
      <c r="AB3326" t="s">
        <v>51</v>
      </c>
      <c r="AC3326" t="s">
        <v>51</v>
      </c>
      <c r="AD3326" t="s">
        <v>51</v>
      </c>
      <c r="AE3326" t="s">
        <v>51</v>
      </c>
      <c r="AF3326" t="s">
        <v>1030</v>
      </c>
    </row>
    <row r="3327" spans="1:32" ht="14.5" customHeight="1" x14ac:dyDescent="0.35">
      <c r="A3327" t="s">
        <v>531</v>
      </c>
      <c r="B3327" t="s">
        <v>2396</v>
      </c>
      <c r="C3327" t="s">
        <v>47</v>
      </c>
      <c r="D3327">
        <v>3100769</v>
      </c>
      <c r="E3327">
        <v>3000878</v>
      </c>
      <c r="F3327" t="s">
        <v>2397</v>
      </c>
      <c r="G3327" t="s">
        <v>2397</v>
      </c>
      <c r="H3327" t="s">
        <v>54</v>
      </c>
      <c r="I3327">
        <v>6955074</v>
      </c>
      <c r="J3327" s="12">
        <v>46092</v>
      </c>
      <c r="K3327" s="12">
        <v>46092</v>
      </c>
      <c r="L3327" s="12">
        <v>46092</v>
      </c>
      <c r="M3327">
        <v>40</v>
      </c>
      <c r="N3327">
        <v>-1505493</v>
      </c>
      <c r="O3327">
        <v>-1505493</v>
      </c>
      <c r="P3327">
        <v>0</v>
      </c>
      <c r="Q3327">
        <v>0</v>
      </c>
      <c r="R3327">
        <v>-1505493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 t="s">
        <v>47</v>
      </c>
      <c r="AA3327" t="s">
        <v>501</v>
      </c>
      <c r="AB3327" t="s">
        <v>51</v>
      </c>
      <c r="AC3327" t="s">
        <v>51</v>
      </c>
      <c r="AD3327" t="s">
        <v>51</v>
      </c>
      <c r="AE3327" t="s">
        <v>51</v>
      </c>
      <c r="AF3327" t="s">
        <v>2127</v>
      </c>
    </row>
    <row r="3328" spans="1:32" ht="14.5" customHeight="1" x14ac:dyDescent="0.35">
      <c r="A3328" t="s">
        <v>531</v>
      </c>
      <c r="B3328" t="s">
        <v>532</v>
      </c>
      <c r="C3328" t="s">
        <v>47</v>
      </c>
      <c r="D3328">
        <v>3100769</v>
      </c>
      <c r="E3328">
        <v>3100851</v>
      </c>
      <c r="F3328" t="s">
        <v>2397</v>
      </c>
      <c r="G3328" t="s">
        <v>2488</v>
      </c>
      <c r="H3328" t="s">
        <v>54</v>
      </c>
      <c r="I3328">
        <v>6955351</v>
      </c>
      <c r="J3328" s="12">
        <v>46093</v>
      </c>
      <c r="K3328" s="12">
        <v>46093</v>
      </c>
      <c r="L3328" s="12">
        <v>46093</v>
      </c>
      <c r="M3328">
        <v>39</v>
      </c>
      <c r="N3328">
        <v>-39171179</v>
      </c>
      <c r="O3328">
        <v>-39171179</v>
      </c>
      <c r="P3328">
        <v>0</v>
      </c>
      <c r="Q3328">
        <v>0</v>
      </c>
      <c r="R3328">
        <v>-39171179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 t="s">
        <v>47</v>
      </c>
      <c r="AA3328" t="s">
        <v>501</v>
      </c>
      <c r="AB3328" t="s">
        <v>51</v>
      </c>
      <c r="AC3328" t="s">
        <v>51</v>
      </c>
      <c r="AD3328" t="s">
        <v>51</v>
      </c>
      <c r="AE3328" t="s">
        <v>51</v>
      </c>
      <c r="AF3328" t="s">
        <v>1026</v>
      </c>
    </row>
    <row r="3329" spans="1:32" ht="14.5" customHeight="1" x14ac:dyDescent="0.35">
      <c r="A3329" t="s">
        <v>531</v>
      </c>
      <c r="B3329" t="s">
        <v>532</v>
      </c>
      <c r="C3329" t="s">
        <v>47</v>
      </c>
      <c r="D3329">
        <v>3100769</v>
      </c>
      <c r="E3329">
        <v>3100853</v>
      </c>
      <c r="F3329" t="s">
        <v>2397</v>
      </c>
      <c r="G3329" t="s">
        <v>2405</v>
      </c>
      <c r="H3329" t="s">
        <v>54</v>
      </c>
      <c r="I3329">
        <v>6955352</v>
      </c>
      <c r="J3329" s="12">
        <v>46093</v>
      </c>
      <c r="K3329" s="12">
        <v>46093</v>
      </c>
      <c r="L3329" s="12">
        <v>46093</v>
      </c>
      <c r="M3329">
        <v>39</v>
      </c>
      <c r="N3329">
        <v>-9977655</v>
      </c>
      <c r="O3329">
        <v>-9977655</v>
      </c>
      <c r="P3329">
        <v>0</v>
      </c>
      <c r="Q3329">
        <v>0</v>
      </c>
      <c r="R3329">
        <v>-9977655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 t="s">
        <v>47</v>
      </c>
      <c r="AA3329" t="s">
        <v>501</v>
      </c>
      <c r="AB3329" t="s">
        <v>51</v>
      </c>
      <c r="AC3329" t="s">
        <v>51</v>
      </c>
      <c r="AD3329" t="s">
        <v>51</v>
      </c>
      <c r="AE3329" t="s">
        <v>51</v>
      </c>
      <c r="AF3329" t="s">
        <v>1026</v>
      </c>
    </row>
    <row r="3330" spans="1:32" ht="14.5" customHeight="1" x14ac:dyDescent="0.35">
      <c r="A3330" t="s">
        <v>531</v>
      </c>
      <c r="B3330" t="s">
        <v>532</v>
      </c>
      <c r="C3330" t="s">
        <v>47</v>
      </c>
      <c r="D3330">
        <v>3100769</v>
      </c>
      <c r="E3330">
        <v>3001035</v>
      </c>
      <c r="F3330" t="s">
        <v>2397</v>
      </c>
      <c r="G3330" t="s">
        <v>2397</v>
      </c>
      <c r="H3330" t="s">
        <v>54</v>
      </c>
      <c r="I3330">
        <v>6955401</v>
      </c>
      <c r="J3330" s="12">
        <v>46093</v>
      </c>
      <c r="K3330" s="12">
        <v>46093</v>
      </c>
      <c r="L3330" s="12">
        <v>46093</v>
      </c>
      <c r="M3330">
        <v>39</v>
      </c>
      <c r="N3330">
        <v>-38378138</v>
      </c>
      <c r="O3330">
        <v>-38378138</v>
      </c>
      <c r="P3330">
        <v>0</v>
      </c>
      <c r="Q3330">
        <v>0</v>
      </c>
      <c r="R3330">
        <v>-38378138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 t="s">
        <v>47</v>
      </c>
      <c r="AA3330" t="s">
        <v>501</v>
      </c>
      <c r="AB3330" t="s">
        <v>51</v>
      </c>
      <c r="AC3330" t="s">
        <v>51</v>
      </c>
      <c r="AD3330" t="s">
        <v>51</v>
      </c>
      <c r="AE3330" t="s">
        <v>51</v>
      </c>
      <c r="AF3330" t="s">
        <v>106</v>
      </c>
    </row>
    <row r="3331" spans="1:32" ht="14.5" customHeight="1" x14ac:dyDescent="0.35">
      <c r="A3331" t="s">
        <v>531</v>
      </c>
      <c r="B3331" t="s">
        <v>2396</v>
      </c>
      <c r="C3331" t="s">
        <v>47</v>
      </c>
      <c r="D3331">
        <v>3100769</v>
      </c>
      <c r="E3331">
        <v>3000878</v>
      </c>
      <c r="F3331" t="s">
        <v>2397</v>
      </c>
      <c r="G3331" t="s">
        <v>2397</v>
      </c>
      <c r="H3331" t="s">
        <v>54</v>
      </c>
      <c r="I3331">
        <v>6955402</v>
      </c>
      <c r="J3331" s="12">
        <v>46093</v>
      </c>
      <c r="K3331" s="12">
        <v>46093</v>
      </c>
      <c r="L3331" s="12">
        <v>46093</v>
      </c>
      <c r="M3331">
        <v>39</v>
      </c>
      <c r="N3331">
        <v>-596056633</v>
      </c>
      <c r="O3331">
        <v>-596056633</v>
      </c>
      <c r="P3331">
        <v>0</v>
      </c>
      <c r="Q3331">
        <v>0</v>
      </c>
      <c r="R3331">
        <v>-596056633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 t="s">
        <v>47</v>
      </c>
      <c r="AA3331" t="s">
        <v>501</v>
      </c>
      <c r="AB3331" t="s">
        <v>51</v>
      </c>
      <c r="AC3331" t="s">
        <v>51</v>
      </c>
      <c r="AD3331" t="s">
        <v>51</v>
      </c>
      <c r="AE3331" t="s">
        <v>51</v>
      </c>
      <c r="AF3331" t="s">
        <v>106</v>
      </c>
    </row>
    <row r="3332" spans="1:32" ht="14.5" customHeight="1" x14ac:dyDescent="0.35">
      <c r="A3332" t="s">
        <v>531</v>
      </c>
      <c r="B3332" t="s">
        <v>2396</v>
      </c>
      <c r="C3332" t="s">
        <v>47</v>
      </c>
      <c r="D3332">
        <v>3100769</v>
      </c>
      <c r="E3332">
        <v>3000878</v>
      </c>
      <c r="F3332" t="s">
        <v>2397</v>
      </c>
      <c r="G3332" t="s">
        <v>2397</v>
      </c>
      <c r="H3332" t="s">
        <v>54</v>
      </c>
      <c r="I3332">
        <v>6955403</v>
      </c>
      <c r="J3332" s="12">
        <v>46093</v>
      </c>
      <c r="K3332" s="12">
        <v>46093</v>
      </c>
      <c r="L3332" s="12">
        <v>46093</v>
      </c>
      <c r="M3332">
        <v>39</v>
      </c>
      <c r="N3332">
        <v>-362106865</v>
      </c>
      <c r="O3332">
        <v>-362106865</v>
      </c>
      <c r="P3332">
        <v>0</v>
      </c>
      <c r="Q3332">
        <v>0</v>
      </c>
      <c r="R3332">
        <v>-362106865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 t="s">
        <v>47</v>
      </c>
      <c r="AA3332" t="s">
        <v>501</v>
      </c>
      <c r="AB3332" t="s">
        <v>51</v>
      </c>
      <c r="AC3332" t="s">
        <v>51</v>
      </c>
      <c r="AD3332" t="s">
        <v>51</v>
      </c>
      <c r="AE3332" t="s">
        <v>51</v>
      </c>
      <c r="AF3332" t="s">
        <v>107</v>
      </c>
    </row>
    <row r="3333" spans="1:32" ht="14.5" customHeight="1" x14ac:dyDescent="0.35">
      <c r="A3333" t="s">
        <v>531</v>
      </c>
      <c r="B3333" t="s">
        <v>532</v>
      </c>
      <c r="C3333" t="s">
        <v>47</v>
      </c>
      <c r="D3333">
        <v>3100769</v>
      </c>
      <c r="E3333">
        <v>3100849</v>
      </c>
      <c r="F3333" t="s">
        <v>2397</v>
      </c>
      <c r="G3333" t="s">
        <v>2487</v>
      </c>
      <c r="H3333" t="s">
        <v>54</v>
      </c>
      <c r="I3333">
        <v>6955406</v>
      </c>
      <c r="J3333" s="12">
        <v>46093</v>
      </c>
      <c r="K3333" s="12">
        <v>46093</v>
      </c>
      <c r="L3333" s="12">
        <v>46093</v>
      </c>
      <c r="M3333">
        <v>39</v>
      </c>
      <c r="N3333">
        <v>-10539940</v>
      </c>
      <c r="O3333">
        <v>-10539940</v>
      </c>
      <c r="P3333">
        <v>0</v>
      </c>
      <c r="Q3333">
        <v>0</v>
      </c>
      <c r="R3333">
        <v>-10539940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 t="s">
        <v>47</v>
      </c>
      <c r="AA3333" t="s">
        <v>501</v>
      </c>
      <c r="AB3333" t="s">
        <v>51</v>
      </c>
      <c r="AC3333" t="s">
        <v>51</v>
      </c>
      <c r="AD3333" t="s">
        <v>51</v>
      </c>
      <c r="AE3333" t="s">
        <v>51</v>
      </c>
      <c r="AF3333" t="s">
        <v>144</v>
      </c>
    </row>
    <row r="3334" spans="1:32" ht="14.5" customHeight="1" x14ac:dyDescent="0.35">
      <c r="A3334" t="s">
        <v>531</v>
      </c>
      <c r="B3334" t="s">
        <v>2396</v>
      </c>
      <c r="C3334" t="s">
        <v>47</v>
      </c>
      <c r="D3334">
        <v>3100769</v>
      </c>
      <c r="E3334">
        <v>3000876</v>
      </c>
      <c r="F3334" t="s">
        <v>2397</v>
      </c>
      <c r="G3334" t="s">
        <v>2397</v>
      </c>
      <c r="H3334" t="s">
        <v>54</v>
      </c>
      <c r="I3334">
        <v>6955409</v>
      </c>
      <c r="J3334" s="12">
        <v>46093</v>
      </c>
      <c r="K3334" s="12">
        <v>46093</v>
      </c>
      <c r="L3334" s="12">
        <v>46093</v>
      </c>
      <c r="M3334">
        <v>39</v>
      </c>
      <c r="N3334">
        <v>-13372577</v>
      </c>
      <c r="O3334">
        <v>-13372577</v>
      </c>
      <c r="P3334">
        <v>0</v>
      </c>
      <c r="Q3334">
        <v>0</v>
      </c>
      <c r="R3334">
        <v>-13372577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 t="s">
        <v>47</v>
      </c>
      <c r="AA3334" t="s">
        <v>501</v>
      </c>
      <c r="AB3334" t="s">
        <v>51</v>
      </c>
      <c r="AC3334" t="s">
        <v>51</v>
      </c>
      <c r="AD3334" t="s">
        <v>51</v>
      </c>
      <c r="AE3334" t="s">
        <v>51</v>
      </c>
      <c r="AF3334" t="s">
        <v>657</v>
      </c>
    </row>
    <row r="3335" spans="1:32" ht="14.5" customHeight="1" x14ac:dyDescent="0.35">
      <c r="A3335" t="s">
        <v>1593</v>
      </c>
      <c r="B3335" t="s">
        <v>606</v>
      </c>
      <c r="C3335" t="s">
        <v>47</v>
      </c>
      <c r="D3335">
        <v>3100769</v>
      </c>
      <c r="E3335">
        <v>3100979</v>
      </c>
      <c r="F3335" t="s">
        <v>2397</v>
      </c>
      <c r="G3335" t="s">
        <v>2489</v>
      </c>
      <c r="H3335" t="s">
        <v>54</v>
      </c>
      <c r="I3335">
        <v>6955410</v>
      </c>
      <c r="J3335" s="12">
        <v>46093</v>
      </c>
      <c r="K3335" s="12">
        <v>46093</v>
      </c>
      <c r="L3335" s="12">
        <v>46093</v>
      </c>
      <c r="M3335">
        <v>39</v>
      </c>
      <c r="N3335">
        <v>-295433681</v>
      </c>
      <c r="O3335">
        <v>-295433681</v>
      </c>
      <c r="P3335">
        <v>0</v>
      </c>
      <c r="Q3335">
        <v>0</v>
      </c>
      <c r="R3335">
        <v>-295433681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 t="s">
        <v>47</v>
      </c>
      <c r="AA3335" t="s">
        <v>501</v>
      </c>
      <c r="AB3335" t="s">
        <v>51</v>
      </c>
      <c r="AC3335" t="s">
        <v>51</v>
      </c>
      <c r="AD3335" t="s">
        <v>51</v>
      </c>
      <c r="AE3335" t="s">
        <v>51</v>
      </c>
      <c r="AF3335" t="s">
        <v>525</v>
      </c>
    </row>
    <row r="3336" spans="1:32" ht="14.5" customHeight="1" x14ac:dyDescent="0.35">
      <c r="A3336" t="s">
        <v>1593</v>
      </c>
      <c r="B3336" t="s">
        <v>606</v>
      </c>
      <c r="C3336" t="s">
        <v>47</v>
      </c>
      <c r="D3336">
        <v>3100769</v>
      </c>
      <c r="E3336">
        <v>3100979</v>
      </c>
      <c r="F3336" t="s">
        <v>2397</v>
      </c>
      <c r="G3336" t="s">
        <v>2489</v>
      </c>
      <c r="H3336" t="s">
        <v>54</v>
      </c>
      <c r="I3336">
        <v>6955411</v>
      </c>
      <c r="J3336" s="12">
        <v>46093</v>
      </c>
      <c r="K3336" s="12">
        <v>46093</v>
      </c>
      <c r="L3336" s="12">
        <v>46093</v>
      </c>
      <c r="M3336">
        <v>39</v>
      </c>
      <c r="N3336">
        <v>-321801799</v>
      </c>
      <c r="O3336">
        <v>-321801799</v>
      </c>
      <c r="P3336">
        <v>0</v>
      </c>
      <c r="Q3336">
        <v>0</v>
      </c>
      <c r="R3336">
        <v>-321801799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 t="s">
        <v>47</v>
      </c>
      <c r="AA3336" t="s">
        <v>501</v>
      </c>
      <c r="AB3336" t="s">
        <v>51</v>
      </c>
      <c r="AC3336" t="s">
        <v>51</v>
      </c>
      <c r="AD3336" t="s">
        <v>51</v>
      </c>
      <c r="AE3336" t="s">
        <v>51</v>
      </c>
      <c r="AF3336" t="s">
        <v>910</v>
      </c>
    </row>
    <row r="3337" spans="1:32" ht="14.5" customHeight="1" x14ac:dyDescent="0.35">
      <c r="A3337" t="s">
        <v>531</v>
      </c>
      <c r="B3337" t="s">
        <v>2396</v>
      </c>
      <c r="C3337" t="s">
        <v>47</v>
      </c>
      <c r="D3337">
        <v>3100769</v>
      </c>
      <c r="E3337">
        <v>3000876</v>
      </c>
      <c r="F3337" t="s">
        <v>2397</v>
      </c>
      <c r="G3337" t="s">
        <v>2397</v>
      </c>
      <c r="H3337" t="s">
        <v>54</v>
      </c>
      <c r="I3337">
        <v>6956063</v>
      </c>
      <c r="J3337" s="12">
        <v>46097</v>
      </c>
      <c r="K3337" s="12">
        <v>46097</v>
      </c>
      <c r="L3337" s="12">
        <v>46097</v>
      </c>
      <c r="M3337">
        <v>35</v>
      </c>
      <c r="N3337">
        <v>-100000</v>
      </c>
      <c r="O3337">
        <v>-100000</v>
      </c>
      <c r="P3337">
        <v>0</v>
      </c>
      <c r="Q3337">
        <v>0</v>
      </c>
      <c r="R3337">
        <v>-100000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 t="s">
        <v>47</v>
      </c>
      <c r="AA3337" t="s">
        <v>501</v>
      </c>
      <c r="AB3337" t="s">
        <v>51</v>
      </c>
      <c r="AC3337" t="s">
        <v>51</v>
      </c>
      <c r="AD3337" t="s">
        <v>51</v>
      </c>
      <c r="AE3337" t="s">
        <v>51</v>
      </c>
      <c r="AF3337" t="s">
        <v>2490</v>
      </c>
    </row>
    <row r="3338" spans="1:32" ht="14.5" customHeight="1" x14ac:dyDescent="0.35">
      <c r="A3338" t="s">
        <v>531</v>
      </c>
      <c r="B3338" t="s">
        <v>2396</v>
      </c>
      <c r="C3338" t="s">
        <v>47</v>
      </c>
      <c r="D3338">
        <v>3100769</v>
      </c>
      <c r="E3338">
        <v>3000876</v>
      </c>
      <c r="F3338" t="s">
        <v>2397</v>
      </c>
      <c r="G3338" t="s">
        <v>2397</v>
      </c>
      <c r="H3338" t="s">
        <v>54</v>
      </c>
      <c r="I3338">
        <v>6956064</v>
      </c>
      <c r="J3338" s="12">
        <v>46097</v>
      </c>
      <c r="K3338" s="12">
        <v>46097</v>
      </c>
      <c r="L3338" s="12">
        <v>46097</v>
      </c>
      <c r="M3338">
        <v>35</v>
      </c>
      <c r="N3338">
        <v>-100000</v>
      </c>
      <c r="O3338">
        <v>-100000</v>
      </c>
      <c r="P3338">
        <v>0</v>
      </c>
      <c r="Q3338">
        <v>0</v>
      </c>
      <c r="R3338">
        <v>-100000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 t="s">
        <v>47</v>
      </c>
      <c r="AA3338" t="s">
        <v>501</v>
      </c>
      <c r="AB3338" t="s">
        <v>51</v>
      </c>
      <c r="AC3338" t="s">
        <v>51</v>
      </c>
      <c r="AD3338" t="s">
        <v>51</v>
      </c>
      <c r="AE3338" t="s">
        <v>51</v>
      </c>
      <c r="AF3338" t="s">
        <v>2491</v>
      </c>
    </row>
    <row r="3339" spans="1:32" ht="14.5" customHeight="1" x14ac:dyDescent="0.35">
      <c r="A3339" t="s">
        <v>531</v>
      </c>
      <c r="B3339" t="s">
        <v>2396</v>
      </c>
      <c r="C3339" t="s">
        <v>47</v>
      </c>
      <c r="D3339">
        <v>3100769</v>
      </c>
      <c r="E3339">
        <v>3000876</v>
      </c>
      <c r="F3339" t="s">
        <v>2397</v>
      </c>
      <c r="G3339" t="s">
        <v>2397</v>
      </c>
      <c r="H3339" t="s">
        <v>54</v>
      </c>
      <c r="I3339">
        <v>6956065</v>
      </c>
      <c r="J3339" s="12">
        <v>46097</v>
      </c>
      <c r="K3339" s="12">
        <v>46097</v>
      </c>
      <c r="L3339" s="12">
        <v>46097</v>
      </c>
      <c r="M3339">
        <v>35</v>
      </c>
      <c r="N3339">
        <v>-109000</v>
      </c>
      <c r="O3339">
        <v>-109000</v>
      </c>
      <c r="P3339">
        <v>0</v>
      </c>
      <c r="Q3339">
        <v>0</v>
      </c>
      <c r="R3339">
        <v>-109000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 t="s">
        <v>47</v>
      </c>
      <c r="AA3339" t="s">
        <v>501</v>
      </c>
      <c r="AB3339" t="s">
        <v>51</v>
      </c>
      <c r="AC3339" t="s">
        <v>51</v>
      </c>
      <c r="AD3339" t="s">
        <v>51</v>
      </c>
      <c r="AE3339" t="s">
        <v>51</v>
      </c>
      <c r="AF3339" t="s">
        <v>2492</v>
      </c>
    </row>
    <row r="3340" spans="1:32" ht="14.5" customHeight="1" x14ac:dyDescent="0.35">
      <c r="A3340" t="s">
        <v>531</v>
      </c>
      <c r="B3340" t="s">
        <v>2396</v>
      </c>
      <c r="C3340" t="s">
        <v>47</v>
      </c>
      <c r="D3340">
        <v>3100769</v>
      </c>
      <c r="E3340">
        <v>3000876</v>
      </c>
      <c r="F3340" t="s">
        <v>2397</v>
      </c>
      <c r="G3340" t="s">
        <v>2397</v>
      </c>
      <c r="H3340" t="s">
        <v>54</v>
      </c>
      <c r="I3340">
        <v>6956066</v>
      </c>
      <c r="J3340" s="12">
        <v>46097</v>
      </c>
      <c r="K3340" s="12">
        <v>46097</v>
      </c>
      <c r="L3340" s="12">
        <v>46097</v>
      </c>
      <c r="M3340">
        <v>35</v>
      </c>
      <c r="N3340">
        <v>-100000</v>
      </c>
      <c r="O3340">
        <v>-100000</v>
      </c>
      <c r="P3340">
        <v>0</v>
      </c>
      <c r="Q3340">
        <v>0</v>
      </c>
      <c r="R3340">
        <v>-100000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 t="s">
        <v>47</v>
      </c>
      <c r="AA3340" t="s">
        <v>501</v>
      </c>
      <c r="AB3340" t="s">
        <v>51</v>
      </c>
      <c r="AC3340" t="s">
        <v>51</v>
      </c>
      <c r="AD3340" t="s">
        <v>51</v>
      </c>
      <c r="AE3340" t="s">
        <v>51</v>
      </c>
      <c r="AF3340" t="s">
        <v>2490</v>
      </c>
    </row>
    <row r="3341" spans="1:32" ht="14.5" customHeight="1" x14ac:dyDescent="0.35">
      <c r="A3341" t="s">
        <v>531</v>
      </c>
      <c r="B3341" t="s">
        <v>2396</v>
      </c>
      <c r="C3341" t="s">
        <v>47</v>
      </c>
      <c r="D3341">
        <v>3100769</v>
      </c>
      <c r="E3341">
        <v>3000876</v>
      </c>
      <c r="F3341" t="s">
        <v>2397</v>
      </c>
      <c r="G3341" t="s">
        <v>2397</v>
      </c>
      <c r="H3341" t="s">
        <v>54</v>
      </c>
      <c r="I3341">
        <v>6956067</v>
      </c>
      <c r="J3341" s="12">
        <v>46097</v>
      </c>
      <c r="K3341" s="12">
        <v>46097</v>
      </c>
      <c r="L3341" s="12">
        <v>46097</v>
      </c>
      <c r="M3341">
        <v>35</v>
      </c>
      <c r="N3341">
        <v>-218000</v>
      </c>
      <c r="O3341">
        <v>-218000</v>
      </c>
      <c r="P3341">
        <v>0</v>
      </c>
      <c r="Q3341">
        <v>0</v>
      </c>
      <c r="R3341">
        <v>-218000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 t="s">
        <v>47</v>
      </c>
      <c r="AA3341" t="s">
        <v>501</v>
      </c>
      <c r="AB3341" t="s">
        <v>51</v>
      </c>
      <c r="AC3341" t="s">
        <v>51</v>
      </c>
      <c r="AD3341" t="s">
        <v>51</v>
      </c>
      <c r="AE3341" t="s">
        <v>51</v>
      </c>
      <c r="AF3341" t="s">
        <v>2492</v>
      </c>
    </row>
    <row r="3342" spans="1:32" ht="14.5" customHeight="1" x14ac:dyDescent="0.35">
      <c r="A3342" t="s">
        <v>531</v>
      </c>
      <c r="B3342" t="s">
        <v>2396</v>
      </c>
      <c r="C3342" t="s">
        <v>47</v>
      </c>
      <c r="D3342">
        <v>3100769</v>
      </c>
      <c r="E3342">
        <v>3000876</v>
      </c>
      <c r="F3342" t="s">
        <v>2397</v>
      </c>
      <c r="G3342" t="s">
        <v>2397</v>
      </c>
      <c r="H3342" t="s">
        <v>54</v>
      </c>
      <c r="I3342">
        <v>6956088</v>
      </c>
      <c r="J3342" s="12">
        <v>46097</v>
      </c>
      <c r="K3342" s="12">
        <v>46097</v>
      </c>
      <c r="L3342" s="12">
        <v>46097</v>
      </c>
      <c r="M3342">
        <v>35</v>
      </c>
      <c r="N3342">
        <v>-872000</v>
      </c>
      <c r="O3342">
        <v>-872000</v>
      </c>
      <c r="P3342">
        <v>0</v>
      </c>
      <c r="Q3342">
        <v>0</v>
      </c>
      <c r="R3342">
        <v>-872000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 t="s">
        <v>47</v>
      </c>
      <c r="AA3342" t="s">
        <v>501</v>
      </c>
      <c r="AB3342" t="s">
        <v>51</v>
      </c>
      <c r="AC3342" t="s">
        <v>51</v>
      </c>
      <c r="AD3342" t="s">
        <v>51</v>
      </c>
      <c r="AE3342" t="s">
        <v>51</v>
      </c>
      <c r="AF3342" t="s">
        <v>2493</v>
      </c>
    </row>
    <row r="3343" spans="1:32" ht="14.5" customHeight="1" x14ac:dyDescent="0.35">
      <c r="A3343" t="s">
        <v>531</v>
      </c>
      <c r="B3343" t="s">
        <v>2396</v>
      </c>
      <c r="C3343" t="s">
        <v>47</v>
      </c>
      <c r="D3343">
        <v>3100769</v>
      </c>
      <c r="E3343">
        <v>3000876</v>
      </c>
      <c r="F3343" t="s">
        <v>2397</v>
      </c>
      <c r="G3343" t="s">
        <v>2397</v>
      </c>
      <c r="H3343" t="s">
        <v>54</v>
      </c>
      <c r="I3343">
        <v>6956991</v>
      </c>
      <c r="J3343" s="12">
        <v>46106</v>
      </c>
      <c r="K3343" s="12">
        <v>46106</v>
      </c>
      <c r="L3343" s="12">
        <v>46106</v>
      </c>
      <c r="M3343">
        <v>26</v>
      </c>
      <c r="N3343">
        <v>-2940000</v>
      </c>
      <c r="O3343">
        <v>-2940000</v>
      </c>
      <c r="P3343">
        <v>0</v>
      </c>
      <c r="Q3343">
        <v>-2940000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 t="s">
        <v>47</v>
      </c>
      <c r="AA3343" t="s">
        <v>501</v>
      </c>
      <c r="AB3343" t="s">
        <v>51</v>
      </c>
      <c r="AC3343" t="s">
        <v>51</v>
      </c>
      <c r="AD3343" t="s">
        <v>51</v>
      </c>
      <c r="AE3343" t="s">
        <v>51</v>
      </c>
      <c r="AF3343" t="s">
        <v>2494</v>
      </c>
    </row>
    <row r="3344" spans="1:32" ht="14.5" customHeight="1" x14ac:dyDescent="0.35">
      <c r="A3344" t="s">
        <v>531</v>
      </c>
      <c r="B3344" t="s">
        <v>2396</v>
      </c>
      <c r="C3344" t="s">
        <v>47</v>
      </c>
      <c r="D3344">
        <v>3100769</v>
      </c>
      <c r="E3344">
        <v>3000878</v>
      </c>
      <c r="F3344" t="s">
        <v>2397</v>
      </c>
      <c r="G3344" t="s">
        <v>2397</v>
      </c>
      <c r="H3344" t="s">
        <v>54</v>
      </c>
      <c r="I3344">
        <v>6956992</v>
      </c>
      <c r="J3344" s="12">
        <v>46106</v>
      </c>
      <c r="K3344" s="12">
        <v>46106</v>
      </c>
      <c r="L3344" s="12">
        <v>46106</v>
      </c>
      <c r="M3344">
        <v>26</v>
      </c>
      <c r="N3344">
        <v>-199159</v>
      </c>
      <c r="O3344">
        <v>-199159</v>
      </c>
      <c r="P3344">
        <v>0</v>
      </c>
      <c r="Q3344">
        <v>-199159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 t="s">
        <v>47</v>
      </c>
      <c r="AA3344" t="s">
        <v>501</v>
      </c>
      <c r="AB3344" t="s">
        <v>51</v>
      </c>
      <c r="AC3344" t="s">
        <v>51</v>
      </c>
      <c r="AD3344" t="s">
        <v>51</v>
      </c>
      <c r="AE3344" t="s">
        <v>51</v>
      </c>
      <c r="AF3344" t="s">
        <v>2495</v>
      </c>
    </row>
    <row r="3345" spans="1:32" ht="14.5" customHeight="1" x14ac:dyDescent="0.35">
      <c r="A3345" t="s">
        <v>531</v>
      </c>
      <c r="B3345" t="s">
        <v>2396</v>
      </c>
      <c r="C3345" t="s">
        <v>47</v>
      </c>
      <c r="D3345">
        <v>3100769</v>
      </c>
      <c r="E3345">
        <v>3000878</v>
      </c>
      <c r="F3345" t="s">
        <v>2397</v>
      </c>
      <c r="G3345" t="s">
        <v>2397</v>
      </c>
      <c r="H3345" t="s">
        <v>54</v>
      </c>
      <c r="I3345">
        <v>6956993</v>
      </c>
      <c r="J3345" s="12">
        <v>46106</v>
      </c>
      <c r="K3345" s="12">
        <v>46106</v>
      </c>
      <c r="L3345" s="12">
        <v>46106</v>
      </c>
      <c r="M3345">
        <v>26</v>
      </c>
      <c r="N3345">
        <v>-40875000</v>
      </c>
      <c r="O3345">
        <v>-40875000</v>
      </c>
      <c r="P3345">
        <v>0</v>
      </c>
      <c r="Q3345">
        <v>-40875000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 t="s">
        <v>47</v>
      </c>
      <c r="AA3345" t="s">
        <v>501</v>
      </c>
      <c r="AB3345" t="s">
        <v>51</v>
      </c>
      <c r="AC3345" t="s">
        <v>51</v>
      </c>
      <c r="AD3345" t="s">
        <v>51</v>
      </c>
      <c r="AE3345" t="s">
        <v>51</v>
      </c>
      <c r="AF3345" t="s">
        <v>2496</v>
      </c>
    </row>
    <row r="3346" spans="1:32" ht="14.5" customHeight="1" x14ac:dyDescent="0.35">
      <c r="A3346" t="s">
        <v>531</v>
      </c>
      <c r="B3346" t="s">
        <v>2396</v>
      </c>
      <c r="C3346" t="s">
        <v>47</v>
      </c>
      <c r="D3346">
        <v>3100769</v>
      </c>
      <c r="E3346">
        <v>3000878</v>
      </c>
      <c r="F3346" t="s">
        <v>2397</v>
      </c>
      <c r="G3346" t="s">
        <v>2397</v>
      </c>
      <c r="H3346" t="s">
        <v>54</v>
      </c>
      <c r="I3346">
        <v>6956994</v>
      </c>
      <c r="J3346" s="12">
        <v>46106</v>
      </c>
      <c r="K3346" s="12">
        <v>46106</v>
      </c>
      <c r="L3346" s="12">
        <v>46106</v>
      </c>
      <c r="M3346">
        <v>26</v>
      </c>
      <c r="N3346">
        <v>-17440000</v>
      </c>
      <c r="O3346">
        <v>-17440000</v>
      </c>
      <c r="P3346">
        <v>0</v>
      </c>
      <c r="Q3346">
        <v>-17440000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 t="s">
        <v>47</v>
      </c>
      <c r="AA3346" t="s">
        <v>501</v>
      </c>
      <c r="AB3346" t="s">
        <v>51</v>
      </c>
      <c r="AC3346" t="s">
        <v>51</v>
      </c>
      <c r="AD3346" t="s">
        <v>51</v>
      </c>
      <c r="AE3346" t="s">
        <v>51</v>
      </c>
      <c r="AF3346" t="s">
        <v>2497</v>
      </c>
    </row>
    <row r="3347" spans="1:32" ht="14.5" customHeight="1" x14ac:dyDescent="0.35">
      <c r="A3347" t="s">
        <v>531</v>
      </c>
      <c r="B3347" t="s">
        <v>2396</v>
      </c>
      <c r="C3347" t="s">
        <v>47</v>
      </c>
      <c r="D3347">
        <v>3100769</v>
      </c>
      <c r="E3347">
        <v>3000878</v>
      </c>
      <c r="F3347" t="s">
        <v>2397</v>
      </c>
      <c r="G3347" t="s">
        <v>2397</v>
      </c>
      <c r="H3347" t="s">
        <v>54</v>
      </c>
      <c r="I3347">
        <v>6956995</v>
      </c>
      <c r="J3347" s="12">
        <v>46106</v>
      </c>
      <c r="K3347" s="12">
        <v>46106</v>
      </c>
      <c r="L3347" s="12">
        <v>46106</v>
      </c>
      <c r="M3347">
        <v>26</v>
      </c>
      <c r="N3347">
        <v>-153683</v>
      </c>
      <c r="O3347">
        <v>-153683</v>
      </c>
      <c r="P3347">
        <v>0</v>
      </c>
      <c r="Q3347">
        <v>-153683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 t="s">
        <v>47</v>
      </c>
      <c r="AA3347" t="s">
        <v>501</v>
      </c>
      <c r="AB3347" t="s">
        <v>51</v>
      </c>
      <c r="AC3347" t="s">
        <v>51</v>
      </c>
      <c r="AD3347" t="s">
        <v>51</v>
      </c>
      <c r="AE3347" t="s">
        <v>51</v>
      </c>
      <c r="AF3347" t="s">
        <v>2402</v>
      </c>
    </row>
    <row r="3348" spans="1:32" ht="14.5" customHeight="1" x14ac:dyDescent="0.35">
      <c r="A3348" t="s">
        <v>531</v>
      </c>
      <c r="B3348" t="s">
        <v>2396</v>
      </c>
      <c r="C3348" t="s">
        <v>47</v>
      </c>
      <c r="D3348">
        <v>3100769</v>
      </c>
      <c r="E3348">
        <v>3000878</v>
      </c>
      <c r="F3348" t="s">
        <v>2397</v>
      </c>
      <c r="G3348" t="s">
        <v>2397</v>
      </c>
      <c r="H3348" t="s">
        <v>54</v>
      </c>
      <c r="I3348">
        <v>6956996</v>
      </c>
      <c r="J3348" s="12">
        <v>46106</v>
      </c>
      <c r="K3348" s="12">
        <v>46106</v>
      </c>
      <c r="L3348" s="12">
        <v>46106</v>
      </c>
      <c r="M3348">
        <v>26</v>
      </c>
      <c r="N3348">
        <v>-92830</v>
      </c>
      <c r="O3348">
        <v>-92830</v>
      </c>
      <c r="P3348">
        <v>0</v>
      </c>
      <c r="Q3348">
        <v>-92830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 t="s">
        <v>47</v>
      </c>
      <c r="AA3348" t="s">
        <v>501</v>
      </c>
      <c r="AB3348" t="s">
        <v>51</v>
      </c>
      <c r="AC3348" t="s">
        <v>51</v>
      </c>
      <c r="AD3348" t="s">
        <v>51</v>
      </c>
      <c r="AE3348" t="s">
        <v>51</v>
      </c>
      <c r="AF3348" t="s">
        <v>2498</v>
      </c>
    </row>
    <row r="3349" spans="1:32" ht="14.5" customHeight="1" x14ac:dyDescent="0.35">
      <c r="A3349" t="s">
        <v>531</v>
      </c>
      <c r="B3349" t="s">
        <v>2396</v>
      </c>
      <c r="C3349" t="s">
        <v>47</v>
      </c>
      <c r="D3349">
        <v>3100769</v>
      </c>
      <c r="E3349">
        <v>3000878</v>
      </c>
      <c r="F3349" t="s">
        <v>2397</v>
      </c>
      <c r="G3349" t="s">
        <v>2397</v>
      </c>
      <c r="H3349" t="s">
        <v>54</v>
      </c>
      <c r="I3349">
        <v>6956997</v>
      </c>
      <c r="J3349" s="12">
        <v>46106</v>
      </c>
      <c r="K3349" s="12">
        <v>46106</v>
      </c>
      <c r="L3349" s="12">
        <v>46106</v>
      </c>
      <c r="M3349">
        <v>26</v>
      </c>
      <c r="N3349">
        <v>-69676</v>
      </c>
      <c r="O3349">
        <v>-69676</v>
      </c>
      <c r="P3349">
        <v>0</v>
      </c>
      <c r="Q3349">
        <v>-69676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 t="s">
        <v>47</v>
      </c>
      <c r="AA3349" t="s">
        <v>501</v>
      </c>
      <c r="AB3349" t="s">
        <v>51</v>
      </c>
      <c r="AC3349" t="s">
        <v>51</v>
      </c>
      <c r="AD3349" t="s">
        <v>51</v>
      </c>
      <c r="AE3349" t="s">
        <v>51</v>
      </c>
      <c r="AF3349" t="s">
        <v>2499</v>
      </c>
    </row>
    <row r="3350" spans="1:32" ht="14.5" customHeight="1" x14ac:dyDescent="0.35">
      <c r="A3350" t="s">
        <v>531</v>
      </c>
      <c r="B3350" t="s">
        <v>2396</v>
      </c>
      <c r="C3350" t="s">
        <v>47</v>
      </c>
      <c r="D3350">
        <v>3100769</v>
      </c>
      <c r="E3350">
        <v>3000878</v>
      </c>
      <c r="F3350" t="s">
        <v>2397</v>
      </c>
      <c r="G3350" t="s">
        <v>2397</v>
      </c>
      <c r="H3350" t="s">
        <v>54</v>
      </c>
      <c r="I3350">
        <v>6956998</v>
      </c>
      <c r="J3350" s="12">
        <v>46106</v>
      </c>
      <c r="K3350" s="12">
        <v>46106</v>
      </c>
      <c r="L3350" s="12">
        <v>46106</v>
      </c>
      <c r="M3350">
        <v>26</v>
      </c>
      <c r="N3350">
        <v>-163438</v>
      </c>
      <c r="O3350">
        <v>-163438</v>
      </c>
      <c r="P3350">
        <v>0</v>
      </c>
      <c r="Q3350">
        <v>-163438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 t="s">
        <v>47</v>
      </c>
      <c r="AA3350" t="s">
        <v>501</v>
      </c>
      <c r="AB3350" t="s">
        <v>51</v>
      </c>
      <c r="AC3350" t="s">
        <v>51</v>
      </c>
      <c r="AD3350" t="s">
        <v>51</v>
      </c>
      <c r="AE3350" t="s">
        <v>51</v>
      </c>
      <c r="AF3350" t="s">
        <v>2400</v>
      </c>
    </row>
    <row r="3351" spans="1:32" ht="14.5" customHeight="1" x14ac:dyDescent="0.35">
      <c r="A3351" t="s">
        <v>531</v>
      </c>
      <c r="B3351" t="s">
        <v>2396</v>
      </c>
      <c r="C3351" t="s">
        <v>47</v>
      </c>
      <c r="D3351">
        <v>3100769</v>
      </c>
      <c r="E3351">
        <v>3000878</v>
      </c>
      <c r="F3351" t="s">
        <v>2397</v>
      </c>
      <c r="G3351" t="s">
        <v>2397</v>
      </c>
      <c r="H3351" t="s">
        <v>54</v>
      </c>
      <c r="I3351">
        <v>6956999</v>
      </c>
      <c r="J3351" s="12">
        <v>46106</v>
      </c>
      <c r="K3351" s="12">
        <v>46106</v>
      </c>
      <c r="L3351" s="12">
        <v>46106</v>
      </c>
      <c r="M3351">
        <v>26</v>
      </c>
      <c r="N3351">
        <v>-962307</v>
      </c>
      <c r="O3351">
        <v>-962307</v>
      </c>
      <c r="P3351">
        <v>0</v>
      </c>
      <c r="Q3351">
        <v>-962307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 t="s">
        <v>47</v>
      </c>
      <c r="AA3351" t="s">
        <v>501</v>
      </c>
      <c r="AB3351" t="s">
        <v>51</v>
      </c>
      <c r="AC3351" t="s">
        <v>51</v>
      </c>
      <c r="AD3351" t="s">
        <v>51</v>
      </c>
      <c r="AE3351" t="s">
        <v>51</v>
      </c>
      <c r="AF3351" t="s">
        <v>2500</v>
      </c>
    </row>
    <row r="3352" spans="1:32" ht="14.5" customHeight="1" x14ac:dyDescent="0.35">
      <c r="A3352" t="s">
        <v>531</v>
      </c>
      <c r="B3352" t="s">
        <v>2396</v>
      </c>
      <c r="C3352" t="s">
        <v>47</v>
      </c>
      <c r="D3352">
        <v>3100769</v>
      </c>
      <c r="E3352">
        <v>3000878</v>
      </c>
      <c r="F3352" t="s">
        <v>2397</v>
      </c>
      <c r="G3352" t="s">
        <v>2397</v>
      </c>
      <c r="H3352" t="s">
        <v>54</v>
      </c>
      <c r="I3352">
        <v>6957000</v>
      </c>
      <c r="J3352" s="12">
        <v>46106</v>
      </c>
      <c r="K3352" s="12">
        <v>46106</v>
      </c>
      <c r="L3352" s="12">
        <v>46106</v>
      </c>
      <c r="M3352">
        <v>26</v>
      </c>
      <c r="N3352">
        <v>-266359</v>
      </c>
      <c r="O3352">
        <v>-266359</v>
      </c>
      <c r="P3352">
        <v>0</v>
      </c>
      <c r="Q3352">
        <v>-266359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 t="s">
        <v>47</v>
      </c>
      <c r="AA3352" t="s">
        <v>501</v>
      </c>
      <c r="AB3352" t="s">
        <v>51</v>
      </c>
      <c r="AC3352" t="s">
        <v>51</v>
      </c>
      <c r="AD3352" t="s">
        <v>51</v>
      </c>
      <c r="AE3352" t="s">
        <v>51</v>
      </c>
      <c r="AF3352" t="s">
        <v>2501</v>
      </c>
    </row>
    <row r="3353" spans="1:32" ht="14.5" customHeight="1" x14ac:dyDescent="0.35">
      <c r="A3353" t="s">
        <v>531</v>
      </c>
      <c r="B3353" t="s">
        <v>2396</v>
      </c>
      <c r="C3353" t="s">
        <v>47</v>
      </c>
      <c r="D3353">
        <v>3100769</v>
      </c>
      <c r="E3353">
        <v>3000878</v>
      </c>
      <c r="F3353" t="s">
        <v>2397</v>
      </c>
      <c r="G3353" t="s">
        <v>2397</v>
      </c>
      <c r="H3353" t="s">
        <v>54</v>
      </c>
      <c r="I3353">
        <v>6957001</v>
      </c>
      <c r="J3353" s="12">
        <v>46106</v>
      </c>
      <c r="K3353" s="12">
        <v>46106</v>
      </c>
      <c r="L3353" s="12">
        <v>46106</v>
      </c>
      <c r="M3353">
        <v>26</v>
      </c>
      <c r="N3353">
        <v>-671332</v>
      </c>
      <c r="O3353">
        <v>-671332</v>
      </c>
      <c r="P3353">
        <v>0</v>
      </c>
      <c r="Q3353">
        <v>-671332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 t="s">
        <v>47</v>
      </c>
      <c r="AA3353" t="s">
        <v>501</v>
      </c>
      <c r="AB3353" t="s">
        <v>51</v>
      </c>
      <c r="AC3353" t="s">
        <v>51</v>
      </c>
      <c r="AD3353" t="s">
        <v>51</v>
      </c>
      <c r="AE3353" t="s">
        <v>51</v>
      </c>
      <c r="AF3353" t="s">
        <v>2502</v>
      </c>
    </row>
    <row r="3354" spans="1:32" ht="14.5" customHeight="1" x14ac:dyDescent="0.35">
      <c r="A3354" t="s">
        <v>531</v>
      </c>
      <c r="B3354" t="s">
        <v>2396</v>
      </c>
      <c r="C3354" t="s">
        <v>47</v>
      </c>
      <c r="D3354">
        <v>3100769</v>
      </c>
      <c r="E3354">
        <v>3000878</v>
      </c>
      <c r="F3354" t="s">
        <v>2397</v>
      </c>
      <c r="G3354" t="s">
        <v>2397</v>
      </c>
      <c r="H3354" t="s">
        <v>54</v>
      </c>
      <c r="I3354">
        <v>6957002</v>
      </c>
      <c r="J3354" s="12">
        <v>46106</v>
      </c>
      <c r="K3354" s="12">
        <v>46106</v>
      </c>
      <c r="L3354" s="12">
        <v>46106</v>
      </c>
      <c r="M3354">
        <v>26</v>
      </c>
      <c r="N3354">
        <v>-1434407</v>
      </c>
      <c r="O3354">
        <v>-1434407</v>
      </c>
      <c r="P3354">
        <v>0</v>
      </c>
      <c r="Q3354">
        <v>-1434407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 t="s">
        <v>47</v>
      </c>
      <c r="AA3354" t="s">
        <v>501</v>
      </c>
      <c r="AB3354" t="s">
        <v>51</v>
      </c>
      <c r="AC3354" t="s">
        <v>51</v>
      </c>
      <c r="AD3354" t="s">
        <v>51</v>
      </c>
      <c r="AE3354" t="s">
        <v>51</v>
      </c>
      <c r="AF3354" t="s">
        <v>2503</v>
      </c>
    </row>
    <row r="3355" spans="1:32" ht="14.5" customHeight="1" x14ac:dyDescent="0.35">
      <c r="A3355" t="s">
        <v>531</v>
      </c>
      <c r="B3355" t="s">
        <v>2396</v>
      </c>
      <c r="C3355" t="s">
        <v>47</v>
      </c>
      <c r="D3355">
        <v>3100769</v>
      </c>
      <c r="E3355">
        <v>3000878</v>
      </c>
      <c r="F3355" t="s">
        <v>2397</v>
      </c>
      <c r="G3355" t="s">
        <v>2397</v>
      </c>
      <c r="H3355" t="s">
        <v>54</v>
      </c>
      <c r="I3355">
        <v>6957003</v>
      </c>
      <c r="J3355" s="12">
        <v>46106</v>
      </c>
      <c r="K3355" s="12">
        <v>46106</v>
      </c>
      <c r="L3355" s="12">
        <v>46106</v>
      </c>
      <c r="M3355">
        <v>26</v>
      </c>
      <c r="N3355">
        <v>-283761</v>
      </c>
      <c r="O3355">
        <v>-283761</v>
      </c>
      <c r="P3355">
        <v>0</v>
      </c>
      <c r="Q3355">
        <v>-283761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 t="s">
        <v>47</v>
      </c>
      <c r="AA3355" t="s">
        <v>501</v>
      </c>
      <c r="AB3355" t="s">
        <v>51</v>
      </c>
      <c r="AC3355" t="s">
        <v>51</v>
      </c>
      <c r="AD3355" t="s">
        <v>51</v>
      </c>
      <c r="AE3355" t="s">
        <v>51</v>
      </c>
      <c r="AF3355" t="s">
        <v>2504</v>
      </c>
    </row>
    <row r="3356" spans="1:32" ht="14.5" customHeight="1" x14ac:dyDescent="0.35">
      <c r="A3356" t="s">
        <v>531</v>
      </c>
      <c r="B3356" t="s">
        <v>2396</v>
      </c>
      <c r="C3356" t="s">
        <v>47</v>
      </c>
      <c r="D3356">
        <v>3100769</v>
      </c>
      <c r="E3356">
        <v>3000878</v>
      </c>
      <c r="F3356" t="s">
        <v>2397</v>
      </c>
      <c r="G3356" t="s">
        <v>2397</v>
      </c>
      <c r="H3356" t="s">
        <v>54</v>
      </c>
      <c r="I3356">
        <v>6957004</v>
      </c>
      <c r="J3356" s="12">
        <v>46106</v>
      </c>
      <c r="K3356" s="12">
        <v>46106</v>
      </c>
      <c r="L3356" s="12">
        <v>46106</v>
      </c>
      <c r="M3356">
        <v>26</v>
      </c>
      <c r="N3356">
        <v>-133882</v>
      </c>
      <c r="O3356">
        <v>-133882</v>
      </c>
      <c r="P3356">
        <v>0</v>
      </c>
      <c r="Q3356">
        <v>-133882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 t="s">
        <v>47</v>
      </c>
      <c r="AA3356" t="s">
        <v>501</v>
      </c>
      <c r="AB3356" t="s">
        <v>51</v>
      </c>
      <c r="AC3356" t="s">
        <v>51</v>
      </c>
      <c r="AD3356" t="s">
        <v>51</v>
      </c>
      <c r="AE3356" t="s">
        <v>51</v>
      </c>
      <c r="AF3356" t="s">
        <v>2505</v>
      </c>
    </row>
    <row r="3357" spans="1:32" ht="14.5" customHeight="1" x14ac:dyDescent="0.35">
      <c r="A3357" t="s">
        <v>531</v>
      </c>
      <c r="B3357" t="s">
        <v>2396</v>
      </c>
      <c r="C3357" t="s">
        <v>47</v>
      </c>
      <c r="D3357">
        <v>3100769</v>
      </c>
      <c r="E3357">
        <v>3000878</v>
      </c>
      <c r="F3357" t="s">
        <v>2397</v>
      </c>
      <c r="G3357" t="s">
        <v>2397</v>
      </c>
      <c r="H3357" t="s">
        <v>54</v>
      </c>
      <c r="I3357">
        <v>6957005</v>
      </c>
      <c r="J3357" s="12">
        <v>46106</v>
      </c>
      <c r="K3357" s="12">
        <v>46106</v>
      </c>
      <c r="L3357" s="12">
        <v>46106</v>
      </c>
      <c r="M3357">
        <v>26</v>
      </c>
      <c r="N3357">
        <v>-123870</v>
      </c>
      <c r="O3357">
        <v>-123870</v>
      </c>
      <c r="P3357">
        <v>0</v>
      </c>
      <c r="Q3357">
        <v>-123870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 t="s">
        <v>47</v>
      </c>
      <c r="AA3357" t="s">
        <v>501</v>
      </c>
      <c r="AB3357" t="s">
        <v>51</v>
      </c>
      <c r="AC3357" t="s">
        <v>51</v>
      </c>
      <c r="AD3357" t="s">
        <v>51</v>
      </c>
      <c r="AE3357" t="s">
        <v>51</v>
      </c>
      <c r="AF3357" t="s">
        <v>2506</v>
      </c>
    </row>
    <row r="3358" spans="1:32" ht="14.5" customHeight="1" x14ac:dyDescent="0.35">
      <c r="A3358" t="s">
        <v>531</v>
      </c>
      <c r="B3358" t="s">
        <v>2396</v>
      </c>
      <c r="C3358" t="s">
        <v>47</v>
      </c>
      <c r="D3358">
        <v>3100769</v>
      </c>
      <c r="E3358">
        <v>3000878</v>
      </c>
      <c r="F3358" t="s">
        <v>2397</v>
      </c>
      <c r="G3358" t="s">
        <v>2397</v>
      </c>
      <c r="H3358" t="s">
        <v>54</v>
      </c>
      <c r="I3358">
        <v>6957006</v>
      </c>
      <c r="J3358" s="12">
        <v>46106</v>
      </c>
      <c r="K3358" s="12">
        <v>46106</v>
      </c>
      <c r="L3358" s="12">
        <v>46106</v>
      </c>
      <c r="M3358">
        <v>26</v>
      </c>
      <c r="N3358">
        <v>-182721</v>
      </c>
      <c r="O3358">
        <v>-182721</v>
      </c>
      <c r="P3358">
        <v>0</v>
      </c>
      <c r="Q3358">
        <v>-182721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 t="s">
        <v>47</v>
      </c>
      <c r="AA3358" t="s">
        <v>501</v>
      </c>
      <c r="AB3358" t="s">
        <v>51</v>
      </c>
      <c r="AC3358" t="s">
        <v>51</v>
      </c>
      <c r="AD3358" t="s">
        <v>51</v>
      </c>
      <c r="AE3358" t="s">
        <v>51</v>
      </c>
      <c r="AF3358" t="s">
        <v>2507</v>
      </c>
    </row>
    <row r="3359" spans="1:32" ht="14.5" customHeight="1" x14ac:dyDescent="0.35">
      <c r="A3359" t="s">
        <v>531</v>
      </c>
      <c r="B3359" t="s">
        <v>2396</v>
      </c>
      <c r="C3359" t="s">
        <v>47</v>
      </c>
      <c r="D3359">
        <v>3100769</v>
      </c>
      <c r="E3359">
        <v>3000878</v>
      </c>
      <c r="F3359" t="s">
        <v>2397</v>
      </c>
      <c r="G3359" t="s">
        <v>2397</v>
      </c>
      <c r="H3359" t="s">
        <v>54</v>
      </c>
      <c r="I3359">
        <v>6957007</v>
      </c>
      <c r="J3359" s="12">
        <v>46106</v>
      </c>
      <c r="K3359" s="12">
        <v>46106</v>
      </c>
      <c r="L3359" s="12">
        <v>46106</v>
      </c>
      <c r="M3359">
        <v>26</v>
      </c>
      <c r="N3359">
        <v>-146865</v>
      </c>
      <c r="O3359">
        <v>-146865</v>
      </c>
      <c r="P3359">
        <v>0</v>
      </c>
      <c r="Q3359">
        <v>-146865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 t="s">
        <v>47</v>
      </c>
      <c r="AA3359" t="s">
        <v>501</v>
      </c>
      <c r="AB3359" t="s">
        <v>51</v>
      </c>
      <c r="AC3359" t="s">
        <v>51</v>
      </c>
      <c r="AD3359" t="s">
        <v>51</v>
      </c>
      <c r="AE3359" t="s">
        <v>51</v>
      </c>
      <c r="AF3359" t="s">
        <v>2508</v>
      </c>
    </row>
    <row r="3360" spans="1:32" ht="14.5" customHeight="1" x14ac:dyDescent="0.35">
      <c r="A3360" t="s">
        <v>531</v>
      </c>
      <c r="B3360" t="s">
        <v>2396</v>
      </c>
      <c r="C3360" t="s">
        <v>47</v>
      </c>
      <c r="D3360">
        <v>3100769</v>
      </c>
      <c r="E3360">
        <v>3000878</v>
      </c>
      <c r="F3360" t="s">
        <v>2397</v>
      </c>
      <c r="G3360" t="s">
        <v>2397</v>
      </c>
      <c r="H3360" t="s">
        <v>54</v>
      </c>
      <c r="I3360">
        <v>6957008</v>
      </c>
      <c r="J3360" s="12">
        <v>46106</v>
      </c>
      <c r="K3360" s="12">
        <v>46106</v>
      </c>
      <c r="L3360" s="12">
        <v>46106</v>
      </c>
      <c r="M3360">
        <v>26</v>
      </c>
      <c r="N3360">
        <v>-80000</v>
      </c>
      <c r="O3360">
        <v>-80000</v>
      </c>
      <c r="P3360">
        <v>0</v>
      </c>
      <c r="Q3360">
        <v>-80000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 t="s">
        <v>47</v>
      </c>
      <c r="AA3360" t="s">
        <v>501</v>
      </c>
      <c r="AB3360" t="s">
        <v>51</v>
      </c>
      <c r="AC3360" t="s">
        <v>51</v>
      </c>
      <c r="AD3360" t="s">
        <v>51</v>
      </c>
      <c r="AE3360" t="s">
        <v>51</v>
      </c>
      <c r="AF3360" t="s">
        <v>2509</v>
      </c>
    </row>
    <row r="3361" spans="1:32" ht="14.5" customHeight="1" x14ac:dyDescent="0.35">
      <c r="A3361" t="s">
        <v>531</v>
      </c>
      <c r="B3361" t="s">
        <v>2396</v>
      </c>
      <c r="C3361" t="s">
        <v>47</v>
      </c>
      <c r="D3361">
        <v>3100769</v>
      </c>
      <c r="E3361">
        <v>3000878</v>
      </c>
      <c r="F3361" t="s">
        <v>2397</v>
      </c>
      <c r="G3361" t="s">
        <v>2397</v>
      </c>
      <c r="H3361" t="s">
        <v>54</v>
      </c>
      <c r="I3361">
        <v>6957009</v>
      </c>
      <c r="J3361" s="12">
        <v>46106</v>
      </c>
      <c r="K3361" s="12">
        <v>46106</v>
      </c>
      <c r="L3361" s="12">
        <v>46106</v>
      </c>
      <c r="M3361">
        <v>26</v>
      </c>
      <c r="N3361">
        <v>-160000</v>
      </c>
      <c r="O3361">
        <v>-160000</v>
      </c>
      <c r="P3361">
        <v>0</v>
      </c>
      <c r="Q3361">
        <v>-160000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 t="s">
        <v>47</v>
      </c>
      <c r="AA3361" t="s">
        <v>501</v>
      </c>
      <c r="AB3361" t="s">
        <v>51</v>
      </c>
      <c r="AC3361" t="s">
        <v>51</v>
      </c>
      <c r="AD3361" t="s">
        <v>51</v>
      </c>
      <c r="AE3361" t="s">
        <v>51</v>
      </c>
      <c r="AF3361" t="s">
        <v>2509</v>
      </c>
    </row>
    <row r="3362" spans="1:32" ht="14.5" customHeight="1" x14ac:dyDescent="0.35">
      <c r="A3362" t="s">
        <v>531</v>
      </c>
      <c r="B3362" t="s">
        <v>2396</v>
      </c>
      <c r="C3362" t="s">
        <v>47</v>
      </c>
      <c r="D3362">
        <v>3100769</v>
      </c>
      <c r="E3362">
        <v>3000876</v>
      </c>
      <c r="F3362" t="s">
        <v>2397</v>
      </c>
      <c r="G3362" t="s">
        <v>2397</v>
      </c>
      <c r="H3362" t="s">
        <v>54</v>
      </c>
      <c r="I3362">
        <v>6957037</v>
      </c>
      <c r="J3362" s="12">
        <v>46106</v>
      </c>
      <c r="K3362" s="12">
        <v>46106</v>
      </c>
      <c r="L3362" s="12">
        <v>46106</v>
      </c>
      <c r="M3362">
        <v>26</v>
      </c>
      <c r="N3362">
        <v>-4696651</v>
      </c>
      <c r="O3362">
        <v>-4696651</v>
      </c>
      <c r="P3362">
        <v>0</v>
      </c>
      <c r="Q3362">
        <v>-4696651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 t="s">
        <v>47</v>
      </c>
      <c r="AA3362" t="s">
        <v>501</v>
      </c>
      <c r="AB3362" t="s">
        <v>51</v>
      </c>
      <c r="AC3362" t="s">
        <v>51</v>
      </c>
      <c r="AD3362" t="s">
        <v>51</v>
      </c>
      <c r="AE3362" t="s">
        <v>51</v>
      </c>
      <c r="AF3362" t="s">
        <v>2510</v>
      </c>
    </row>
    <row r="3363" spans="1:32" ht="14.5" customHeight="1" x14ac:dyDescent="0.35">
      <c r="A3363" t="s">
        <v>531</v>
      </c>
      <c r="B3363" t="s">
        <v>2396</v>
      </c>
      <c r="C3363" t="s">
        <v>47</v>
      </c>
      <c r="D3363">
        <v>3100769</v>
      </c>
      <c r="E3363">
        <v>3000876</v>
      </c>
      <c r="F3363" t="s">
        <v>2397</v>
      </c>
      <c r="G3363" t="s">
        <v>2397</v>
      </c>
      <c r="H3363" t="s">
        <v>54</v>
      </c>
      <c r="I3363">
        <v>6957038</v>
      </c>
      <c r="J3363" s="12">
        <v>46106</v>
      </c>
      <c r="K3363" s="12">
        <v>46106</v>
      </c>
      <c r="L3363" s="12">
        <v>46106</v>
      </c>
      <c r="M3363">
        <v>26</v>
      </c>
      <c r="N3363">
        <v>-26598382</v>
      </c>
      <c r="O3363">
        <v>-26598382</v>
      </c>
      <c r="P3363">
        <v>0</v>
      </c>
      <c r="Q3363">
        <v>-26598382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 t="s">
        <v>47</v>
      </c>
      <c r="AA3363" t="s">
        <v>501</v>
      </c>
      <c r="AB3363" t="s">
        <v>51</v>
      </c>
      <c r="AC3363" t="s">
        <v>51</v>
      </c>
      <c r="AD3363" t="s">
        <v>51</v>
      </c>
      <c r="AE3363" t="s">
        <v>51</v>
      </c>
      <c r="AF3363" t="s">
        <v>2511</v>
      </c>
    </row>
    <row r="3364" spans="1:32" ht="14.5" customHeight="1" x14ac:dyDescent="0.35">
      <c r="A3364" t="s">
        <v>531</v>
      </c>
      <c r="B3364" t="s">
        <v>2396</v>
      </c>
      <c r="C3364" t="s">
        <v>47</v>
      </c>
      <c r="D3364">
        <v>3100769</v>
      </c>
      <c r="E3364">
        <v>3000878</v>
      </c>
      <c r="F3364" t="s">
        <v>2397</v>
      </c>
      <c r="G3364" t="s">
        <v>2397</v>
      </c>
      <c r="H3364" t="s">
        <v>54</v>
      </c>
      <c r="I3364">
        <v>6957039</v>
      </c>
      <c r="J3364" s="12">
        <v>46106</v>
      </c>
      <c r="K3364" s="12">
        <v>46106</v>
      </c>
      <c r="L3364" s="12">
        <v>46106</v>
      </c>
      <c r="M3364">
        <v>26</v>
      </c>
      <c r="N3364">
        <v>-28803</v>
      </c>
      <c r="O3364">
        <v>-28803</v>
      </c>
      <c r="P3364">
        <v>0</v>
      </c>
      <c r="Q3364">
        <v>-28803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 t="s">
        <v>47</v>
      </c>
      <c r="AA3364" t="s">
        <v>501</v>
      </c>
      <c r="AB3364" t="s">
        <v>51</v>
      </c>
      <c r="AC3364" t="s">
        <v>51</v>
      </c>
      <c r="AD3364" t="s">
        <v>51</v>
      </c>
      <c r="AE3364" t="s">
        <v>51</v>
      </c>
      <c r="AF3364" t="s">
        <v>2495</v>
      </c>
    </row>
    <row r="3365" spans="1:32" ht="14.5" customHeight="1" x14ac:dyDescent="0.35">
      <c r="A3365" t="s">
        <v>531</v>
      </c>
      <c r="B3365" t="s">
        <v>2396</v>
      </c>
      <c r="C3365" t="s">
        <v>47</v>
      </c>
      <c r="D3365">
        <v>3100769</v>
      </c>
      <c r="E3365">
        <v>3000878</v>
      </c>
      <c r="F3365" t="s">
        <v>2397</v>
      </c>
      <c r="G3365" t="s">
        <v>2397</v>
      </c>
      <c r="H3365" t="s">
        <v>54</v>
      </c>
      <c r="I3365">
        <v>6957040</v>
      </c>
      <c r="J3365" s="12">
        <v>46106</v>
      </c>
      <c r="K3365" s="12">
        <v>46106</v>
      </c>
      <c r="L3365" s="12">
        <v>46106</v>
      </c>
      <c r="M3365">
        <v>26</v>
      </c>
      <c r="N3365">
        <v>-36730</v>
      </c>
      <c r="O3365">
        <v>-36730</v>
      </c>
      <c r="P3365">
        <v>0</v>
      </c>
      <c r="Q3365">
        <v>-36730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 t="s">
        <v>47</v>
      </c>
      <c r="AA3365" t="s">
        <v>501</v>
      </c>
      <c r="AB3365" t="s">
        <v>51</v>
      </c>
      <c r="AC3365" t="s">
        <v>51</v>
      </c>
      <c r="AD3365" t="s">
        <v>51</v>
      </c>
      <c r="AE3365" t="s">
        <v>51</v>
      </c>
      <c r="AF3365" t="s">
        <v>2495</v>
      </c>
    </row>
    <row r="3366" spans="1:32" ht="14.5" customHeight="1" x14ac:dyDescent="0.35">
      <c r="A3366" t="s">
        <v>531</v>
      </c>
      <c r="B3366" t="s">
        <v>2396</v>
      </c>
      <c r="C3366" t="s">
        <v>47</v>
      </c>
      <c r="D3366">
        <v>3100769</v>
      </c>
      <c r="E3366">
        <v>3000878</v>
      </c>
      <c r="F3366" t="s">
        <v>2397</v>
      </c>
      <c r="G3366" t="s">
        <v>2397</v>
      </c>
      <c r="H3366" t="s">
        <v>54</v>
      </c>
      <c r="I3366">
        <v>6957041</v>
      </c>
      <c r="J3366" s="12">
        <v>46106</v>
      </c>
      <c r="K3366" s="12">
        <v>46106</v>
      </c>
      <c r="L3366" s="12">
        <v>46106</v>
      </c>
      <c r="M3366">
        <v>26</v>
      </c>
      <c r="N3366">
        <v>-141540</v>
      </c>
      <c r="O3366">
        <v>-141540</v>
      </c>
      <c r="P3366">
        <v>0</v>
      </c>
      <c r="Q3366">
        <v>-141540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 t="s">
        <v>47</v>
      </c>
      <c r="AA3366" t="s">
        <v>501</v>
      </c>
      <c r="AB3366" t="s">
        <v>51</v>
      </c>
      <c r="AC3366" t="s">
        <v>51</v>
      </c>
      <c r="AD3366" t="s">
        <v>51</v>
      </c>
      <c r="AE3366" t="s">
        <v>51</v>
      </c>
      <c r="AF3366" t="s">
        <v>2495</v>
      </c>
    </row>
    <row r="3367" spans="1:32" ht="14.5" customHeight="1" x14ac:dyDescent="0.35">
      <c r="A3367" t="s">
        <v>531</v>
      </c>
      <c r="B3367" t="s">
        <v>2396</v>
      </c>
      <c r="C3367" t="s">
        <v>47</v>
      </c>
      <c r="D3367">
        <v>3100769</v>
      </c>
      <c r="E3367">
        <v>3000878</v>
      </c>
      <c r="F3367" t="s">
        <v>2397</v>
      </c>
      <c r="G3367" t="s">
        <v>2397</v>
      </c>
      <c r="H3367" t="s">
        <v>54</v>
      </c>
      <c r="I3367">
        <v>6957042</v>
      </c>
      <c r="J3367" s="12">
        <v>46106</v>
      </c>
      <c r="K3367" s="12">
        <v>46106</v>
      </c>
      <c r="L3367" s="12">
        <v>46106</v>
      </c>
      <c r="M3367">
        <v>26</v>
      </c>
      <c r="N3367">
        <v>-83181</v>
      </c>
      <c r="O3367">
        <v>-83181</v>
      </c>
      <c r="P3367">
        <v>0</v>
      </c>
      <c r="Q3367">
        <v>-83181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 t="s">
        <v>47</v>
      </c>
      <c r="AA3367" t="s">
        <v>501</v>
      </c>
      <c r="AB3367" t="s">
        <v>51</v>
      </c>
      <c r="AC3367" t="s">
        <v>51</v>
      </c>
      <c r="AD3367" t="s">
        <v>51</v>
      </c>
      <c r="AE3367" t="s">
        <v>51</v>
      </c>
      <c r="AF3367" t="s">
        <v>2495</v>
      </c>
    </row>
    <row r="3368" spans="1:32" ht="14.5" customHeight="1" x14ac:dyDescent="0.35">
      <c r="A3368" t="s">
        <v>531</v>
      </c>
      <c r="B3368" t="s">
        <v>2396</v>
      </c>
      <c r="C3368" t="s">
        <v>47</v>
      </c>
      <c r="D3368">
        <v>3100769</v>
      </c>
      <c r="E3368">
        <v>3000878</v>
      </c>
      <c r="F3368" t="s">
        <v>2397</v>
      </c>
      <c r="G3368" t="s">
        <v>2397</v>
      </c>
      <c r="H3368" t="s">
        <v>54</v>
      </c>
      <c r="I3368">
        <v>6957043</v>
      </c>
      <c r="J3368" s="12">
        <v>46106</v>
      </c>
      <c r="K3368" s="12">
        <v>46106</v>
      </c>
      <c r="L3368" s="12">
        <v>46106</v>
      </c>
      <c r="M3368">
        <v>26</v>
      </c>
      <c r="N3368">
        <v>-75200</v>
      </c>
      <c r="O3368">
        <v>-75200</v>
      </c>
      <c r="P3368">
        <v>0</v>
      </c>
      <c r="Q3368">
        <v>-75200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 t="s">
        <v>47</v>
      </c>
      <c r="AA3368" t="s">
        <v>501</v>
      </c>
      <c r="AB3368" t="s">
        <v>51</v>
      </c>
      <c r="AC3368" t="s">
        <v>51</v>
      </c>
      <c r="AD3368" t="s">
        <v>51</v>
      </c>
      <c r="AE3368" t="s">
        <v>51</v>
      </c>
      <c r="AF3368" t="s">
        <v>2512</v>
      </c>
    </row>
    <row r="3369" spans="1:32" ht="14.5" customHeight="1" x14ac:dyDescent="0.35">
      <c r="A3369" t="s">
        <v>531</v>
      </c>
      <c r="B3369" t="s">
        <v>2396</v>
      </c>
      <c r="C3369" t="s">
        <v>47</v>
      </c>
      <c r="D3369">
        <v>3100769</v>
      </c>
      <c r="E3369">
        <v>3000878</v>
      </c>
      <c r="F3369" t="s">
        <v>2397</v>
      </c>
      <c r="G3369" t="s">
        <v>2397</v>
      </c>
      <c r="H3369" t="s">
        <v>54</v>
      </c>
      <c r="I3369">
        <v>6957044</v>
      </c>
      <c r="J3369" s="12">
        <v>46106</v>
      </c>
      <c r="K3369" s="12">
        <v>46106</v>
      </c>
      <c r="L3369" s="12">
        <v>46106</v>
      </c>
      <c r="M3369">
        <v>26</v>
      </c>
      <c r="N3369">
        <v>-484942</v>
      </c>
      <c r="O3369">
        <v>-484942</v>
      </c>
      <c r="P3369">
        <v>0</v>
      </c>
      <c r="Q3369">
        <v>-484942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 t="s">
        <v>47</v>
      </c>
      <c r="AA3369" t="s">
        <v>501</v>
      </c>
      <c r="AB3369" t="s">
        <v>51</v>
      </c>
      <c r="AC3369" t="s">
        <v>51</v>
      </c>
      <c r="AD3369" t="s">
        <v>51</v>
      </c>
      <c r="AE3369" t="s">
        <v>51</v>
      </c>
      <c r="AF3369" t="s">
        <v>2513</v>
      </c>
    </row>
    <row r="3370" spans="1:32" ht="14.5" customHeight="1" x14ac:dyDescent="0.35">
      <c r="A3370" t="s">
        <v>531</v>
      </c>
      <c r="B3370" t="s">
        <v>2396</v>
      </c>
      <c r="C3370" t="s">
        <v>47</v>
      </c>
      <c r="D3370">
        <v>3100769</v>
      </c>
      <c r="E3370">
        <v>3000878</v>
      </c>
      <c r="F3370" t="s">
        <v>2397</v>
      </c>
      <c r="G3370" t="s">
        <v>2397</v>
      </c>
      <c r="H3370" t="s">
        <v>54</v>
      </c>
      <c r="I3370">
        <v>6957045</v>
      </c>
      <c r="J3370" s="12">
        <v>46106</v>
      </c>
      <c r="K3370" s="12">
        <v>46106</v>
      </c>
      <c r="L3370" s="12">
        <v>46106</v>
      </c>
      <c r="M3370">
        <v>26</v>
      </c>
      <c r="N3370">
        <v>-178443</v>
      </c>
      <c r="O3370">
        <v>-178443</v>
      </c>
      <c r="P3370">
        <v>0</v>
      </c>
      <c r="Q3370">
        <v>-178443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 t="s">
        <v>47</v>
      </c>
      <c r="AA3370" t="s">
        <v>501</v>
      </c>
      <c r="AB3370" t="s">
        <v>51</v>
      </c>
      <c r="AC3370" t="s">
        <v>51</v>
      </c>
      <c r="AD3370" t="s">
        <v>51</v>
      </c>
      <c r="AE3370" t="s">
        <v>51</v>
      </c>
      <c r="AF3370" t="s">
        <v>2514</v>
      </c>
    </row>
    <row r="3371" spans="1:32" ht="14.5" customHeight="1" x14ac:dyDescent="0.35">
      <c r="A3371" t="s">
        <v>531</v>
      </c>
      <c r="B3371" t="s">
        <v>2396</v>
      </c>
      <c r="C3371" t="s">
        <v>47</v>
      </c>
      <c r="D3371">
        <v>3100769</v>
      </c>
      <c r="E3371">
        <v>3000878</v>
      </c>
      <c r="F3371" t="s">
        <v>2397</v>
      </c>
      <c r="G3371" t="s">
        <v>2397</v>
      </c>
      <c r="H3371" t="s">
        <v>54</v>
      </c>
      <c r="I3371">
        <v>6957046</v>
      </c>
      <c r="J3371" s="12">
        <v>46106</v>
      </c>
      <c r="K3371" s="12">
        <v>46106</v>
      </c>
      <c r="L3371" s="12">
        <v>46106</v>
      </c>
      <c r="M3371">
        <v>26</v>
      </c>
      <c r="N3371">
        <v>-171689</v>
      </c>
      <c r="O3371">
        <v>-171689</v>
      </c>
      <c r="P3371">
        <v>0</v>
      </c>
      <c r="Q3371">
        <v>-171689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 t="s">
        <v>47</v>
      </c>
      <c r="AA3371" t="s">
        <v>501</v>
      </c>
      <c r="AB3371" t="s">
        <v>51</v>
      </c>
      <c r="AC3371" t="s">
        <v>51</v>
      </c>
      <c r="AD3371" t="s">
        <v>51</v>
      </c>
      <c r="AE3371" t="s">
        <v>51</v>
      </c>
      <c r="AF3371" t="s">
        <v>2515</v>
      </c>
    </row>
    <row r="3372" spans="1:32" ht="14.5" customHeight="1" x14ac:dyDescent="0.35">
      <c r="A3372" t="s">
        <v>531</v>
      </c>
      <c r="B3372" t="s">
        <v>2396</v>
      </c>
      <c r="C3372" t="s">
        <v>47</v>
      </c>
      <c r="D3372">
        <v>3100769</v>
      </c>
      <c r="E3372">
        <v>3000878</v>
      </c>
      <c r="F3372" t="s">
        <v>2397</v>
      </c>
      <c r="G3372" t="s">
        <v>2397</v>
      </c>
      <c r="H3372" t="s">
        <v>54</v>
      </c>
      <c r="I3372">
        <v>6957047</v>
      </c>
      <c r="J3372" s="12">
        <v>46106</v>
      </c>
      <c r="K3372" s="12">
        <v>46106</v>
      </c>
      <c r="L3372" s="12">
        <v>46106</v>
      </c>
      <c r="M3372">
        <v>26</v>
      </c>
      <c r="N3372">
        <v>-668111</v>
      </c>
      <c r="O3372">
        <v>-668111</v>
      </c>
      <c r="P3372">
        <v>0</v>
      </c>
      <c r="Q3372">
        <v>-668111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 t="s">
        <v>47</v>
      </c>
      <c r="AA3372" t="s">
        <v>501</v>
      </c>
      <c r="AB3372" t="s">
        <v>51</v>
      </c>
      <c r="AC3372" t="s">
        <v>51</v>
      </c>
      <c r="AD3372" t="s">
        <v>51</v>
      </c>
      <c r="AE3372" t="s">
        <v>51</v>
      </c>
      <c r="AF3372" t="s">
        <v>2436</v>
      </c>
    </row>
    <row r="3373" spans="1:32" ht="14.5" customHeight="1" x14ac:dyDescent="0.35">
      <c r="A3373" t="s">
        <v>531</v>
      </c>
      <c r="B3373" t="s">
        <v>2396</v>
      </c>
      <c r="C3373" t="s">
        <v>47</v>
      </c>
      <c r="D3373">
        <v>3100769</v>
      </c>
      <c r="E3373">
        <v>3000878</v>
      </c>
      <c r="F3373" t="s">
        <v>2397</v>
      </c>
      <c r="G3373" t="s">
        <v>2397</v>
      </c>
      <c r="H3373" t="s">
        <v>54</v>
      </c>
      <c r="I3373">
        <v>6957048</v>
      </c>
      <c r="J3373" s="12">
        <v>46106</v>
      </c>
      <c r="K3373" s="12">
        <v>46106</v>
      </c>
      <c r="L3373" s="12">
        <v>46106</v>
      </c>
      <c r="M3373">
        <v>26</v>
      </c>
      <c r="N3373">
        <v>-1733845</v>
      </c>
      <c r="O3373">
        <v>-1733845</v>
      </c>
      <c r="P3373">
        <v>0</v>
      </c>
      <c r="Q3373">
        <v>-1733845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 t="s">
        <v>47</v>
      </c>
      <c r="AA3373" t="s">
        <v>501</v>
      </c>
      <c r="AB3373" t="s">
        <v>51</v>
      </c>
      <c r="AC3373" t="s">
        <v>51</v>
      </c>
      <c r="AD3373" t="s">
        <v>51</v>
      </c>
      <c r="AE3373" t="s">
        <v>51</v>
      </c>
      <c r="AF3373" t="s">
        <v>2516</v>
      </c>
    </row>
    <row r="3374" spans="1:32" ht="14.5" customHeight="1" x14ac:dyDescent="0.35">
      <c r="A3374" t="s">
        <v>531</v>
      </c>
      <c r="B3374" t="s">
        <v>2396</v>
      </c>
      <c r="C3374" t="s">
        <v>47</v>
      </c>
      <c r="D3374">
        <v>3100769</v>
      </c>
      <c r="E3374">
        <v>3000878</v>
      </c>
      <c r="F3374" t="s">
        <v>2397</v>
      </c>
      <c r="G3374" t="s">
        <v>2397</v>
      </c>
      <c r="H3374" t="s">
        <v>54</v>
      </c>
      <c r="I3374">
        <v>6957049</v>
      </c>
      <c r="J3374" s="12">
        <v>46106</v>
      </c>
      <c r="K3374" s="12">
        <v>46106</v>
      </c>
      <c r="L3374" s="12">
        <v>46106</v>
      </c>
      <c r="M3374">
        <v>26</v>
      </c>
      <c r="N3374">
        <v>-814748</v>
      </c>
      <c r="O3374">
        <v>-814748</v>
      </c>
      <c r="P3374">
        <v>0</v>
      </c>
      <c r="Q3374">
        <v>-814748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 t="s">
        <v>47</v>
      </c>
      <c r="AA3374" t="s">
        <v>501</v>
      </c>
      <c r="AB3374" t="s">
        <v>51</v>
      </c>
      <c r="AC3374" t="s">
        <v>51</v>
      </c>
      <c r="AD3374" t="s">
        <v>51</v>
      </c>
      <c r="AE3374" t="s">
        <v>51</v>
      </c>
      <c r="AF3374" t="s">
        <v>2517</v>
      </c>
    </row>
    <row r="3375" spans="1:32" ht="14.5" customHeight="1" x14ac:dyDescent="0.35">
      <c r="A3375" t="s">
        <v>531</v>
      </c>
      <c r="B3375" t="s">
        <v>2396</v>
      </c>
      <c r="C3375" t="s">
        <v>47</v>
      </c>
      <c r="D3375">
        <v>3100769</v>
      </c>
      <c r="E3375">
        <v>3000878</v>
      </c>
      <c r="F3375" t="s">
        <v>2397</v>
      </c>
      <c r="G3375" t="s">
        <v>2397</v>
      </c>
      <c r="H3375" t="s">
        <v>54</v>
      </c>
      <c r="I3375">
        <v>6957050</v>
      </c>
      <c r="J3375" s="12">
        <v>46106</v>
      </c>
      <c r="K3375" s="12">
        <v>46106</v>
      </c>
      <c r="L3375" s="12">
        <v>46106</v>
      </c>
      <c r="M3375">
        <v>26</v>
      </c>
      <c r="N3375">
        <v>-264932</v>
      </c>
      <c r="O3375">
        <v>-264932</v>
      </c>
      <c r="P3375">
        <v>0</v>
      </c>
      <c r="Q3375">
        <v>-264932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 t="s">
        <v>47</v>
      </c>
      <c r="AA3375" t="s">
        <v>501</v>
      </c>
      <c r="AB3375" t="s">
        <v>51</v>
      </c>
      <c r="AC3375" t="s">
        <v>51</v>
      </c>
      <c r="AD3375" t="s">
        <v>51</v>
      </c>
      <c r="AE3375" t="s">
        <v>51</v>
      </c>
      <c r="AF3375" t="s">
        <v>2483</v>
      </c>
    </row>
    <row r="3376" spans="1:32" ht="14.5" customHeight="1" x14ac:dyDescent="0.35">
      <c r="A3376" t="s">
        <v>531</v>
      </c>
      <c r="B3376" t="s">
        <v>2396</v>
      </c>
      <c r="C3376" t="s">
        <v>47</v>
      </c>
      <c r="D3376">
        <v>3100769</v>
      </c>
      <c r="E3376">
        <v>3000878</v>
      </c>
      <c r="F3376" t="s">
        <v>2397</v>
      </c>
      <c r="G3376" t="s">
        <v>2397</v>
      </c>
      <c r="H3376" t="s">
        <v>54</v>
      </c>
      <c r="I3376">
        <v>6957051</v>
      </c>
      <c r="J3376" s="12">
        <v>46106</v>
      </c>
      <c r="K3376" s="12">
        <v>46106</v>
      </c>
      <c r="L3376" s="12">
        <v>46106</v>
      </c>
      <c r="M3376">
        <v>26</v>
      </c>
      <c r="N3376">
        <v>-2793829</v>
      </c>
      <c r="O3376">
        <v>-2793829</v>
      </c>
      <c r="P3376">
        <v>0</v>
      </c>
      <c r="Q3376">
        <v>-2793829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 t="s">
        <v>47</v>
      </c>
      <c r="AA3376" t="s">
        <v>501</v>
      </c>
      <c r="AB3376" t="s">
        <v>51</v>
      </c>
      <c r="AC3376" t="s">
        <v>51</v>
      </c>
      <c r="AD3376" t="s">
        <v>51</v>
      </c>
      <c r="AE3376" t="s">
        <v>51</v>
      </c>
      <c r="AF3376" t="s">
        <v>2518</v>
      </c>
    </row>
    <row r="3377" spans="1:32" ht="14.5" customHeight="1" x14ac:dyDescent="0.35">
      <c r="A3377" t="s">
        <v>531</v>
      </c>
      <c r="B3377" t="s">
        <v>2396</v>
      </c>
      <c r="C3377" t="s">
        <v>47</v>
      </c>
      <c r="D3377">
        <v>3100769</v>
      </c>
      <c r="E3377">
        <v>3000878</v>
      </c>
      <c r="F3377" t="s">
        <v>2397</v>
      </c>
      <c r="G3377" t="s">
        <v>2397</v>
      </c>
      <c r="H3377" t="s">
        <v>54</v>
      </c>
      <c r="I3377">
        <v>6957052</v>
      </c>
      <c r="J3377" s="12">
        <v>46106</v>
      </c>
      <c r="K3377" s="12">
        <v>46106</v>
      </c>
      <c r="L3377" s="12">
        <v>46106</v>
      </c>
      <c r="M3377">
        <v>26</v>
      </c>
      <c r="N3377">
        <v>-3027278</v>
      </c>
      <c r="O3377">
        <v>-3027278</v>
      </c>
      <c r="P3377">
        <v>0</v>
      </c>
      <c r="Q3377">
        <v>-3027278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 t="s">
        <v>47</v>
      </c>
      <c r="AA3377" t="s">
        <v>501</v>
      </c>
      <c r="AB3377" t="s">
        <v>51</v>
      </c>
      <c r="AC3377" t="s">
        <v>51</v>
      </c>
      <c r="AD3377" t="s">
        <v>51</v>
      </c>
      <c r="AE3377" t="s">
        <v>51</v>
      </c>
      <c r="AF3377" t="s">
        <v>2415</v>
      </c>
    </row>
    <row r="3378" spans="1:32" ht="14.5" customHeight="1" x14ac:dyDescent="0.35">
      <c r="A3378" t="s">
        <v>531</v>
      </c>
      <c r="B3378" t="s">
        <v>2396</v>
      </c>
      <c r="C3378" t="s">
        <v>47</v>
      </c>
      <c r="D3378">
        <v>3100769</v>
      </c>
      <c r="E3378">
        <v>3000878</v>
      </c>
      <c r="F3378" t="s">
        <v>2397</v>
      </c>
      <c r="G3378" t="s">
        <v>2397</v>
      </c>
      <c r="H3378" t="s">
        <v>54</v>
      </c>
      <c r="I3378">
        <v>6957053</v>
      </c>
      <c r="J3378" s="12">
        <v>46106</v>
      </c>
      <c r="K3378" s="12">
        <v>46106</v>
      </c>
      <c r="L3378" s="12">
        <v>46106</v>
      </c>
      <c r="M3378">
        <v>26</v>
      </c>
      <c r="N3378">
        <v>-744348</v>
      </c>
      <c r="O3378">
        <v>-744348</v>
      </c>
      <c r="P3378">
        <v>0</v>
      </c>
      <c r="Q3378">
        <v>-744348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 t="s">
        <v>47</v>
      </c>
      <c r="AA3378" t="s">
        <v>501</v>
      </c>
      <c r="AB3378" t="s">
        <v>51</v>
      </c>
      <c r="AC3378" t="s">
        <v>51</v>
      </c>
      <c r="AD3378" t="s">
        <v>51</v>
      </c>
      <c r="AE3378" t="s">
        <v>51</v>
      </c>
      <c r="AF3378" t="s">
        <v>2519</v>
      </c>
    </row>
    <row r="3379" spans="1:32" ht="14.5" customHeight="1" x14ac:dyDescent="0.35">
      <c r="A3379" t="s">
        <v>531</v>
      </c>
      <c r="B3379" t="s">
        <v>2396</v>
      </c>
      <c r="C3379" t="s">
        <v>47</v>
      </c>
      <c r="D3379">
        <v>3100769</v>
      </c>
      <c r="E3379">
        <v>3000878</v>
      </c>
      <c r="F3379" t="s">
        <v>2397</v>
      </c>
      <c r="G3379" t="s">
        <v>2397</v>
      </c>
      <c r="H3379" t="s">
        <v>54</v>
      </c>
      <c r="I3379">
        <v>6957054</v>
      </c>
      <c r="J3379" s="12">
        <v>46106</v>
      </c>
      <c r="K3379" s="12">
        <v>46106</v>
      </c>
      <c r="L3379" s="12">
        <v>46106</v>
      </c>
      <c r="M3379">
        <v>26</v>
      </c>
      <c r="N3379">
        <v>-1009043</v>
      </c>
      <c r="O3379">
        <v>-1009043</v>
      </c>
      <c r="P3379">
        <v>0</v>
      </c>
      <c r="Q3379">
        <v>-1009043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 t="s">
        <v>47</v>
      </c>
      <c r="AA3379" t="s">
        <v>501</v>
      </c>
      <c r="AB3379" t="s">
        <v>51</v>
      </c>
      <c r="AC3379" t="s">
        <v>51</v>
      </c>
      <c r="AD3379" t="s">
        <v>51</v>
      </c>
      <c r="AE3379" t="s">
        <v>51</v>
      </c>
      <c r="AF3379" t="s">
        <v>2520</v>
      </c>
    </row>
    <row r="3380" spans="1:32" ht="14.5" customHeight="1" x14ac:dyDescent="0.35">
      <c r="A3380" t="s">
        <v>531</v>
      </c>
      <c r="B3380" t="s">
        <v>2396</v>
      </c>
      <c r="C3380" t="s">
        <v>47</v>
      </c>
      <c r="D3380">
        <v>3100769</v>
      </c>
      <c r="E3380">
        <v>3000878</v>
      </c>
      <c r="F3380" t="s">
        <v>2397</v>
      </c>
      <c r="G3380" t="s">
        <v>2397</v>
      </c>
      <c r="H3380" t="s">
        <v>54</v>
      </c>
      <c r="I3380">
        <v>6957055</v>
      </c>
      <c r="J3380" s="12">
        <v>46106</v>
      </c>
      <c r="K3380" s="12">
        <v>46106</v>
      </c>
      <c r="L3380" s="12">
        <v>46106</v>
      </c>
      <c r="M3380">
        <v>26</v>
      </c>
      <c r="N3380">
        <v>-1382312</v>
      </c>
      <c r="O3380">
        <v>-1382312</v>
      </c>
      <c r="P3380">
        <v>0</v>
      </c>
      <c r="Q3380">
        <v>-1382312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 t="s">
        <v>47</v>
      </c>
      <c r="AA3380" t="s">
        <v>501</v>
      </c>
      <c r="AB3380" t="s">
        <v>51</v>
      </c>
      <c r="AC3380" t="s">
        <v>51</v>
      </c>
      <c r="AD3380" t="s">
        <v>51</v>
      </c>
      <c r="AE3380" t="s">
        <v>51</v>
      </c>
      <c r="AF3380" t="s">
        <v>2412</v>
      </c>
    </row>
    <row r="3381" spans="1:32" ht="14.5" customHeight="1" x14ac:dyDescent="0.35">
      <c r="A3381" t="s">
        <v>531</v>
      </c>
      <c r="B3381" t="s">
        <v>2396</v>
      </c>
      <c r="C3381" t="s">
        <v>47</v>
      </c>
      <c r="D3381">
        <v>3100769</v>
      </c>
      <c r="E3381">
        <v>3000878</v>
      </c>
      <c r="F3381" t="s">
        <v>2397</v>
      </c>
      <c r="G3381" t="s">
        <v>2397</v>
      </c>
      <c r="H3381" t="s">
        <v>54</v>
      </c>
      <c r="I3381">
        <v>6957056</v>
      </c>
      <c r="J3381" s="12">
        <v>46106</v>
      </c>
      <c r="K3381" s="12">
        <v>46106</v>
      </c>
      <c r="L3381" s="12">
        <v>46106</v>
      </c>
      <c r="M3381">
        <v>26</v>
      </c>
      <c r="N3381">
        <v>-1012241</v>
      </c>
      <c r="O3381">
        <v>-1012241</v>
      </c>
      <c r="P3381">
        <v>0</v>
      </c>
      <c r="Q3381">
        <v>-1012241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 t="s">
        <v>47</v>
      </c>
      <c r="AA3381" t="s">
        <v>501</v>
      </c>
      <c r="AB3381" t="s">
        <v>51</v>
      </c>
      <c r="AC3381" t="s">
        <v>51</v>
      </c>
      <c r="AD3381" t="s">
        <v>51</v>
      </c>
      <c r="AE3381" t="s">
        <v>51</v>
      </c>
      <c r="AF3381" t="s">
        <v>2421</v>
      </c>
    </row>
    <row r="3382" spans="1:32" ht="14.5" customHeight="1" x14ac:dyDescent="0.35">
      <c r="A3382" t="s">
        <v>531</v>
      </c>
      <c r="B3382" t="s">
        <v>2396</v>
      </c>
      <c r="C3382" t="s">
        <v>47</v>
      </c>
      <c r="D3382">
        <v>3100769</v>
      </c>
      <c r="E3382">
        <v>3000878</v>
      </c>
      <c r="F3382" t="s">
        <v>2397</v>
      </c>
      <c r="G3382" t="s">
        <v>2397</v>
      </c>
      <c r="H3382" t="s">
        <v>54</v>
      </c>
      <c r="I3382">
        <v>6957057</v>
      </c>
      <c r="J3382" s="12">
        <v>46106</v>
      </c>
      <c r="K3382" s="12">
        <v>46106</v>
      </c>
      <c r="L3382" s="12">
        <v>46106</v>
      </c>
      <c r="M3382">
        <v>26</v>
      </c>
      <c r="N3382">
        <v>-177155</v>
      </c>
      <c r="O3382">
        <v>-177155</v>
      </c>
      <c r="P3382">
        <v>0</v>
      </c>
      <c r="Q3382">
        <v>-177155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 t="s">
        <v>47</v>
      </c>
      <c r="AA3382" t="s">
        <v>501</v>
      </c>
      <c r="AB3382" t="s">
        <v>51</v>
      </c>
      <c r="AC3382" t="s">
        <v>51</v>
      </c>
      <c r="AD3382" t="s">
        <v>51</v>
      </c>
      <c r="AE3382" t="s">
        <v>51</v>
      </c>
      <c r="AF3382" t="s">
        <v>2422</v>
      </c>
    </row>
    <row r="3383" spans="1:32" ht="14.5" customHeight="1" x14ac:dyDescent="0.35">
      <c r="A3383" t="s">
        <v>531</v>
      </c>
      <c r="B3383" t="s">
        <v>2396</v>
      </c>
      <c r="C3383" t="s">
        <v>47</v>
      </c>
      <c r="D3383">
        <v>3100769</v>
      </c>
      <c r="E3383">
        <v>3000878</v>
      </c>
      <c r="F3383" t="s">
        <v>2397</v>
      </c>
      <c r="G3383" t="s">
        <v>2397</v>
      </c>
      <c r="H3383" t="s">
        <v>54</v>
      </c>
      <c r="I3383">
        <v>6957058</v>
      </c>
      <c r="J3383" s="12">
        <v>46106</v>
      </c>
      <c r="K3383" s="12">
        <v>46106</v>
      </c>
      <c r="L3383" s="12">
        <v>46106</v>
      </c>
      <c r="M3383">
        <v>26</v>
      </c>
      <c r="N3383">
        <v>-198036</v>
      </c>
      <c r="O3383">
        <v>-198036</v>
      </c>
      <c r="P3383">
        <v>0</v>
      </c>
      <c r="Q3383">
        <v>-198036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 t="s">
        <v>47</v>
      </c>
      <c r="AA3383" t="s">
        <v>501</v>
      </c>
      <c r="AB3383" t="s">
        <v>51</v>
      </c>
      <c r="AC3383" t="s">
        <v>51</v>
      </c>
      <c r="AD3383" t="s">
        <v>51</v>
      </c>
      <c r="AE3383" t="s">
        <v>51</v>
      </c>
      <c r="AF3383" t="s">
        <v>2521</v>
      </c>
    </row>
    <row r="3384" spans="1:32" ht="14.5" customHeight="1" x14ac:dyDescent="0.35">
      <c r="A3384" t="s">
        <v>531</v>
      </c>
      <c r="B3384" t="s">
        <v>2396</v>
      </c>
      <c r="C3384" t="s">
        <v>47</v>
      </c>
      <c r="D3384">
        <v>3100769</v>
      </c>
      <c r="E3384">
        <v>3000878</v>
      </c>
      <c r="F3384" t="s">
        <v>2397</v>
      </c>
      <c r="G3384" t="s">
        <v>2397</v>
      </c>
      <c r="H3384" t="s">
        <v>54</v>
      </c>
      <c r="I3384">
        <v>6957059</v>
      </c>
      <c r="J3384" s="12">
        <v>46106</v>
      </c>
      <c r="K3384" s="12">
        <v>46106</v>
      </c>
      <c r="L3384" s="12">
        <v>46106</v>
      </c>
      <c r="M3384">
        <v>26</v>
      </c>
      <c r="N3384">
        <v>-383527</v>
      </c>
      <c r="O3384">
        <v>-383527</v>
      </c>
      <c r="P3384">
        <v>0</v>
      </c>
      <c r="Q3384">
        <v>-383527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 t="s">
        <v>47</v>
      </c>
      <c r="AA3384" t="s">
        <v>501</v>
      </c>
      <c r="AB3384" t="s">
        <v>51</v>
      </c>
      <c r="AC3384" t="s">
        <v>51</v>
      </c>
      <c r="AD3384" t="s">
        <v>51</v>
      </c>
      <c r="AE3384" t="s">
        <v>51</v>
      </c>
      <c r="AF3384" t="s">
        <v>2423</v>
      </c>
    </row>
    <row r="3385" spans="1:32" ht="14.5" customHeight="1" x14ac:dyDescent="0.35">
      <c r="A3385" t="s">
        <v>531</v>
      </c>
      <c r="B3385" t="s">
        <v>2396</v>
      </c>
      <c r="C3385" t="s">
        <v>47</v>
      </c>
      <c r="D3385">
        <v>3100769</v>
      </c>
      <c r="E3385">
        <v>3000878</v>
      </c>
      <c r="F3385" t="s">
        <v>2397</v>
      </c>
      <c r="G3385" t="s">
        <v>2397</v>
      </c>
      <c r="H3385" t="s">
        <v>54</v>
      </c>
      <c r="I3385">
        <v>6957060</v>
      </c>
      <c r="J3385" s="12">
        <v>46106</v>
      </c>
      <c r="K3385" s="12">
        <v>46106</v>
      </c>
      <c r="L3385" s="12">
        <v>46106</v>
      </c>
      <c r="M3385">
        <v>26</v>
      </c>
      <c r="N3385">
        <v>-60132</v>
      </c>
      <c r="O3385">
        <v>-60132</v>
      </c>
      <c r="P3385">
        <v>0</v>
      </c>
      <c r="Q3385">
        <v>-60132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 t="s">
        <v>47</v>
      </c>
      <c r="AA3385" t="s">
        <v>501</v>
      </c>
      <c r="AB3385" t="s">
        <v>51</v>
      </c>
      <c r="AC3385" t="s">
        <v>51</v>
      </c>
      <c r="AD3385" t="s">
        <v>51</v>
      </c>
      <c r="AE3385" t="s">
        <v>51</v>
      </c>
      <c r="AF3385" t="s">
        <v>2485</v>
      </c>
    </row>
    <row r="3386" spans="1:32" ht="14.5" customHeight="1" x14ac:dyDescent="0.35">
      <c r="A3386" t="s">
        <v>531</v>
      </c>
      <c r="B3386" t="s">
        <v>2396</v>
      </c>
      <c r="C3386" t="s">
        <v>47</v>
      </c>
      <c r="D3386">
        <v>3100769</v>
      </c>
      <c r="E3386">
        <v>3000878</v>
      </c>
      <c r="F3386" t="s">
        <v>2397</v>
      </c>
      <c r="G3386" t="s">
        <v>2397</v>
      </c>
      <c r="H3386" t="s">
        <v>54</v>
      </c>
      <c r="I3386">
        <v>6957061</v>
      </c>
      <c r="J3386" s="12">
        <v>46106</v>
      </c>
      <c r="K3386" s="12">
        <v>46106</v>
      </c>
      <c r="L3386" s="12">
        <v>46106</v>
      </c>
      <c r="M3386">
        <v>26</v>
      </c>
      <c r="N3386">
        <v>-577480</v>
      </c>
      <c r="O3386">
        <v>-577480</v>
      </c>
      <c r="P3386">
        <v>0</v>
      </c>
      <c r="Q3386">
        <v>-577480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 t="s">
        <v>47</v>
      </c>
      <c r="AA3386" t="s">
        <v>501</v>
      </c>
      <c r="AB3386" t="s">
        <v>51</v>
      </c>
      <c r="AC3386" t="s">
        <v>51</v>
      </c>
      <c r="AD3386" t="s">
        <v>51</v>
      </c>
      <c r="AE3386" t="s">
        <v>51</v>
      </c>
      <c r="AF3386" t="s">
        <v>2522</v>
      </c>
    </row>
    <row r="3387" spans="1:32" ht="14.5" customHeight="1" x14ac:dyDescent="0.35">
      <c r="A3387" t="s">
        <v>531</v>
      </c>
      <c r="B3387" t="s">
        <v>2396</v>
      </c>
      <c r="C3387" t="s">
        <v>47</v>
      </c>
      <c r="D3387">
        <v>3100769</v>
      </c>
      <c r="E3387">
        <v>3000878</v>
      </c>
      <c r="F3387" t="s">
        <v>2397</v>
      </c>
      <c r="G3387" t="s">
        <v>2397</v>
      </c>
      <c r="H3387" t="s">
        <v>54</v>
      </c>
      <c r="I3387">
        <v>6957140</v>
      </c>
      <c r="J3387" s="12">
        <v>46106</v>
      </c>
      <c r="K3387" s="12">
        <v>46106</v>
      </c>
      <c r="L3387" s="12">
        <v>46106</v>
      </c>
      <c r="M3387">
        <v>26</v>
      </c>
      <c r="N3387">
        <v>-87456</v>
      </c>
      <c r="O3387">
        <v>-87456</v>
      </c>
      <c r="P3387">
        <v>0</v>
      </c>
      <c r="Q3387">
        <v>-87456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 t="s">
        <v>47</v>
      </c>
      <c r="AA3387" t="s">
        <v>501</v>
      </c>
      <c r="AB3387" t="s">
        <v>51</v>
      </c>
      <c r="AC3387" t="s">
        <v>51</v>
      </c>
      <c r="AD3387" t="s">
        <v>51</v>
      </c>
      <c r="AE3387" t="s">
        <v>51</v>
      </c>
      <c r="AF3387" t="s">
        <v>2523</v>
      </c>
    </row>
    <row r="3388" spans="1:32" ht="14.5" customHeight="1" x14ac:dyDescent="0.35">
      <c r="A3388" t="s">
        <v>531</v>
      </c>
      <c r="B3388" t="s">
        <v>2396</v>
      </c>
      <c r="C3388" t="s">
        <v>47</v>
      </c>
      <c r="D3388">
        <v>3100769</v>
      </c>
      <c r="E3388">
        <v>3000878</v>
      </c>
      <c r="F3388" t="s">
        <v>2397</v>
      </c>
      <c r="G3388" t="s">
        <v>2397</v>
      </c>
      <c r="H3388" t="s">
        <v>54</v>
      </c>
      <c r="I3388">
        <v>6957141</v>
      </c>
      <c r="J3388" s="12">
        <v>46106</v>
      </c>
      <c r="K3388" s="12">
        <v>46106</v>
      </c>
      <c r="L3388" s="12">
        <v>46106</v>
      </c>
      <c r="M3388">
        <v>26</v>
      </c>
      <c r="N3388">
        <v>-735940</v>
      </c>
      <c r="O3388">
        <v>-735940</v>
      </c>
      <c r="P3388">
        <v>0</v>
      </c>
      <c r="Q3388">
        <v>-735940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 t="s">
        <v>47</v>
      </c>
      <c r="AA3388" t="s">
        <v>501</v>
      </c>
      <c r="AB3388" t="s">
        <v>51</v>
      </c>
      <c r="AC3388" t="s">
        <v>51</v>
      </c>
      <c r="AD3388" t="s">
        <v>51</v>
      </c>
      <c r="AE3388" t="s">
        <v>51</v>
      </c>
      <c r="AF3388" t="s">
        <v>2415</v>
      </c>
    </row>
    <row r="3389" spans="1:32" ht="14.5" customHeight="1" x14ac:dyDescent="0.35">
      <c r="A3389" t="s">
        <v>531</v>
      </c>
      <c r="B3389" t="s">
        <v>2396</v>
      </c>
      <c r="C3389" t="s">
        <v>47</v>
      </c>
      <c r="D3389">
        <v>3100769</v>
      </c>
      <c r="E3389">
        <v>3000878</v>
      </c>
      <c r="F3389" t="s">
        <v>2397</v>
      </c>
      <c r="G3389" t="s">
        <v>2397</v>
      </c>
      <c r="H3389" t="s">
        <v>54</v>
      </c>
      <c r="I3389">
        <v>6957270</v>
      </c>
      <c r="J3389" s="12">
        <v>46106</v>
      </c>
      <c r="K3389" s="12">
        <v>46106</v>
      </c>
      <c r="L3389" s="12">
        <v>46106</v>
      </c>
      <c r="M3389">
        <v>26</v>
      </c>
      <c r="N3389">
        <v>-156465</v>
      </c>
      <c r="O3389">
        <v>-156465</v>
      </c>
      <c r="P3389">
        <v>0</v>
      </c>
      <c r="Q3389">
        <v>-156465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 t="s">
        <v>47</v>
      </c>
      <c r="AA3389" t="s">
        <v>501</v>
      </c>
      <c r="AB3389" t="s">
        <v>51</v>
      </c>
      <c r="AC3389" t="s">
        <v>51</v>
      </c>
      <c r="AD3389" t="s">
        <v>51</v>
      </c>
      <c r="AE3389" t="s">
        <v>51</v>
      </c>
      <c r="AF3389" t="s">
        <v>2524</v>
      </c>
    </row>
    <row r="3390" spans="1:32" ht="14.5" customHeight="1" x14ac:dyDescent="0.35">
      <c r="A3390" t="s">
        <v>531</v>
      </c>
      <c r="B3390" t="s">
        <v>2396</v>
      </c>
      <c r="C3390" t="s">
        <v>47</v>
      </c>
      <c r="D3390">
        <v>3100769</v>
      </c>
      <c r="E3390">
        <v>3000878</v>
      </c>
      <c r="F3390" t="s">
        <v>2397</v>
      </c>
      <c r="G3390" t="s">
        <v>2397</v>
      </c>
      <c r="H3390" t="s">
        <v>54</v>
      </c>
      <c r="I3390">
        <v>6957391</v>
      </c>
      <c r="J3390" s="12">
        <v>46106</v>
      </c>
      <c r="K3390" s="12">
        <v>46106</v>
      </c>
      <c r="L3390" s="12">
        <v>46106</v>
      </c>
      <c r="M3390">
        <v>26</v>
      </c>
      <c r="N3390">
        <v>-16099</v>
      </c>
      <c r="O3390">
        <v>-16099</v>
      </c>
      <c r="P3390">
        <v>0</v>
      </c>
      <c r="Q3390">
        <v>-16099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 t="s">
        <v>47</v>
      </c>
      <c r="AA3390" t="s">
        <v>501</v>
      </c>
      <c r="AB3390" t="s">
        <v>51</v>
      </c>
      <c r="AC3390" t="s">
        <v>51</v>
      </c>
      <c r="AD3390" t="s">
        <v>51</v>
      </c>
      <c r="AE3390" t="s">
        <v>51</v>
      </c>
      <c r="AF3390" t="s">
        <v>2525</v>
      </c>
    </row>
    <row r="3391" spans="1:32" ht="14.5" customHeight="1" x14ac:dyDescent="0.35">
      <c r="A3391" t="s">
        <v>531</v>
      </c>
      <c r="B3391" t="s">
        <v>2396</v>
      </c>
      <c r="C3391" t="s">
        <v>47</v>
      </c>
      <c r="D3391">
        <v>3100769</v>
      </c>
      <c r="E3391">
        <v>3000878</v>
      </c>
      <c r="F3391" t="s">
        <v>2397</v>
      </c>
      <c r="G3391" t="s">
        <v>2397</v>
      </c>
      <c r="H3391" t="s">
        <v>54</v>
      </c>
      <c r="I3391">
        <v>6957392</v>
      </c>
      <c r="J3391" s="12">
        <v>46106</v>
      </c>
      <c r="K3391" s="12">
        <v>46106</v>
      </c>
      <c r="L3391" s="12">
        <v>46106</v>
      </c>
      <c r="M3391">
        <v>26</v>
      </c>
      <c r="N3391">
        <v>-3001</v>
      </c>
      <c r="O3391">
        <v>-3001</v>
      </c>
      <c r="P3391">
        <v>0</v>
      </c>
      <c r="Q3391">
        <v>-3001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 t="s">
        <v>47</v>
      </c>
      <c r="AA3391" t="s">
        <v>501</v>
      </c>
      <c r="AB3391" t="s">
        <v>51</v>
      </c>
      <c r="AC3391" t="s">
        <v>51</v>
      </c>
      <c r="AD3391" t="s">
        <v>51</v>
      </c>
      <c r="AE3391" t="s">
        <v>51</v>
      </c>
      <c r="AF3391" t="s">
        <v>2526</v>
      </c>
    </row>
    <row r="3392" spans="1:32" ht="14.5" customHeight="1" x14ac:dyDescent="0.35">
      <c r="A3392" t="s">
        <v>531</v>
      </c>
      <c r="B3392" t="s">
        <v>2396</v>
      </c>
      <c r="C3392" t="s">
        <v>47</v>
      </c>
      <c r="D3392">
        <v>3100769</v>
      </c>
      <c r="E3392">
        <v>3000878</v>
      </c>
      <c r="F3392" t="s">
        <v>2397</v>
      </c>
      <c r="G3392" t="s">
        <v>2397</v>
      </c>
      <c r="H3392" t="s">
        <v>54</v>
      </c>
      <c r="I3392">
        <v>6957393</v>
      </c>
      <c r="J3392" s="12">
        <v>46106</v>
      </c>
      <c r="K3392" s="12">
        <v>46106</v>
      </c>
      <c r="L3392" s="12">
        <v>46106</v>
      </c>
      <c r="M3392">
        <v>26</v>
      </c>
      <c r="N3392">
        <v>-1746</v>
      </c>
      <c r="O3392">
        <v>-1746</v>
      </c>
      <c r="P3392">
        <v>0</v>
      </c>
      <c r="Q3392">
        <v>-1746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 t="s">
        <v>47</v>
      </c>
      <c r="AA3392" t="s">
        <v>501</v>
      </c>
      <c r="AB3392" t="s">
        <v>51</v>
      </c>
      <c r="AC3392" t="s">
        <v>51</v>
      </c>
      <c r="AD3392" t="s">
        <v>51</v>
      </c>
      <c r="AE3392" t="s">
        <v>51</v>
      </c>
      <c r="AF3392" t="s">
        <v>2526</v>
      </c>
    </row>
    <row r="3393" spans="1:32" ht="14.5" customHeight="1" x14ac:dyDescent="0.35">
      <c r="A3393" t="s">
        <v>531</v>
      </c>
      <c r="B3393" t="s">
        <v>2396</v>
      </c>
      <c r="C3393" t="s">
        <v>47</v>
      </c>
      <c r="D3393">
        <v>3100769</v>
      </c>
      <c r="E3393">
        <v>3000878</v>
      </c>
      <c r="F3393" t="s">
        <v>2397</v>
      </c>
      <c r="G3393" t="s">
        <v>2397</v>
      </c>
      <c r="H3393" t="s">
        <v>54</v>
      </c>
      <c r="I3393">
        <v>6957394</v>
      </c>
      <c r="J3393" s="12">
        <v>46106</v>
      </c>
      <c r="K3393" s="12">
        <v>46106</v>
      </c>
      <c r="L3393" s="12">
        <v>46106</v>
      </c>
      <c r="M3393">
        <v>26</v>
      </c>
      <c r="N3393">
        <v>-1483</v>
      </c>
      <c r="O3393">
        <v>-1483</v>
      </c>
      <c r="P3393">
        <v>0</v>
      </c>
      <c r="Q3393">
        <v>-1483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 t="s">
        <v>47</v>
      </c>
      <c r="AA3393" t="s">
        <v>501</v>
      </c>
      <c r="AB3393" t="s">
        <v>51</v>
      </c>
      <c r="AC3393" t="s">
        <v>51</v>
      </c>
      <c r="AD3393" t="s">
        <v>51</v>
      </c>
      <c r="AE3393" t="s">
        <v>51</v>
      </c>
      <c r="AF3393" t="s">
        <v>2526</v>
      </c>
    </row>
    <row r="3394" spans="1:32" ht="14.5" customHeight="1" x14ac:dyDescent="0.35">
      <c r="A3394" t="s">
        <v>531</v>
      </c>
      <c r="B3394" t="s">
        <v>2396</v>
      </c>
      <c r="C3394" t="s">
        <v>47</v>
      </c>
      <c r="D3394">
        <v>3100769</v>
      </c>
      <c r="E3394">
        <v>3000878</v>
      </c>
      <c r="F3394" t="s">
        <v>2397</v>
      </c>
      <c r="G3394" t="s">
        <v>2397</v>
      </c>
      <c r="H3394" t="s">
        <v>54</v>
      </c>
      <c r="I3394">
        <v>6957395</v>
      </c>
      <c r="J3394" s="12">
        <v>46106</v>
      </c>
      <c r="K3394" s="12">
        <v>46106</v>
      </c>
      <c r="L3394" s="12">
        <v>46106</v>
      </c>
      <c r="M3394">
        <v>26</v>
      </c>
      <c r="N3394">
        <v>-4905000</v>
      </c>
      <c r="O3394">
        <v>-4905000</v>
      </c>
      <c r="P3394">
        <v>0</v>
      </c>
      <c r="Q3394">
        <v>-4905000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 t="s">
        <v>47</v>
      </c>
      <c r="AA3394" t="s">
        <v>501</v>
      </c>
      <c r="AB3394" t="s">
        <v>51</v>
      </c>
      <c r="AC3394" t="s">
        <v>51</v>
      </c>
      <c r="AD3394" t="s">
        <v>51</v>
      </c>
      <c r="AE3394" t="s">
        <v>51</v>
      </c>
      <c r="AF3394" t="s">
        <v>2527</v>
      </c>
    </row>
    <row r="3395" spans="1:32" ht="14.5" customHeight="1" x14ac:dyDescent="0.35">
      <c r="A3395" t="s">
        <v>531</v>
      </c>
      <c r="B3395" t="s">
        <v>2396</v>
      </c>
      <c r="C3395" t="s">
        <v>47</v>
      </c>
      <c r="D3395">
        <v>3100769</v>
      </c>
      <c r="E3395">
        <v>3000878</v>
      </c>
      <c r="F3395" t="s">
        <v>2397</v>
      </c>
      <c r="G3395" t="s">
        <v>2397</v>
      </c>
      <c r="H3395" t="s">
        <v>54</v>
      </c>
      <c r="I3395">
        <v>6957396</v>
      </c>
      <c r="J3395" s="12">
        <v>46106</v>
      </c>
      <c r="K3395" s="12">
        <v>46106</v>
      </c>
      <c r="L3395" s="12">
        <v>46106</v>
      </c>
      <c r="M3395">
        <v>26</v>
      </c>
      <c r="N3395">
        <v>-12753000</v>
      </c>
      <c r="O3395">
        <v>-12753000</v>
      </c>
      <c r="P3395">
        <v>0</v>
      </c>
      <c r="Q3395">
        <v>-12753000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 t="s">
        <v>47</v>
      </c>
      <c r="AA3395" t="s">
        <v>501</v>
      </c>
      <c r="AB3395" t="s">
        <v>51</v>
      </c>
      <c r="AC3395" t="s">
        <v>51</v>
      </c>
      <c r="AD3395" t="s">
        <v>51</v>
      </c>
      <c r="AE3395" t="s">
        <v>51</v>
      </c>
      <c r="AF3395" t="s">
        <v>2528</v>
      </c>
    </row>
    <row r="3396" spans="1:32" ht="14.5" customHeight="1" x14ac:dyDescent="0.35">
      <c r="A3396" t="s">
        <v>531</v>
      </c>
      <c r="B3396" t="s">
        <v>2396</v>
      </c>
      <c r="C3396" t="s">
        <v>47</v>
      </c>
      <c r="D3396">
        <v>3100769</v>
      </c>
      <c r="E3396">
        <v>3000878</v>
      </c>
      <c r="F3396" t="s">
        <v>2397</v>
      </c>
      <c r="G3396" t="s">
        <v>2397</v>
      </c>
      <c r="H3396" t="s">
        <v>54</v>
      </c>
      <c r="I3396">
        <v>6957397</v>
      </c>
      <c r="J3396" s="12">
        <v>46106</v>
      </c>
      <c r="K3396" s="12">
        <v>46106</v>
      </c>
      <c r="L3396" s="12">
        <v>46106</v>
      </c>
      <c r="M3396">
        <v>26</v>
      </c>
      <c r="N3396">
        <v>-8992500</v>
      </c>
      <c r="O3396">
        <v>-8992500</v>
      </c>
      <c r="P3396">
        <v>0</v>
      </c>
      <c r="Q3396">
        <v>-8992500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 t="s">
        <v>47</v>
      </c>
      <c r="AA3396" t="s">
        <v>501</v>
      </c>
      <c r="AB3396" t="s">
        <v>51</v>
      </c>
      <c r="AC3396" t="s">
        <v>51</v>
      </c>
      <c r="AD3396" t="s">
        <v>51</v>
      </c>
      <c r="AE3396" t="s">
        <v>51</v>
      </c>
      <c r="AF3396" t="s">
        <v>2529</v>
      </c>
    </row>
    <row r="3397" spans="1:32" ht="14.5" customHeight="1" x14ac:dyDescent="0.35">
      <c r="A3397" t="s">
        <v>531</v>
      </c>
      <c r="B3397" t="s">
        <v>2396</v>
      </c>
      <c r="C3397" t="s">
        <v>47</v>
      </c>
      <c r="D3397">
        <v>3100769</v>
      </c>
      <c r="E3397">
        <v>3000878</v>
      </c>
      <c r="F3397" t="s">
        <v>2397</v>
      </c>
      <c r="G3397" t="s">
        <v>2397</v>
      </c>
      <c r="H3397" t="s">
        <v>54</v>
      </c>
      <c r="I3397">
        <v>6957398</v>
      </c>
      <c r="J3397" s="12">
        <v>46106</v>
      </c>
      <c r="K3397" s="12">
        <v>46106</v>
      </c>
      <c r="L3397" s="12">
        <v>46106</v>
      </c>
      <c r="M3397">
        <v>26</v>
      </c>
      <c r="N3397">
        <v>-14061000</v>
      </c>
      <c r="O3397">
        <v>-14061000</v>
      </c>
      <c r="P3397">
        <v>0</v>
      </c>
      <c r="Q3397">
        <v>-14061000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 t="s">
        <v>47</v>
      </c>
      <c r="AA3397" t="s">
        <v>501</v>
      </c>
      <c r="AB3397" t="s">
        <v>51</v>
      </c>
      <c r="AC3397" t="s">
        <v>51</v>
      </c>
      <c r="AD3397" t="s">
        <v>51</v>
      </c>
      <c r="AE3397" t="s">
        <v>51</v>
      </c>
      <c r="AF3397" t="s">
        <v>2530</v>
      </c>
    </row>
    <row r="3398" spans="1:32" ht="14.5" customHeight="1" x14ac:dyDescent="0.35">
      <c r="A3398" t="s">
        <v>531</v>
      </c>
      <c r="B3398" t="s">
        <v>2396</v>
      </c>
      <c r="C3398" t="s">
        <v>47</v>
      </c>
      <c r="D3398">
        <v>3100769</v>
      </c>
      <c r="E3398">
        <v>3000878</v>
      </c>
      <c r="F3398" t="s">
        <v>2397</v>
      </c>
      <c r="G3398" t="s">
        <v>2397</v>
      </c>
      <c r="H3398" t="s">
        <v>54</v>
      </c>
      <c r="I3398">
        <v>6957399</v>
      </c>
      <c r="J3398" s="12">
        <v>46106</v>
      </c>
      <c r="K3398" s="12">
        <v>46106</v>
      </c>
      <c r="L3398" s="12">
        <v>46106</v>
      </c>
      <c r="M3398">
        <v>26</v>
      </c>
      <c r="N3398">
        <v>-14061000</v>
      </c>
      <c r="O3398">
        <v>-14061000</v>
      </c>
      <c r="P3398">
        <v>0</v>
      </c>
      <c r="Q3398">
        <v>-14061000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 t="s">
        <v>47</v>
      </c>
      <c r="AA3398" t="s">
        <v>501</v>
      </c>
      <c r="AB3398" t="s">
        <v>51</v>
      </c>
      <c r="AC3398" t="s">
        <v>51</v>
      </c>
      <c r="AD3398" t="s">
        <v>51</v>
      </c>
      <c r="AE3398" t="s">
        <v>51</v>
      </c>
      <c r="AF3398" t="s">
        <v>2531</v>
      </c>
    </row>
    <row r="3399" spans="1:32" ht="14.5" customHeight="1" x14ac:dyDescent="0.35">
      <c r="A3399" t="s">
        <v>531</v>
      </c>
      <c r="B3399" t="s">
        <v>2396</v>
      </c>
      <c r="C3399" t="s">
        <v>47</v>
      </c>
      <c r="D3399">
        <v>3100769</v>
      </c>
      <c r="E3399">
        <v>3000878</v>
      </c>
      <c r="F3399" t="s">
        <v>2397</v>
      </c>
      <c r="G3399" t="s">
        <v>2397</v>
      </c>
      <c r="H3399" t="s">
        <v>54</v>
      </c>
      <c r="I3399">
        <v>6957400</v>
      </c>
      <c r="J3399" s="12">
        <v>46106</v>
      </c>
      <c r="K3399" s="12">
        <v>46106</v>
      </c>
      <c r="L3399" s="12">
        <v>46106</v>
      </c>
      <c r="M3399">
        <v>26</v>
      </c>
      <c r="N3399">
        <v>-12099000</v>
      </c>
      <c r="O3399">
        <v>-12099000</v>
      </c>
      <c r="P3399">
        <v>0</v>
      </c>
      <c r="Q3399">
        <v>-12099000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 t="s">
        <v>47</v>
      </c>
      <c r="AA3399" t="s">
        <v>501</v>
      </c>
      <c r="AB3399" t="s">
        <v>51</v>
      </c>
      <c r="AC3399" t="s">
        <v>51</v>
      </c>
      <c r="AD3399" t="s">
        <v>51</v>
      </c>
      <c r="AE3399" t="s">
        <v>51</v>
      </c>
      <c r="AF3399" t="s">
        <v>2532</v>
      </c>
    </row>
    <row r="3400" spans="1:32" ht="14.5" customHeight="1" x14ac:dyDescent="0.35">
      <c r="A3400" t="s">
        <v>531</v>
      </c>
      <c r="B3400" t="s">
        <v>2396</v>
      </c>
      <c r="C3400" t="s">
        <v>47</v>
      </c>
      <c r="D3400">
        <v>3100769</v>
      </c>
      <c r="E3400">
        <v>3000878</v>
      </c>
      <c r="F3400" t="s">
        <v>2397</v>
      </c>
      <c r="G3400" t="s">
        <v>2397</v>
      </c>
      <c r="H3400" t="s">
        <v>54</v>
      </c>
      <c r="I3400">
        <v>6957456</v>
      </c>
      <c r="J3400" s="12">
        <v>46106</v>
      </c>
      <c r="K3400" s="12">
        <v>46106</v>
      </c>
      <c r="L3400" s="12">
        <v>46106</v>
      </c>
      <c r="M3400">
        <v>26</v>
      </c>
      <c r="N3400">
        <v>-13080000</v>
      </c>
      <c r="O3400">
        <v>-13080000</v>
      </c>
      <c r="P3400">
        <v>0</v>
      </c>
      <c r="Q3400">
        <v>-13080000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 t="s">
        <v>47</v>
      </c>
      <c r="AA3400" t="s">
        <v>501</v>
      </c>
      <c r="AB3400" t="s">
        <v>51</v>
      </c>
      <c r="AC3400" t="s">
        <v>51</v>
      </c>
      <c r="AD3400" t="s">
        <v>51</v>
      </c>
      <c r="AE3400" t="s">
        <v>51</v>
      </c>
      <c r="AF3400" t="s">
        <v>2497</v>
      </c>
    </row>
    <row r="3401" spans="1:32" ht="14.5" customHeight="1" x14ac:dyDescent="0.35">
      <c r="A3401" t="s">
        <v>531</v>
      </c>
      <c r="B3401" t="s">
        <v>2396</v>
      </c>
      <c r="C3401" t="s">
        <v>47</v>
      </c>
      <c r="D3401">
        <v>3100769</v>
      </c>
      <c r="E3401">
        <v>3000876</v>
      </c>
      <c r="F3401" t="s">
        <v>2397</v>
      </c>
      <c r="G3401" t="s">
        <v>2397</v>
      </c>
      <c r="H3401" t="s">
        <v>54</v>
      </c>
      <c r="I3401">
        <v>6957461</v>
      </c>
      <c r="J3401" s="12">
        <v>46106</v>
      </c>
      <c r="K3401" s="12">
        <v>46106</v>
      </c>
      <c r="L3401" s="12">
        <v>46106</v>
      </c>
      <c r="M3401">
        <v>26</v>
      </c>
      <c r="N3401">
        <v>-13080000</v>
      </c>
      <c r="O3401">
        <v>-13080000</v>
      </c>
      <c r="P3401">
        <v>0</v>
      </c>
      <c r="Q3401">
        <v>-13080000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 t="s">
        <v>47</v>
      </c>
      <c r="AA3401" t="s">
        <v>501</v>
      </c>
      <c r="AB3401" t="s">
        <v>51</v>
      </c>
      <c r="AC3401" t="s">
        <v>51</v>
      </c>
      <c r="AD3401" t="s">
        <v>51</v>
      </c>
      <c r="AE3401" t="s">
        <v>51</v>
      </c>
      <c r="AF3401" t="s">
        <v>2533</v>
      </c>
    </row>
    <row r="3402" spans="1:32" ht="14.5" customHeight="1" x14ac:dyDescent="0.35">
      <c r="A3402" t="s">
        <v>531</v>
      </c>
      <c r="B3402" t="s">
        <v>2396</v>
      </c>
      <c r="C3402" t="s">
        <v>47</v>
      </c>
      <c r="D3402">
        <v>3100769</v>
      </c>
      <c r="E3402">
        <v>3000876</v>
      </c>
      <c r="F3402" t="s">
        <v>2397</v>
      </c>
      <c r="G3402" t="s">
        <v>2397</v>
      </c>
      <c r="H3402" t="s">
        <v>54</v>
      </c>
      <c r="I3402">
        <v>6957462</v>
      </c>
      <c r="J3402" s="12">
        <v>46106</v>
      </c>
      <c r="K3402" s="12">
        <v>46106</v>
      </c>
      <c r="L3402" s="12">
        <v>46106</v>
      </c>
      <c r="M3402">
        <v>26</v>
      </c>
      <c r="N3402">
        <v>-1635000</v>
      </c>
      <c r="O3402">
        <v>-1635000</v>
      </c>
      <c r="P3402">
        <v>0</v>
      </c>
      <c r="Q3402">
        <v>-1635000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 t="s">
        <v>47</v>
      </c>
      <c r="AA3402" t="s">
        <v>501</v>
      </c>
      <c r="AB3402" t="s">
        <v>51</v>
      </c>
      <c r="AC3402" t="s">
        <v>51</v>
      </c>
      <c r="AD3402" t="s">
        <v>51</v>
      </c>
      <c r="AE3402" t="s">
        <v>51</v>
      </c>
      <c r="AF3402" t="s">
        <v>2534</v>
      </c>
    </row>
    <row r="3403" spans="1:32" ht="14.5" customHeight="1" x14ac:dyDescent="0.35">
      <c r="A3403" t="s">
        <v>531</v>
      </c>
      <c r="B3403" t="s">
        <v>2396</v>
      </c>
      <c r="C3403" t="s">
        <v>47</v>
      </c>
      <c r="D3403">
        <v>3100769</v>
      </c>
      <c r="E3403">
        <v>3000878</v>
      </c>
      <c r="F3403" t="s">
        <v>2397</v>
      </c>
      <c r="G3403" t="s">
        <v>2397</v>
      </c>
      <c r="H3403" t="s">
        <v>54</v>
      </c>
      <c r="I3403">
        <v>6957463</v>
      </c>
      <c r="J3403" s="12">
        <v>46106</v>
      </c>
      <c r="K3403" s="12">
        <v>46106</v>
      </c>
      <c r="L3403" s="12">
        <v>46106</v>
      </c>
      <c r="M3403">
        <v>26</v>
      </c>
      <c r="N3403">
        <v>-3924000</v>
      </c>
      <c r="O3403">
        <v>-3924000</v>
      </c>
      <c r="P3403">
        <v>0</v>
      </c>
      <c r="Q3403">
        <v>-3924000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 t="s">
        <v>47</v>
      </c>
      <c r="AA3403" t="s">
        <v>501</v>
      </c>
      <c r="AB3403" t="s">
        <v>51</v>
      </c>
      <c r="AC3403" t="s">
        <v>51</v>
      </c>
      <c r="AD3403" t="s">
        <v>51</v>
      </c>
      <c r="AE3403" t="s">
        <v>51</v>
      </c>
      <c r="AF3403" t="s">
        <v>2535</v>
      </c>
    </row>
    <row r="3404" spans="1:32" ht="14.5" customHeight="1" x14ac:dyDescent="0.35">
      <c r="A3404" t="s">
        <v>531</v>
      </c>
      <c r="B3404" t="s">
        <v>2396</v>
      </c>
      <c r="C3404" t="s">
        <v>47</v>
      </c>
      <c r="D3404">
        <v>3100769</v>
      </c>
      <c r="E3404">
        <v>3000878</v>
      </c>
      <c r="F3404" t="s">
        <v>2397</v>
      </c>
      <c r="G3404" t="s">
        <v>2397</v>
      </c>
      <c r="H3404" t="s">
        <v>54</v>
      </c>
      <c r="I3404">
        <v>6957464</v>
      </c>
      <c r="J3404" s="12">
        <v>46106</v>
      </c>
      <c r="K3404" s="12">
        <v>46106</v>
      </c>
      <c r="L3404" s="12">
        <v>46106</v>
      </c>
      <c r="M3404">
        <v>26</v>
      </c>
      <c r="N3404">
        <v>-6540000</v>
      </c>
      <c r="O3404">
        <v>-6540000</v>
      </c>
      <c r="P3404">
        <v>0</v>
      </c>
      <c r="Q3404">
        <v>-6540000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 t="s">
        <v>47</v>
      </c>
      <c r="AA3404" t="s">
        <v>501</v>
      </c>
      <c r="AB3404" t="s">
        <v>51</v>
      </c>
      <c r="AC3404" t="s">
        <v>51</v>
      </c>
      <c r="AD3404" t="s">
        <v>51</v>
      </c>
      <c r="AE3404" t="s">
        <v>51</v>
      </c>
      <c r="AF3404" t="s">
        <v>2536</v>
      </c>
    </row>
    <row r="3405" spans="1:32" ht="14.5" customHeight="1" x14ac:dyDescent="0.35">
      <c r="A3405" t="s">
        <v>531</v>
      </c>
      <c r="B3405" t="s">
        <v>2396</v>
      </c>
      <c r="C3405" t="s">
        <v>47</v>
      </c>
      <c r="D3405">
        <v>3100769</v>
      </c>
      <c r="E3405">
        <v>3000878</v>
      </c>
      <c r="F3405" t="s">
        <v>2397</v>
      </c>
      <c r="G3405" t="s">
        <v>2397</v>
      </c>
      <c r="H3405" t="s">
        <v>54</v>
      </c>
      <c r="I3405">
        <v>6957693</v>
      </c>
      <c r="J3405" s="12">
        <v>46112</v>
      </c>
      <c r="K3405" s="12">
        <v>46112</v>
      </c>
      <c r="L3405" s="12">
        <v>46112</v>
      </c>
      <c r="M3405">
        <v>20</v>
      </c>
      <c r="N3405">
        <v>-226796797</v>
      </c>
      <c r="O3405">
        <v>-226796797</v>
      </c>
      <c r="P3405">
        <v>0</v>
      </c>
      <c r="Q3405">
        <v>-226796797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 t="s">
        <v>47</v>
      </c>
      <c r="AA3405" t="s">
        <v>501</v>
      </c>
      <c r="AB3405" t="s">
        <v>51</v>
      </c>
      <c r="AC3405" t="s">
        <v>51</v>
      </c>
      <c r="AD3405" t="s">
        <v>51</v>
      </c>
      <c r="AE3405" t="s">
        <v>51</v>
      </c>
      <c r="AF3405" t="s">
        <v>2537</v>
      </c>
    </row>
    <row r="3406" spans="1:32" ht="14.5" customHeight="1" x14ac:dyDescent="0.35">
      <c r="A3406" t="s">
        <v>531</v>
      </c>
      <c r="B3406" t="s">
        <v>2396</v>
      </c>
      <c r="C3406" t="s">
        <v>47</v>
      </c>
      <c r="D3406">
        <v>3100769</v>
      </c>
      <c r="E3406">
        <v>3000876</v>
      </c>
      <c r="F3406" t="s">
        <v>2397</v>
      </c>
      <c r="G3406" t="s">
        <v>2397</v>
      </c>
      <c r="H3406" t="s">
        <v>54</v>
      </c>
      <c r="I3406">
        <v>6958298</v>
      </c>
      <c r="J3406" s="12">
        <v>46120</v>
      </c>
      <c r="K3406" s="12">
        <v>46120</v>
      </c>
      <c r="L3406" s="12">
        <v>46120</v>
      </c>
      <c r="M3406">
        <v>12</v>
      </c>
      <c r="N3406">
        <v>-218000</v>
      </c>
      <c r="O3406">
        <v>-218000</v>
      </c>
      <c r="P3406">
        <v>0</v>
      </c>
      <c r="Q3406">
        <v>-218000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 t="s">
        <v>47</v>
      </c>
      <c r="AA3406" t="s">
        <v>501</v>
      </c>
      <c r="AB3406" t="s">
        <v>51</v>
      </c>
      <c r="AC3406" t="s">
        <v>51</v>
      </c>
      <c r="AD3406" t="s">
        <v>51</v>
      </c>
      <c r="AE3406" t="s">
        <v>51</v>
      </c>
      <c r="AF3406" t="s">
        <v>2538</v>
      </c>
    </row>
    <row r="3407" spans="1:32" ht="14.5" customHeight="1" x14ac:dyDescent="0.35">
      <c r="A3407" t="s">
        <v>531</v>
      </c>
      <c r="B3407" t="s">
        <v>2396</v>
      </c>
      <c r="C3407" t="s">
        <v>47</v>
      </c>
      <c r="D3407">
        <v>3100769</v>
      </c>
      <c r="E3407">
        <v>3000876</v>
      </c>
      <c r="F3407" t="s">
        <v>2397</v>
      </c>
      <c r="G3407" t="s">
        <v>2397</v>
      </c>
      <c r="H3407" t="s">
        <v>54</v>
      </c>
      <c r="I3407">
        <v>6958299</v>
      </c>
      <c r="J3407" s="12">
        <v>46120</v>
      </c>
      <c r="K3407" s="12">
        <v>46120</v>
      </c>
      <c r="L3407" s="12">
        <v>46120</v>
      </c>
      <c r="M3407">
        <v>12</v>
      </c>
      <c r="N3407">
        <v>-163500</v>
      </c>
      <c r="O3407">
        <v>-163500</v>
      </c>
      <c r="P3407">
        <v>0</v>
      </c>
      <c r="Q3407">
        <v>-163500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 t="s">
        <v>47</v>
      </c>
      <c r="AA3407" t="s">
        <v>501</v>
      </c>
      <c r="AB3407" t="s">
        <v>51</v>
      </c>
      <c r="AC3407" t="s">
        <v>51</v>
      </c>
      <c r="AD3407" t="s">
        <v>51</v>
      </c>
      <c r="AE3407" t="s">
        <v>51</v>
      </c>
      <c r="AF3407" t="s">
        <v>2539</v>
      </c>
    </row>
    <row r="3408" spans="1:32" ht="14.5" customHeight="1" x14ac:dyDescent="0.35">
      <c r="A3408" t="s">
        <v>531</v>
      </c>
      <c r="B3408" t="s">
        <v>2396</v>
      </c>
      <c r="C3408" t="s">
        <v>47</v>
      </c>
      <c r="D3408">
        <v>3100769</v>
      </c>
      <c r="E3408">
        <v>3000876</v>
      </c>
      <c r="F3408" t="s">
        <v>2397</v>
      </c>
      <c r="G3408" t="s">
        <v>2397</v>
      </c>
      <c r="H3408" t="s">
        <v>54</v>
      </c>
      <c r="I3408">
        <v>6958300</v>
      </c>
      <c r="J3408" s="12">
        <v>46120</v>
      </c>
      <c r="K3408" s="12">
        <v>46120</v>
      </c>
      <c r="L3408" s="12">
        <v>46120</v>
      </c>
      <c r="M3408">
        <v>12</v>
      </c>
      <c r="N3408">
        <v>-327000</v>
      </c>
      <c r="O3408">
        <v>-327000</v>
      </c>
      <c r="P3408">
        <v>0</v>
      </c>
      <c r="Q3408">
        <v>-327000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 t="s">
        <v>47</v>
      </c>
      <c r="AA3408" t="s">
        <v>501</v>
      </c>
      <c r="AB3408" t="s">
        <v>51</v>
      </c>
      <c r="AC3408" t="s">
        <v>51</v>
      </c>
      <c r="AD3408" t="s">
        <v>51</v>
      </c>
      <c r="AE3408" t="s">
        <v>51</v>
      </c>
      <c r="AF3408" t="s">
        <v>2540</v>
      </c>
    </row>
    <row r="3409" spans="1:32" ht="14.5" customHeight="1" x14ac:dyDescent="0.35">
      <c r="A3409" t="s">
        <v>531</v>
      </c>
      <c r="B3409" t="s">
        <v>2396</v>
      </c>
      <c r="C3409" t="s">
        <v>47</v>
      </c>
      <c r="D3409">
        <v>3100769</v>
      </c>
      <c r="E3409">
        <v>3000876</v>
      </c>
      <c r="F3409" t="s">
        <v>2397</v>
      </c>
      <c r="G3409" t="s">
        <v>2397</v>
      </c>
      <c r="H3409" t="s">
        <v>54</v>
      </c>
      <c r="I3409">
        <v>6958301</v>
      </c>
      <c r="J3409" s="12">
        <v>46120</v>
      </c>
      <c r="K3409" s="12">
        <v>46120</v>
      </c>
      <c r="L3409" s="12">
        <v>46120</v>
      </c>
      <c r="M3409">
        <v>12</v>
      </c>
      <c r="N3409">
        <v>-2180000</v>
      </c>
      <c r="O3409">
        <v>-2180000</v>
      </c>
      <c r="P3409">
        <v>0</v>
      </c>
      <c r="Q3409">
        <v>-2180000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 t="s">
        <v>47</v>
      </c>
      <c r="AA3409" t="s">
        <v>501</v>
      </c>
      <c r="AB3409" t="s">
        <v>51</v>
      </c>
      <c r="AC3409" t="s">
        <v>51</v>
      </c>
      <c r="AD3409" t="s">
        <v>51</v>
      </c>
      <c r="AE3409" t="s">
        <v>51</v>
      </c>
      <c r="AF3409" t="s">
        <v>2541</v>
      </c>
    </row>
    <row r="3410" spans="1:32" ht="14.5" customHeight="1" x14ac:dyDescent="0.35">
      <c r="A3410" t="s">
        <v>531</v>
      </c>
      <c r="B3410" t="s">
        <v>2396</v>
      </c>
      <c r="C3410" t="s">
        <v>47</v>
      </c>
      <c r="D3410">
        <v>3100769</v>
      </c>
      <c r="E3410">
        <v>3000876</v>
      </c>
      <c r="F3410" t="s">
        <v>2397</v>
      </c>
      <c r="G3410" t="s">
        <v>2397</v>
      </c>
      <c r="H3410" t="s">
        <v>54</v>
      </c>
      <c r="I3410">
        <v>6958302</v>
      </c>
      <c r="J3410" s="12">
        <v>46120</v>
      </c>
      <c r="K3410" s="12">
        <v>46120</v>
      </c>
      <c r="L3410" s="12">
        <v>46120</v>
      </c>
      <c r="M3410">
        <v>12</v>
      </c>
      <c r="N3410">
        <v>-327000</v>
      </c>
      <c r="O3410">
        <v>-327000</v>
      </c>
      <c r="P3410">
        <v>0</v>
      </c>
      <c r="Q3410">
        <v>-327000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 t="s">
        <v>47</v>
      </c>
      <c r="AA3410" t="s">
        <v>501</v>
      </c>
      <c r="AB3410" t="s">
        <v>51</v>
      </c>
      <c r="AC3410" t="s">
        <v>51</v>
      </c>
      <c r="AD3410" t="s">
        <v>51</v>
      </c>
      <c r="AE3410" t="s">
        <v>51</v>
      </c>
      <c r="AF3410" t="s">
        <v>2539</v>
      </c>
    </row>
    <row r="3411" spans="1:32" ht="14.5" customHeight="1" x14ac:dyDescent="0.35">
      <c r="A3411" t="s">
        <v>531</v>
      </c>
      <c r="B3411" t="s">
        <v>2396</v>
      </c>
      <c r="C3411" t="s">
        <v>47</v>
      </c>
      <c r="D3411">
        <v>3100769</v>
      </c>
      <c r="E3411">
        <v>3000876</v>
      </c>
      <c r="F3411" t="s">
        <v>2397</v>
      </c>
      <c r="G3411" t="s">
        <v>2397</v>
      </c>
      <c r="H3411" t="s">
        <v>54</v>
      </c>
      <c r="I3411">
        <v>6958303</v>
      </c>
      <c r="J3411" s="12">
        <v>46120</v>
      </c>
      <c r="K3411" s="12">
        <v>46120</v>
      </c>
      <c r="L3411" s="12">
        <v>46120</v>
      </c>
      <c r="M3411">
        <v>12</v>
      </c>
      <c r="N3411">
        <v>-1090000</v>
      </c>
      <c r="O3411">
        <v>-1090000</v>
      </c>
      <c r="P3411">
        <v>0</v>
      </c>
      <c r="Q3411">
        <v>-1090000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 t="s">
        <v>47</v>
      </c>
      <c r="AA3411" t="s">
        <v>501</v>
      </c>
      <c r="AB3411" t="s">
        <v>51</v>
      </c>
      <c r="AC3411" t="s">
        <v>51</v>
      </c>
      <c r="AD3411" t="s">
        <v>51</v>
      </c>
      <c r="AE3411" t="s">
        <v>51</v>
      </c>
      <c r="AF3411" t="s">
        <v>2541</v>
      </c>
    </row>
    <row r="3412" spans="1:32" ht="14.5" customHeight="1" x14ac:dyDescent="0.35">
      <c r="A3412" t="s">
        <v>531</v>
      </c>
      <c r="B3412" t="s">
        <v>2396</v>
      </c>
      <c r="C3412" t="s">
        <v>47</v>
      </c>
      <c r="D3412">
        <v>3100769</v>
      </c>
      <c r="E3412">
        <v>3000878</v>
      </c>
      <c r="F3412" t="s">
        <v>2397</v>
      </c>
      <c r="G3412" t="s">
        <v>2397</v>
      </c>
      <c r="H3412" t="s">
        <v>54</v>
      </c>
      <c r="I3412">
        <v>6958304</v>
      </c>
      <c r="J3412" s="12">
        <v>46120</v>
      </c>
      <c r="K3412" s="12">
        <v>46120</v>
      </c>
      <c r="L3412" s="12">
        <v>46120</v>
      </c>
      <c r="M3412">
        <v>12</v>
      </c>
      <c r="N3412">
        <v>-2180000</v>
      </c>
      <c r="O3412">
        <v>-2180000</v>
      </c>
      <c r="P3412">
        <v>0</v>
      </c>
      <c r="Q3412">
        <v>-2180000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 t="s">
        <v>47</v>
      </c>
      <c r="AA3412" t="s">
        <v>501</v>
      </c>
      <c r="AB3412" t="s">
        <v>51</v>
      </c>
      <c r="AC3412" t="s">
        <v>51</v>
      </c>
      <c r="AD3412" t="s">
        <v>51</v>
      </c>
      <c r="AE3412" t="s">
        <v>51</v>
      </c>
      <c r="AF3412" t="s">
        <v>2542</v>
      </c>
    </row>
    <row r="3413" spans="1:32" ht="14.5" customHeight="1" x14ac:dyDescent="0.35">
      <c r="A3413" t="s">
        <v>531</v>
      </c>
      <c r="B3413" t="s">
        <v>2396</v>
      </c>
      <c r="C3413" t="s">
        <v>47</v>
      </c>
      <c r="D3413">
        <v>3100769</v>
      </c>
      <c r="E3413">
        <v>3000878</v>
      </c>
      <c r="F3413" t="s">
        <v>2397</v>
      </c>
      <c r="G3413" t="s">
        <v>2397</v>
      </c>
      <c r="H3413" t="s">
        <v>54</v>
      </c>
      <c r="I3413">
        <v>6958305</v>
      </c>
      <c r="J3413" s="12">
        <v>46120</v>
      </c>
      <c r="K3413" s="12">
        <v>46120</v>
      </c>
      <c r="L3413" s="12">
        <v>46120</v>
      </c>
      <c r="M3413">
        <v>12</v>
      </c>
      <c r="N3413">
        <v>-2180000</v>
      </c>
      <c r="O3413">
        <v>-2180000</v>
      </c>
      <c r="P3413">
        <v>0</v>
      </c>
      <c r="Q3413">
        <v>-2180000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 t="s">
        <v>47</v>
      </c>
      <c r="AA3413" t="s">
        <v>501</v>
      </c>
      <c r="AB3413" t="s">
        <v>51</v>
      </c>
      <c r="AC3413" t="s">
        <v>51</v>
      </c>
      <c r="AD3413" t="s">
        <v>51</v>
      </c>
      <c r="AE3413" t="s">
        <v>51</v>
      </c>
      <c r="AF3413" t="s">
        <v>2542</v>
      </c>
    </row>
    <row r="3414" spans="1:32" ht="14.5" customHeight="1" x14ac:dyDescent="0.35">
      <c r="A3414" t="s">
        <v>531</v>
      </c>
      <c r="B3414" t="s">
        <v>2396</v>
      </c>
      <c r="C3414" t="s">
        <v>47</v>
      </c>
      <c r="D3414">
        <v>3100769</v>
      </c>
      <c r="E3414">
        <v>3000876</v>
      </c>
      <c r="F3414" t="s">
        <v>2397</v>
      </c>
      <c r="G3414" t="s">
        <v>2397</v>
      </c>
      <c r="H3414" t="s">
        <v>54</v>
      </c>
      <c r="I3414">
        <v>6958306</v>
      </c>
      <c r="J3414" s="12">
        <v>46120</v>
      </c>
      <c r="K3414" s="12">
        <v>46120</v>
      </c>
      <c r="L3414" s="12">
        <v>46120</v>
      </c>
      <c r="M3414">
        <v>12</v>
      </c>
      <c r="N3414">
        <v>-218000</v>
      </c>
      <c r="O3414">
        <v>-218000</v>
      </c>
      <c r="P3414">
        <v>0</v>
      </c>
      <c r="Q3414">
        <v>-218000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 t="s">
        <v>47</v>
      </c>
      <c r="AA3414" t="s">
        <v>501</v>
      </c>
      <c r="AB3414" t="s">
        <v>51</v>
      </c>
      <c r="AC3414" t="s">
        <v>51</v>
      </c>
      <c r="AD3414" t="s">
        <v>51</v>
      </c>
      <c r="AE3414" t="s">
        <v>51</v>
      </c>
      <c r="AF3414" t="s">
        <v>2543</v>
      </c>
    </row>
    <row r="3415" spans="1:32" ht="14.5" customHeight="1" x14ac:dyDescent="0.35">
      <c r="A3415" t="s">
        <v>531</v>
      </c>
      <c r="B3415" t="s">
        <v>2396</v>
      </c>
      <c r="C3415" t="s">
        <v>47</v>
      </c>
      <c r="D3415">
        <v>3100769</v>
      </c>
      <c r="E3415">
        <v>3000876</v>
      </c>
      <c r="F3415" t="s">
        <v>2397</v>
      </c>
      <c r="G3415" t="s">
        <v>2397</v>
      </c>
      <c r="H3415" t="s">
        <v>54</v>
      </c>
      <c r="I3415">
        <v>6958307</v>
      </c>
      <c r="J3415" s="12">
        <v>46120</v>
      </c>
      <c r="K3415" s="12">
        <v>46120</v>
      </c>
      <c r="L3415" s="12">
        <v>46120</v>
      </c>
      <c r="M3415">
        <v>12</v>
      </c>
      <c r="N3415">
        <v>-130800</v>
      </c>
      <c r="O3415">
        <v>-130800</v>
      </c>
      <c r="P3415">
        <v>0</v>
      </c>
      <c r="Q3415">
        <v>-130800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 t="s">
        <v>47</v>
      </c>
      <c r="AA3415" t="s">
        <v>501</v>
      </c>
      <c r="AB3415" t="s">
        <v>51</v>
      </c>
      <c r="AC3415" t="s">
        <v>51</v>
      </c>
      <c r="AD3415" t="s">
        <v>51</v>
      </c>
      <c r="AE3415" t="s">
        <v>51</v>
      </c>
      <c r="AF3415" t="s">
        <v>2544</v>
      </c>
    </row>
    <row r="3416" spans="1:32" ht="14.5" customHeight="1" x14ac:dyDescent="0.35">
      <c r="A3416" t="s">
        <v>531</v>
      </c>
      <c r="B3416" t="s">
        <v>2396</v>
      </c>
      <c r="C3416" t="s">
        <v>47</v>
      </c>
      <c r="D3416">
        <v>3100769</v>
      </c>
      <c r="E3416">
        <v>3000876</v>
      </c>
      <c r="F3416" t="s">
        <v>2397</v>
      </c>
      <c r="G3416" t="s">
        <v>2397</v>
      </c>
      <c r="H3416" t="s">
        <v>54</v>
      </c>
      <c r="I3416">
        <v>6958308</v>
      </c>
      <c r="J3416" s="12">
        <v>46120</v>
      </c>
      <c r="K3416" s="12">
        <v>46120</v>
      </c>
      <c r="L3416" s="12">
        <v>46120</v>
      </c>
      <c r="M3416">
        <v>12</v>
      </c>
      <c r="N3416">
        <v>-2452500</v>
      </c>
      <c r="O3416">
        <v>-2452500</v>
      </c>
      <c r="P3416">
        <v>0</v>
      </c>
      <c r="Q3416">
        <v>-2452500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 t="s">
        <v>47</v>
      </c>
      <c r="AA3416" t="s">
        <v>501</v>
      </c>
      <c r="AB3416" t="s">
        <v>51</v>
      </c>
      <c r="AC3416" t="s">
        <v>51</v>
      </c>
      <c r="AD3416" t="s">
        <v>51</v>
      </c>
      <c r="AE3416" t="s">
        <v>51</v>
      </c>
      <c r="AF3416" t="s">
        <v>2545</v>
      </c>
    </row>
    <row r="3417" spans="1:32" ht="14.5" customHeight="1" x14ac:dyDescent="0.35">
      <c r="A3417" t="s">
        <v>531</v>
      </c>
      <c r="B3417" t="s">
        <v>2396</v>
      </c>
      <c r="C3417" t="s">
        <v>47</v>
      </c>
      <c r="D3417">
        <v>3100769</v>
      </c>
      <c r="E3417">
        <v>3000878</v>
      </c>
      <c r="F3417" t="s">
        <v>2397</v>
      </c>
      <c r="G3417" t="s">
        <v>2397</v>
      </c>
      <c r="H3417" t="s">
        <v>54</v>
      </c>
      <c r="I3417">
        <v>6958309</v>
      </c>
      <c r="J3417" s="12">
        <v>46120</v>
      </c>
      <c r="K3417" s="12">
        <v>46120</v>
      </c>
      <c r="L3417" s="12">
        <v>46120</v>
      </c>
      <c r="M3417">
        <v>12</v>
      </c>
      <c r="N3417">
        <v>-327000</v>
      </c>
      <c r="O3417">
        <v>-327000</v>
      </c>
      <c r="P3417">
        <v>0</v>
      </c>
      <c r="Q3417">
        <v>-327000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 t="s">
        <v>47</v>
      </c>
      <c r="AA3417" t="s">
        <v>501</v>
      </c>
      <c r="AB3417" t="s">
        <v>51</v>
      </c>
      <c r="AC3417" t="s">
        <v>51</v>
      </c>
      <c r="AD3417" t="s">
        <v>51</v>
      </c>
      <c r="AE3417" t="s">
        <v>51</v>
      </c>
      <c r="AF3417" t="s">
        <v>2546</v>
      </c>
    </row>
    <row r="3418" spans="1:32" ht="14.5" customHeight="1" x14ac:dyDescent="0.35">
      <c r="A3418" t="s">
        <v>531</v>
      </c>
      <c r="B3418" t="s">
        <v>2396</v>
      </c>
      <c r="C3418" t="s">
        <v>47</v>
      </c>
      <c r="D3418">
        <v>3100769</v>
      </c>
      <c r="E3418">
        <v>3000878</v>
      </c>
      <c r="F3418" t="s">
        <v>2397</v>
      </c>
      <c r="G3418" t="s">
        <v>2397</v>
      </c>
      <c r="H3418" t="s">
        <v>54</v>
      </c>
      <c r="I3418">
        <v>6958338</v>
      </c>
      <c r="J3418" s="12">
        <v>46120</v>
      </c>
      <c r="K3418" s="12">
        <v>46120</v>
      </c>
      <c r="L3418" s="12">
        <v>46120</v>
      </c>
      <c r="M3418">
        <v>12</v>
      </c>
      <c r="N3418">
        <v>-872000</v>
      </c>
      <c r="O3418">
        <v>-872000</v>
      </c>
      <c r="P3418">
        <v>0</v>
      </c>
      <c r="Q3418">
        <v>-872000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 t="s">
        <v>47</v>
      </c>
      <c r="AA3418" t="s">
        <v>501</v>
      </c>
      <c r="AB3418" t="s">
        <v>51</v>
      </c>
      <c r="AC3418" t="s">
        <v>51</v>
      </c>
      <c r="AD3418" t="s">
        <v>51</v>
      </c>
      <c r="AE3418" t="s">
        <v>51</v>
      </c>
      <c r="AF3418" t="s">
        <v>2493</v>
      </c>
    </row>
    <row r="3419" spans="1:32" ht="14.5" customHeight="1" x14ac:dyDescent="0.35">
      <c r="A3419" t="s">
        <v>531</v>
      </c>
      <c r="B3419" t="s">
        <v>2396</v>
      </c>
      <c r="C3419" t="s">
        <v>47</v>
      </c>
      <c r="D3419">
        <v>3100769</v>
      </c>
      <c r="E3419">
        <v>3000878</v>
      </c>
      <c r="F3419" t="s">
        <v>2397</v>
      </c>
      <c r="G3419" t="s">
        <v>2397</v>
      </c>
      <c r="H3419" t="s">
        <v>54</v>
      </c>
      <c r="I3419">
        <v>6958339</v>
      </c>
      <c r="J3419" s="12">
        <v>46120</v>
      </c>
      <c r="K3419" s="12">
        <v>46120</v>
      </c>
      <c r="L3419" s="12">
        <v>46120</v>
      </c>
      <c r="M3419">
        <v>12</v>
      </c>
      <c r="N3419">
        <v>-218000</v>
      </c>
      <c r="O3419">
        <v>-218000</v>
      </c>
      <c r="P3419">
        <v>0</v>
      </c>
      <c r="Q3419">
        <v>-218000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 t="s">
        <v>47</v>
      </c>
      <c r="AA3419" t="s">
        <v>501</v>
      </c>
      <c r="AB3419" t="s">
        <v>51</v>
      </c>
      <c r="AC3419" t="s">
        <v>51</v>
      </c>
      <c r="AD3419" t="s">
        <v>51</v>
      </c>
      <c r="AE3419" t="s">
        <v>51</v>
      </c>
      <c r="AF3419" t="s">
        <v>2547</v>
      </c>
    </row>
    <row r="3420" spans="1:32" ht="14.5" customHeight="1" x14ac:dyDescent="0.35">
      <c r="A3420" t="s">
        <v>531</v>
      </c>
      <c r="B3420" t="s">
        <v>532</v>
      </c>
      <c r="C3420" t="s">
        <v>47</v>
      </c>
      <c r="D3420">
        <v>3100769</v>
      </c>
      <c r="E3420">
        <v>3100847</v>
      </c>
      <c r="F3420" t="s">
        <v>2397</v>
      </c>
      <c r="G3420" t="s">
        <v>2407</v>
      </c>
      <c r="H3420" t="s">
        <v>54</v>
      </c>
      <c r="I3420">
        <v>6958510</v>
      </c>
      <c r="J3420" s="12">
        <v>46121</v>
      </c>
      <c r="K3420" s="12">
        <v>46121</v>
      </c>
      <c r="L3420" s="12">
        <v>46121</v>
      </c>
      <c r="M3420">
        <v>11</v>
      </c>
      <c r="N3420">
        <v>-73849730</v>
      </c>
      <c r="O3420">
        <v>-73849730</v>
      </c>
      <c r="P3420">
        <v>0</v>
      </c>
      <c r="Q3420">
        <v>-73849730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 t="s">
        <v>47</v>
      </c>
      <c r="AA3420" t="s">
        <v>501</v>
      </c>
      <c r="AB3420" t="s">
        <v>51</v>
      </c>
      <c r="AC3420" t="s">
        <v>51</v>
      </c>
      <c r="AD3420" t="s">
        <v>51</v>
      </c>
      <c r="AE3420" t="s">
        <v>51</v>
      </c>
      <c r="AF3420" t="s">
        <v>106</v>
      </c>
    </row>
    <row r="3421" spans="1:32" ht="14.5" customHeight="1" x14ac:dyDescent="0.35">
      <c r="A3421" t="s">
        <v>531</v>
      </c>
      <c r="B3421" t="s">
        <v>2396</v>
      </c>
      <c r="C3421" t="s">
        <v>47</v>
      </c>
      <c r="D3421">
        <v>3100769</v>
      </c>
      <c r="E3421">
        <v>3000878</v>
      </c>
      <c r="F3421" t="s">
        <v>2397</v>
      </c>
      <c r="G3421" t="s">
        <v>2397</v>
      </c>
      <c r="H3421" t="s">
        <v>54</v>
      </c>
      <c r="I3421">
        <v>6958671</v>
      </c>
      <c r="J3421" s="12">
        <v>46122</v>
      </c>
      <c r="K3421" s="12">
        <v>46122</v>
      </c>
      <c r="L3421" s="12">
        <v>46122</v>
      </c>
      <c r="M3421">
        <v>10</v>
      </c>
      <c r="N3421">
        <v>-240000</v>
      </c>
      <c r="O3421">
        <v>-240000</v>
      </c>
      <c r="P3421">
        <v>0</v>
      </c>
      <c r="Q3421">
        <v>-240000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 t="s">
        <v>47</v>
      </c>
      <c r="AA3421" t="s">
        <v>501</v>
      </c>
      <c r="AB3421" t="s">
        <v>51</v>
      </c>
      <c r="AC3421" t="s">
        <v>51</v>
      </c>
      <c r="AD3421" t="s">
        <v>51</v>
      </c>
      <c r="AE3421" t="s">
        <v>51</v>
      </c>
      <c r="AF3421" t="s">
        <v>2548</v>
      </c>
    </row>
    <row r="3422" spans="1:32" ht="14.5" customHeight="1" x14ac:dyDescent="0.35">
      <c r="A3422" t="s">
        <v>531</v>
      </c>
      <c r="B3422" t="s">
        <v>2396</v>
      </c>
      <c r="C3422" t="s">
        <v>47</v>
      </c>
      <c r="D3422">
        <v>3100769</v>
      </c>
      <c r="E3422">
        <v>3000878</v>
      </c>
      <c r="F3422" t="s">
        <v>2397</v>
      </c>
      <c r="G3422" t="s">
        <v>2397</v>
      </c>
      <c r="H3422" t="s">
        <v>54</v>
      </c>
      <c r="I3422">
        <v>6958672</v>
      </c>
      <c r="J3422" s="12">
        <v>46122</v>
      </c>
      <c r="K3422" s="12">
        <v>46122</v>
      </c>
      <c r="L3422" s="12">
        <v>46122</v>
      </c>
      <c r="M3422">
        <v>10</v>
      </c>
      <c r="N3422">
        <v>-160000</v>
      </c>
      <c r="O3422">
        <v>-160000</v>
      </c>
      <c r="P3422">
        <v>0</v>
      </c>
      <c r="Q3422">
        <v>-160000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 t="s">
        <v>47</v>
      </c>
      <c r="AA3422" t="s">
        <v>501</v>
      </c>
      <c r="AB3422" t="s">
        <v>51</v>
      </c>
      <c r="AC3422" t="s">
        <v>51</v>
      </c>
      <c r="AD3422" t="s">
        <v>51</v>
      </c>
      <c r="AE3422" t="s">
        <v>51</v>
      </c>
      <c r="AF3422" t="s">
        <v>2548</v>
      </c>
    </row>
    <row r="3423" spans="1:32" ht="14.5" customHeight="1" x14ac:dyDescent="0.35">
      <c r="A3423" t="s">
        <v>531</v>
      </c>
      <c r="B3423" t="s">
        <v>2396</v>
      </c>
      <c r="C3423" t="s">
        <v>47</v>
      </c>
      <c r="D3423">
        <v>3100769</v>
      </c>
      <c r="E3423">
        <v>3000878</v>
      </c>
      <c r="F3423" t="s">
        <v>2397</v>
      </c>
      <c r="G3423" t="s">
        <v>2397</v>
      </c>
      <c r="H3423" t="s">
        <v>54</v>
      </c>
      <c r="I3423">
        <v>6958673</v>
      </c>
      <c r="J3423" s="12">
        <v>46122</v>
      </c>
      <c r="K3423" s="12">
        <v>46122</v>
      </c>
      <c r="L3423" s="12">
        <v>46122</v>
      </c>
      <c r="M3423">
        <v>10</v>
      </c>
      <c r="N3423">
        <v>-160000</v>
      </c>
      <c r="O3423">
        <v>-160000</v>
      </c>
      <c r="P3423">
        <v>0</v>
      </c>
      <c r="Q3423">
        <v>-160000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 t="s">
        <v>47</v>
      </c>
      <c r="AA3423" t="s">
        <v>501</v>
      </c>
      <c r="AB3423" t="s">
        <v>51</v>
      </c>
      <c r="AC3423" t="s">
        <v>51</v>
      </c>
      <c r="AD3423" t="s">
        <v>51</v>
      </c>
      <c r="AE3423" t="s">
        <v>51</v>
      </c>
      <c r="AF3423" t="s">
        <v>2548</v>
      </c>
    </row>
    <row r="3424" spans="1:32" ht="14.5" customHeight="1" x14ac:dyDescent="0.35">
      <c r="A3424" t="s">
        <v>531</v>
      </c>
      <c r="B3424" t="s">
        <v>2396</v>
      </c>
      <c r="C3424" t="s">
        <v>47</v>
      </c>
      <c r="D3424">
        <v>3100769</v>
      </c>
      <c r="E3424">
        <v>3000878</v>
      </c>
      <c r="F3424" t="s">
        <v>2397</v>
      </c>
      <c r="G3424" t="s">
        <v>2397</v>
      </c>
      <c r="H3424" t="s">
        <v>54</v>
      </c>
      <c r="I3424">
        <v>6958674</v>
      </c>
      <c r="J3424" s="12">
        <v>46122</v>
      </c>
      <c r="K3424" s="12">
        <v>46122</v>
      </c>
      <c r="L3424" s="12">
        <v>46122</v>
      </c>
      <c r="M3424">
        <v>10</v>
      </c>
      <c r="N3424">
        <v>-80000</v>
      </c>
      <c r="O3424">
        <v>-80000</v>
      </c>
      <c r="P3424">
        <v>0</v>
      </c>
      <c r="Q3424">
        <v>-80000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 t="s">
        <v>47</v>
      </c>
      <c r="AA3424" t="s">
        <v>501</v>
      </c>
      <c r="AB3424" t="s">
        <v>51</v>
      </c>
      <c r="AC3424" t="s">
        <v>51</v>
      </c>
      <c r="AD3424" t="s">
        <v>51</v>
      </c>
      <c r="AE3424" t="s">
        <v>51</v>
      </c>
      <c r="AF3424" t="s">
        <v>2548</v>
      </c>
    </row>
    <row r="3425" spans="1:32" ht="14.5" customHeight="1" x14ac:dyDescent="0.35">
      <c r="A3425" t="s">
        <v>531</v>
      </c>
      <c r="B3425" t="s">
        <v>2396</v>
      </c>
      <c r="C3425" t="s">
        <v>47</v>
      </c>
      <c r="D3425">
        <v>3100769</v>
      </c>
      <c r="E3425">
        <v>3000878</v>
      </c>
      <c r="F3425" t="s">
        <v>2397</v>
      </c>
      <c r="G3425" t="s">
        <v>2397</v>
      </c>
      <c r="H3425" t="s">
        <v>54</v>
      </c>
      <c r="I3425">
        <v>6958675</v>
      </c>
      <c r="J3425" s="12">
        <v>46122</v>
      </c>
      <c r="K3425" s="12">
        <v>46122</v>
      </c>
      <c r="L3425" s="12">
        <v>46122</v>
      </c>
      <c r="M3425">
        <v>10</v>
      </c>
      <c r="N3425">
        <v>-160000</v>
      </c>
      <c r="O3425">
        <v>-160000</v>
      </c>
      <c r="P3425">
        <v>0</v>
      </c>
      <c r="Q3425">
        <v>-160000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 t="s">
        <v>47</v>
      </c>
      <c r="AA3425" t="s">
        <v>501</v>
      </c>
      <c r="AB3425" t="s">
        <v>51</v>
      </c>
      <c r="AC3425" t="s">
        <v>51</v>
      </c>
      <c r="AD3425" t="s">
        <v>51</v>
      </c>
      <c r="AE3425" t="s">
        <v>51</v>
      </c>
      <c r="AF3425" t="s">
        <v>2548</v>
      </c>
    </row>
    <row r="3426" spans="1:32" ht="14.5" customHeight="1" x14ac:dyDescent="0.35">
      <c r="A3426" t="s">
        <v>531</v>
      </c>
      <c r="B3426" t="s">
        <v>2396</v>
      </c>
      <c r="C3426" t="s">
        <v>47</v>
      </c>
      <c r="D3426">
        <v>3100769</v>
      </c>
      <c r="E3426">
        <v>3000878</v>
      </c>
      <c r="F3426" t="s">
        <v>2397</v>
      </c>
      <c r="G3426" t="s">
        <v>2397</v>
      </c>
      <c r="H3426" t="s">
        <v>54</v>
      </c>
      <c r="I3426">
        <v>6958770</v>
      </c>
      <c r="J3426" s="12">
        <v>46122</v>
      </c>
      <c r="K3426" s="12">
        <v>46122</v>
      </c>
      <c r="L3426" s="12">
        <v>46122</v>
      </c>
      <c r="M3426">
        <v>10</v>
      </c>
      <c r="N3426">
        <v>-805805398</v>
      </c>
      <c r="O3426">
        <v>-805805398</v>
      </c>
      <c r="P3426">
        <v>0</v>
      </c>
      <c r="Q3426">
        <v>-805805398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 t="s">
        <v>47</v>
      </c>
      <c r="AA3426" t="s">
        <v>501</v>
      </c>
      <c r="AB3426" t="s">
        <v>51</v>
      </c>
      <c r="AC3426" t="s">
        <v>51</v>
      </c>
      <c r="AD3426" t="s">
        <v>51</v>
      </c>
      <c r="AE3426" t="s">
        <v>51</v>
      </c>
      <c r="AF3426" t="s">
        <v>1026</v>
      </c>
    </row>
    <row r="3427" spans="1:32" ht="14.5" customHeight="1" x14ac:dyDescent="0.35">
      <c r="A3427" t="s">
        <v>531</v>
      </c>
      <c r="B3427" t="s">
        <v>2396</v>
      </c>
      <c r="C3427" t="s">
        <v>47</v>
      </c>
      <c r="D3427">
        <v>3100769</v>
      </c>
      <c r="E3427">
        <v>3000878</v>
      </c>
      <c r="F3427" t="s">
        <v>2397</v>
      </c>
      <c r="G3427" t="s">
        <v>2397</v>
      </c>
      <c r="H3427" t="s">
        <v>54</v>
      </c>
      <c r="I3427">
        <v>6958771</v>
      </c>
      <c r="J3427" s="12">
        <v>46122</v>
      </c>
      <c r="K3427" s="12">
        <v>46122</v>
      </c>
      <c r="L3427" s="12">
        <v>46122</v>
      </c>
      <c r="M3427">
        <v>10</v>
      </c>
      <c r="N3427">
        <v>-405856751</v>
      </c>
      <c r="O3427">
        <v>-405856751</v>
      </c>
      <c r="P3427">
        <v>0</v>
      </c>
      <c r="Q3427">
        <v>-405856751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 t="s">
        <v>47</v>
      </c>
      <c r="AA3427" t="s">
        <v>501</v>
      </c>
      <c r="AB3427" t="s">
        <v>51</v>
      </c>
      <c r="AC3427" t="s">
        <v>51</v>
      </c>
      <c r="AD3427" t="s">
        <v>51</v>
      </c>
      <c r="AE3427" t="s">
        <v>51</v>
      </c>
      <c r="AF3427" t="s">
        <v>56</v>
      </c>
    </row>
    <row r="3428" spans="1:32" ht="14.5" customHeight="1" x14ac:dyDescent="0.35">
      <c r="A3428" t="s">
        <v>531</v>
      </c>
      <c r="B3428" t="s">
        <v>532</v>
      </c>
      <c r="C3428" t="s">
        <v>47</v>
      </c>
      <c r="D3428">
        <v>3100769</v>
      </c>
      <c r="E3428">
        <v>3001035</v>
      </c>
      <c r="F3428" t="s">
        <v>2397</v>
      </c>
      <c r="G3428" t="s">
        <v>2397</v>
      </c>
      <c r="H3428" t="s">
        <v>54</v>
      </c>
      <c r="I3428">
        <v>6958909</v>
      </c>
      <c r="J3428" s="12">
        <v>46125</v>
      </c>
      <c r="K3428" s="12">
        <v>46125</v>
      </c>
      <c r="L3428" s="12">
        <v>46125</v>
      </c>
      <c r="M3428">
        <v>7</v>
      </c>
      <c r="N3428">
        <v>-45526061</v>
      </c>
      <c r="O3428">
        <v>-45526061</v>
      </c>
      <c r="P3428">
        <v>0</v>
      </c>
      <c r="Q3428">
        <v>-45526061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 t="s">
        <v>47</v>
      </c>
      <c r="AA3428" t="s">
        <v>501</v>
      </c>
      <c r="AB3428" t="s">
        <v>51</v>
      </c>
      <c r="AC3428" t="s">
        <v>51</v>
      </c>
      <c r="AD3428" t="s">
        <v>51</v>
      </c>
      <c r="AE3428" t="s">
        <v>51</v>
      </c>
      <c r="AF3428" t="s">
        <v>56</v>
      </c>
    </row>
    <row r="3429" spans="1:32" ht="14.5" customHeight="1" x14ac:dyDescent="0.35">
      <c r="A3429" t="s">
        <v>531</v>
      </c>
      <c r="B3429" t="s">
        <v>532</v>
      </c>
      <c r="C3429" t="s">
        <v>47</v>
      </c>
      <c r="D3429">
        <v>3100769</v>
      </c>
      <c r="E3429">
        <v>3100847</v>
      </c>
      <c r="F3429" t="s">
        <v>2397</v>
      </c>
      <c r="G3429" t="s">
        <v>2407</v>
      </c>
      <c r="H3429" t="s">
        <v>54</v>
      </c>
      <c r="I3429">
        <v>6958969</v>
      </c>
      <c r="J3429" s="12">
        <v>46125</v>
      </c>
      <c r="K3429" s="12">
        <v>46125</v>
      </c>
      <c r="L3429" s="12">
        <v>46125</v>
      </c>
      <c r="M3429">
        <v>7</v>
      </c>
      <c r="N3429">
        <v>-71650714</v>
      </c>
      <c r="O3429">
        <v>-71650714</v>
      </c>
      <c r="P3429">
        <v>0</v>
      </c>
      <c r="Q3429">
        <v>-71650714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 t="s">
        <v>47</v>
      </c>
      <c r="AA3429" t="s">
        <v>501</v>
      </c>
      <c r="AB3429" t="s">
        <v>51</v>
      </c>
      <c r="AC3429" t="s">
        <v>51</v>
      </c>
      <c r="AD3429" t="s">
        <v>51</v>
      </c>
      <c r="AE3429" t="s">
        <v>51</v>
      </c>
      <c r="AF3429" t="s">
        <v>56</v>
      </c>
    </row>
    <row r="3430" spans="1:32" ht="14.5" customHeight="1" x14ac:dyDescent="0.35">
      <c r="A3430" t="s">
        <v>531</v>
      </c>
      <c r="B3430" t="s">
        <v>532</v>
      </c>
      <c r="C3430" t="s">
        <v>47</v>
      </c>
      <c r="D3430">
        <v>3100769</v>
      </c>
      <c r="E3430">
        <v>3100851</v>
      </c>
      <c r="F3430" t="s">
        <v>2397</v>
      </c>
      <c r="G3430" t="s">
        <v>2488</v>
      </c>
      <c r="H3430" t="s">
        <v>54</v>
      </c>
      <c r="I3430">
        <v>6958973</v>
      </c>
      <c r="J3430" s="12">
        <v>46125</v>
      </c>
      <c r="K3430" s="12">
        <v>46125</v>
      </c>
      <c r="L3430" s="12">
        <v>46125</v>
      </c>
      <c r="M3430">
        <v>7</v>
      </c>
      <c r="N3430">
        <v>-71278462</v>
      </c>
      <c r="O3430">
        <v>-71278462</v>
      </c>
      <c r="P3430">
        <v>0</v>
      </c>
      <c r="Q3430">
        <v>-71278462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 t="s">
        <v>47</v>
      </c>
      <c r="AA3430" t="s">
        <v>501</v>
      </c>
      <c r="AB3430" t="s">
        <v>51</v>
      </c>
      <c r="AC3430" t="s">
        <v>51</v>
      </c>
      <c r="AD3430" t="s">
        <v>51</v>
      </c>
      <c r="AE3430" t="s">
        <v>51</v>
      </c>
      <c r="AF3430" t="s">
        <v>56</v>
      </c>
    </row>
    <row r="3431" spans="1:32" ht="14.5" customHeight="1" x14ac:dyDescent="0.35">
      <c r="A3431" t="s">
        <v>531</v>
      </c>
      <c r="B3431" t="s">
        <v>532</v>
      </c>
      <c r="C3431" t="s">
        <v>47</v>
      </c>
      <c r="D3431">
        <v>3100769</v>
      </c>
      <c r="E3431">
        <v>3100853</v>
      </c>
      <c r="F3431" t="s">
        <v>2397</v>
      </c>
      <c r="G3431" t="s">
        <v>2405</v>
      </c>
      <c r="H3431" t="s">
        <v>54</v>
      </c>
      <c r="I3431">
        <v>6958987</v>
      </c>
      <c r="J3431" s="12">
        <v>46125</v>
      </c>
      <c r="K3431" s="12">
        <v>46125</v>
      </c>
      <c r="L3431" s="12">
        <v>46125</v>
      </c>
      <c r="M3431">
        <v>7</v>
      </c>
      <c r="N3431">
        <v>-60352160</v>
      </c>
      <c r="O3431">
        <v>-60352160</v>
      </c>
      <c r="P3431">
        <v>0</v>
      </c>
      <c r="Q3431">
        <v>-60352160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 t="s">
        <v>47</v>
      </c>
      <c r="AA3431" t="s">
        <v>501</v>
      </c>
      <c r="AB3431" t="s">
        <v>51</v>
      </c>
      <c r="AC3431" t="s">
        <v>51</v>
      </c>
      <c r="AD3431" t="s">
        <v>51</v>
      </c>
      <c r="AE3431" t="s">
        <v>51</v>
      </c>
      <c r="AF3431" t="s">
        <v>106</v>
      </c>
    </row>
    <row r="3432" spans="1:32" ht="14.5" customHeight="1" x14ac:dyDescent="0.35">
      <c r="A3432" t="s">
        <v>531</v>
      </c>
      <c r="B3432" t="s">
        <v>2396</v>
      </c>
      <c r="C3432" t="s">
        <v>47</v>
      </c>
      <c r="D3432">
        <v>3100769</v>
      </c>
      <c r="E3432">
        <v>3000876</v>
      </c>
      <c r="F3432" t="s">
        <v>2397</v>
      </c>
      <c r="G3432" t="s">
        <v>2397</v>
      </c>
      <c r="H3432" t="s">
        <v>54</v>
      </c>
      <c r="I3432">
        <v>6958988</v>
      </c>
      <c r="J3432" s="12">
        <v>46125</v>
      </c>
      <c r="K3432" s="12">
        <v>46125</v>
      </c>
      <c r="L3432" s="12">
        <v>46125</v>
      </c>
      <c r="M3432">
        <v>7</v>
      </c>
      <c r="N3432">
        <v>-17993141</v>
      </c>
      <c r="O3432">
        <v>-17993141</v>
      </c>
      <c r="P3432">
        <v>0</v>
      </c>
      <c r="Q3432">
        <v>-17993141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 t="s">
        <v>47</v>
      </c>
      <c r="AA3432" t="s">
        <v>501</v>
      </c>
      <c r="AB3432" t="s">
        <v>51</v>
      </c>
      <c r="AC3432" t="s">
        <v>51</v>
      </c>
      <c r="AD3432" t="s">
        <v>51</v>
      </c>
      <c r="AE3432" t="s">
        <v>51</v>
      </c>
      <c r="AF3432" t="s">
        <v>56</v>
      </c>
    </row>
    <row r="3433" spans="1:32" ht="14.5" customHeight="1" x14ac:dyDescent="0.35">
      <c r="A3433" t="s">
        <v>531</v>
      </c>
      <c r="B3433" t="s">
        <v>532</v>
      </c>
      <c r="C3433" t="s">
        <v>47</v>
      </c>
      <c r="D3433">
        <v>3100769</v>
      </c>
      <c r="E3433">
        <v>3100849</v>
      </c>
      <c r="F3433" t="s">
        <v>2397</v>
      </c>
      <c r="G3433" t="s">
        <v>2487</v>
      </c>
      <c r="H3433" t="s">
        <v>54</v>
      </c>
      <c r="I3433">
        <v>6958989</v>
      </c>
      <c r="J3433" s="12">
        <v>46125</v>
      </c>
      <c r="K3433" s="12">
        <v>46125</v>
      </c>
      <c r="L3433" s="12">
        <v>46125</v>
      </c>
      <c r="M3433">
        <v>7</v>
      </c>
      <c r="N3433">
        <v>-58345317</v>
      </c>
      <c r="O3433">
        <v>-58345317</v>
      </c>
      <c r="P3433">
        <v>0</v>
      </c>
      <c r="Q3433">
        <v>-58345317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 t="s">
        <v>47</v>
      </c>
      <c r="AA3433" t="s">
        <v>501</v>
      </c>
      <c r="AB3433" t="s">
        <v>51</v>
      </c>
      <c r="AC3433" t="s">
        <v>51</v>
      </c>
      <c r="AD3433" t="s">
        <v>51</v>
      </c>
      <c r="AE3433" t="s">
        <v>51</v>
      </c>
      <c r="AF3433" t="s">
        <v>56</v>
      </c>
    </row>
    <row r="3434" spans="1:32" ht="14.5" customHeight="1" x14ac:dyDescent="0.35">
      <c r="A3434" t="s">
        <v>1593</v>
      </c>
      <c r="B3434" t="s">
        <v>606</v>
      </c>
      <c r="C3434" t="s">
        <v>47</v>
      </c>
      <c r="D3434">
        <v>3100769</v>
      </c>
      <c r="E3434">
        <v>3100979</v>
      </c>
      <c r="F3434" t="s">
        <v>2397</v>
      </c>
      <c r="G3434" t="s">
        <v>2489</v>
      </c>
      <c r="H3434" t="s">
        <v>54</v>
      </c>
      <c r="I3434">
        <v>6958990</v>
      </c>
      <c r="J3434" s="12">
        <v>46125</v>
      </c>
      <c r="K3434" s="12">
        <v>46125</v>
      </c>
      <c r="L3434" s="12">
        <v>46125</v>
      </c>
      <c r="M3434">
        <v>7</v>
      </c>
      <c r="N3434">
        <v>-355416528</v>
      </c>
      <c r="O3434">
        <v>-355416528</v>
      </c>
      <c r="P3434">
        <v>0</v>
      </c>
      <c r="Q3434">
        <v>-355416528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 t="s">
        <v>47</v>
      </c>
      <c r="AA3434" t="s">
        <v>501</v>
      </c>
      <c r="AB3434" t="s">
        <v>51</v>
      </c>
      <c r="AC3434" t="s">
        <v>51</v>
      </c>
      <c r="AD3434" t="s">
        <v>51</v>
      </c>
      <c r="AE3434" t="s">
        <v>51</v>
      </c>
      <c r="AF3434" t="s">
        <v>64</v>
      </c>
    </row>
    <row r="3435" spans="1:32" ht="14.5" customHeight="1" x14ac:dyDescent="0.35">
      <c r="A3435" t="s">
        <v>1593</v>
      </c>
      <c r="B3435" t="s">
        <v>606</v>
      </c>
      <c r="C3435" t="s">
        <v>47</v>
      </c>
      <c r="D3435">
        <v>3100769</v>
      </c>
      <c r="E3435">
        <v>3100979</v>
      </c>
      <c r="F3435" t="s">
        <v>2397</v>
      </c>
      <c r="G3435" t="s">
        <v>2489</v>
      </c>
      <c r="H3435" t="s">
        <v>54</v>
      </c>
      <c r="I3435">
        <v>6958991</v>
      </c>
      <c r="J3435" s="12">
        <v>46125</v>
      </c>
      <c r="K3435" s="12">
        <v>46125</v>
      </c>
      <c r="L3435" s="12">
        <v>46125</v>
      </c>
      <c r="M3435">
        <v>7</v>
      </c>
      <c r="N3435">
        <v>-345971352</v>
      </c>
      <c r="O3435">
        <v>-345971352</v>
      </c>
      <c r="P3435">
        <v>0</v>
      </c>
      <c r="Q3435">
        <v>-345971352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 t="s">
        <v>47</v>
      </c>
      <c r="AA3435" t="s">
        <v>501</v>
      </c>
      <c r="AB3435" t="s">
        <v>51</v>
      </c>
      <c r="AC3435" t="s">
        <v>51</v>
      </c>
      <c r="AD3435" t="s">
        <v>51</v>
      </c>
      <c r="AE3435" t="s">
        <v>51</v>
      </c>
      <c r="AF3435" t="s">
        <v>660</v>
      </c>
    </row>
    <row r="3436" spans="1:32" ht="14.5" customHeight="1" x14ac:dyDescent="0.35">
      <c r="A3436" t="s">
        <v>531</v>
      </c>
      <c r="B3436" t="s">
        <v>2396</v>
      </c>
      <c r="C3436" t="s">
        <v>47</v>
      </c>
      <c r="D3436">
        <v>3100769</v>
      </c>
      <c r="E3436">
        <v>3000878</v>
      </c>
      <c r="F3436" t="s">
        <v>2397</v>
      </c>
      <c r="G3436" t="s">
        <v>2397</v>
      </c>
      <c r="H3436" t="s">
        <v>54</v>
      </c>
      <c r="I3436">
        <v>6959257</v>
      </c>
      <c r="J3436" s="12">
        <v>46126</v>
      </c>
      <c r="K3436" s="12">
        <v>46126</v>
      </c>
      <c r="L3436" s="12">
        <v>46126</v>
      </c>
      <c r="M3436">
        <v>6</v>
      </c>
      <c r="N3436">
        <v>-73203522</v>
      </c>
      <c r="O3436">
        <v>-73203522</v>
      </c>
      <c r="P3436">
        <v>0</v>
      </c>
      <c r="Q3436">
        <v>-73203522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 t="s">
        <v>47</v>
      </c>
      <c r="AA3436" t="s">
        <v>501</v>
      </c>
      <c r="AB3436" t="s">
        <v>51</v>
      </c>
      <c r="AC3436" t="s">
        <v>51</v>
      </c>
      <c r="AD3436" t="s">
        <v>51</v>
      </c>
      <c r="AE3436" t="s">
        <v>51</v>
      </c>
      <c r="AF3436" t="s">
        <v>2549</v>
      </c>
    </row>
    <row r="3437" spans="1:32" ht="14.5" customHeight="1" x14ac:dyDescent="0.35">
      <c r="A3437" t="s">
        <v>531</v>
      </c>
      <c r="B3437" t="s">
        <v>2396</v>
      </c>
      <c r="C3437" t="s">
        <v>47</v>
      </c>
      <c r="D3437">
        <v>3100769</v>
      </c>
      <c r="E3437">
        <v>3000878</v>
      </c>
      <c r="F3437" t="s">
        <v>2397</v>
      </c>
      <c r="G3437" t="s">
        <v>2397</v>
      </c>
      <c r="H3437" t="s">
        <v>54</v>
      </c>
      <c r="I3437">
        <v>6959313</v>
      </c>
      <c r="J3437" s="12">
        <v>46126</v>
      </c>
      <c r="K3437" s="12">
        <v>46126</v>
      </c>
      <c r="L3437" s="12">
        <v>46126</v>
      </c>
      <c r="M3437">
        <v>6</v>
      </c>
      <c r="N3437">
        <v>-71871734</v>
      </c>
      <c r="O3437">
        <v>-71871734</v>
      </c>
      <c r="P3437">
        <v>0</v>
      </c>
      <c r="Q3437">
        <v>-71871734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 t="s">
        <v>47</v>
      </c>
      <c r="AA3437" t="s">
        <v>501</v>
      </c>
      <c r="AB3437" t="s">
        <v>51</v>
      </c>
      <c r="AC3437" t="s">
        <v>51</v>
      </c>
      <c r="AD3437" t="s">
        <v>51</v>
      </c>
      <c r="AE3437" t="s">
        <v>51</v>
      </c>
      <c r="AF3437" t="s">
        <v>2550</v>
      </c>
    </row>
    <row r="3438" spans="1:32" ht="14.5" customHeight="1" x14ac:dyDescent="0.35">
      <c r="A3438" t="s">
        <v>531</v>
      </c>
      <c r="B3438" t="s">
        <v>2396</v>
      </c>
      <c r="C3438" t="s">
        <v>47</v>
      </c>
      <c r="D3438">
        <v>3100769</v>
      </c>
      <c r="E3438">
        <v>3000878</v>
      </c>
      <c r="F3438" t="s">
        <v>2397</v>
      </c>
      <c r="G3438" t="s">
        <v>2397</v>
      </c>
      <c r="H3438" t="s">
        <v>54</v>
      </c>
      <c r="I3438">
        <v>6959314</v>
      </c>
      <c r="J3438" s="12">
        <v>46126</v>
      </c>
      <c r="K3438" s="12">
        <v>46126</v>
      </c>
      <c r="L3438" s="12">
        <v>46126</v>
      </c>
      <c r="M3438">
        <v>6</v>
      </c>
      <c r="N3438">
        <v>-767423</v>
      </c>
      <c r="O3438">
        <v>-767423</v>
      </c>
      <c r="P3438">
        <v>0</v>
      </c>
      <c r="Q3438">
        <v>-767423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 t="s">
        <v>47</v>
      </c>
      <c r="AA3438" t="s">
        <v>501</v>
      </c>
      <c r="AB3438" t="s">
        <v>51</v>
      </c>
      <c r="AC3438" t="s">
        <v>51</v>
      </c>
      <c r="AD3438" t="s">
        <v>51</v>
      </c>
      <c r="AE3438" t="s">
        <v>51</v>
      </c>
      <c r="AF3438" t="s">
        <v>2551</v>
      </c>
    </row>
    <row r="3439" spans="1:32" ht="14.5" customHeight="1" x14ac:dyDescent="0.35">
      <c r="A3439" t="s">
        <v>531</v>
      </c>
      <c r="B3439" t="s">
        <v>2396</v>
      </c>
      <c r="C3439" t="s">
        <v>47</v>
      </c>
      <c r="D3439">
        <v>3100769</v>
      </c>
      <c r="E3439">
        <v>3000878</v>
      </c>
      <c r="F3439" t="s">
        <v>2397</v>
      </c>
      <c r="G3439" t="s">
        <v>2397</v>
      </c>
      <c r="H3439" t="s">
        <v>54</v>
      </c>
      <c r="I3439">
        <v>6959315</v>
      </c>
      <c r="J3439" s="12">
        <v>46126</v>
      </c>
      <c r="K3439" s="12">
        <v>46126</v>
      </c>
      <c r="L3439" s="12">
        <v>46126</v>
      </c>
      <c r="M3439">
        <v>6</v>
      </c>
      <c r="N3439">
        <v>-900341</v>
      </c>
      <c r="O3439">
        <v>-900341</v>
      </c>
      <c r="P3439">
        <v>0</v>
      </c>
      <c r="Q3439">
        <v>-900341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 t="s">
        <v>47</v>
      </c>
      <c r="AA3439" t="s">
        <v>501</v>
      </c>
      <c r="AB3439" t="s">
        <v>51</v>
      </c>
      <c r="AC3439" t="s">
        <v>51</v>
      </c>
      <c r="AD3439" t="s">
        <v>51</v>
      </c>
      <c r="AE3439" t="s">
        <v>51</v>
      </c>
      <c r="AF3439" t="s">
        <v>2551</v>
      </c>
    </row>
    <row r="3440" spans="1:32" ht="14.5" customHeight="1" x14ac:dyDescent="0.35">
      <c r="A3440" t="s">
        <v>531</v>
      </c>
      <c r="B3440" t="s">
        <v>532</v>
      </c>
      <c r="C3440" t="s">
        <v>47</v>
      </c>
      <c r="D3440">
        <v>3100769</v>
      </c>
      <c r="E3440">
        <v>3100847</v>
      </c>
      <c r="F3440" t="s">
        <v>2397</v>
      </c>
      <c r="G3440" t="s">
        <v>2407</v>
      </c>
      <c r="H3440" t="s">
        <v>54</v>
      </c>
      <c r="I3440">
        <v>6959334</v>
      </c>
      <c r="J3440" s="12">
        <v>46126</v>
      </c>
      <c r="K3440" s="12">
        <v>46126</v>
      </c>
      <c r="L3440" s="12">
        <v>46126</v>
      </c>
      <c r="M3440">
        <v>6</v>
      </c>
      <c r="N3440">
        <v>-1937714</v>
      </c>
      <c r="O3440">
        <v>-1937714</v>
      </c>
      <c r="P3440">
        <v>0</v>
      </c>
      <c r="Q3440">
        <v>-1937714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 t="s">
        <v>47</v>
      </c>
      <c r="AA3440" t="s">
        <v>501</v>
      </c>
      <c r="AB3440" t="s">
        <v>51</v>
      </c>
      <c r="AC3440" t="s">
        <v>51</v>
      </c>
      <c r="AD3440" t="s">
        <v>51</v>
      </c>
      <c r="AE3440" t="s">
        <v>51</v>
      </c>
      <c r="AF3440" t="s">
        <v>2552</v>
      </c>
    </row>
    <row r="3441" spans="1:32" ht="14.5" customHeight="1" x14ac:dyDescent="0.35">
      <c r="A3441" t="s">
        <v>1593</v>
      </c>
      <c r="B3441" t="s">
        <v>606</v>
      </c>
      <c r="C3441" t="s">
        <v>47</v>
      </c>
      <c r="D3441">
        <v>3100769</v>
      </c>
      <c r="E3441">
        <v>3100979</v>
      </c>
      <c r="F3441" t="s">
        <v>2397</v>
      </c>
      <c r="G3441" t="s">
        <v>2489</v>
      </c>
      <c r="H3441" t="s">
        <v>111</v>
      </c>
      <c r="I3441">
        <v>6959348</v>
      </c>
      <c r="J3441" s="12">
        <v>46126</v>
      </c>
      <c r="K3441" s="12">
        <v>46126</v>
      </c>
      <c r="L3441" s="12">
        <v>46126</v>
      </c>
      <c r="M3441">
        <v>6</v>
      </c>
      <c r="N3441">
        <v>-120471495</v>
      </c>
      <c r="O3441">
        <v>-120471495</v>
      </c>
      <c r="P3441">
        <v>0</v>
      </c>
      <c r="Q3441">
        <v>-120471495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 t="s">
        <v>47</v>
      </c>
      <c r="AA3441" t="s">
        <v>501</v>
      </c>
      <c r="AB3441" t="s">
        <v>51</v>
      </c>
      <c r="AC3441" t="s">
        <v>51</v>
      </c>
      <c r="AD3441" t="s">
        <v>51</v>
      </c>
      <c r="AE3441" t="s">
        <v>51</v>
      </c>
      <c r="AF3441" t="s">
        <v>185</v>
      </c>
    </row>
    <row r="3442" spans="1:32" ht="14.5" customHeight="1" x14ac:dyDescent="0.35">
      <c r="A3442" t="s">
        <v>531</v>
      </c>
      <c r="B3442" t="s">
        <v>2396</v>
      </c>
      <c r="C3442" t="s">
        <v>47</v>
      </c>
      <c r="D3442">
        <v>3100769</v>
      </c>
      <c r="E3442">
        <v>3000876</v>
      </c>
      <c r="F3442" t="s">
        <v>2397</v>
      </c>
      <c r="G3442" t="s">
        <v>2397</v>
      </c>
      <c r="H3442" t="s">
        <v>54</v>
      </c>
      <c r="I3442">
        <v>6959962</v>
      </c>
      <c r="J3442" s="12">
        <v>46129</v>
      </c>
      <c r="K3442" s="12">
        <v>46129</v>
      </c>
      <c r="L3442" s="12">
        <v>46129</v>
      </c>
      <c r="M3442">
        <v>3</v>
      </c>
      <c r="N3442">
        <v>-3605827</v>
      </c>
      <c r="O3442">
        <v>-3605827</v>
      </c>
      <c r="P3442">
        <v>0</v>
      </c>
      <c r="Q3442">
        <v>-3605827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 t="s">
        <v>47</v>
      </c>
      <c r="AA3442" t="s">
        <v>501</v>
      </c>
      <c r="AB3442" t="s">
        <v>51</v>
      </c>
      <c r="AC3442" t="s">
        <v>51</v>
      </c>
      <c r="AD3442" t="s">
        <v>51</v>
      </c>
      <c r="AE3442" t="s">
        <v>51</v>
      </c>
      <c r="AF3442" t="s">
        <v>2553</v>
      </c>
    </row>
    <row r="3443" spans="1:32" ht="14.5" customHeight="1" x14ac:dyDescent="0.35">
      <c r="A3443" t="s">
        <v>531</v>
      </c>
      <c r="B3443" t="s">
        <v>2396</v>
      </c>
      <c r="C3443" t="s">
        <v>47</v>
      </c>
      <c r="D3443">
        <v>3100769</v>
      </c>
      <c r="E3443">
        <v>3000878</v>
      </c>
      <c r="F3443" t="s">
        <v>2397</v>
      </c>
      <c r="G3443" t="s">
        <v>2397</v>
      </c>
      <c r="H3443" t="s">
        <v>54</v>
      </c>
      <c r="I3443">
        <v>6959963</v>
      </c>
      <c r="J3443" s="12">
        <v>46130</v>
      </c>
      <c r="K3443" s="12">
        <v>46130</v>
      </c>
      <c r="L3443" s="12">
        <v>46130</v>
      </c>
      <c r="M3443">
        <v>2</v>
      </c>
      <c r="N3443">
        <v>-2209555</v>
      </c>
      <c r="O3443">
        <v>-2209555</v>
      </c>
      <c r="P3443">
        <v>0</v>
      </c>
      <c r="Q3443">
        <v>-2209555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 t="s">
        <v>47</v>
      </c>
      <c r="AA3443" t="s">
        <v>501</v>
      </c>
      <c r="AB3443" t="s">
        <v>51</v>
      </c>
      <c r="AC3443" t="s">
        <v>51</v>
      </c>
      <c r="AD3443" t="s">
        <v>51</v>
      </c>
      <c r="AE3443" t="s">
        <v>51</v>
      </c>
      <c r="AF3443" t="s">
        <v>2427</v>
      </c>
    </row>
    <row r="3444" spans="1:32" ht="14.5" customHeight="1" x14ac:dyDescent="0.35">
      <c r="A3444" t="s">
        <v>531</v>
      </c>
      <c r="B3444" t="s">
        <v>2396</v>
      </c>
      <c r="C3444" t="s">
        <v>47</v>
      </c>
      <c r="D3444">
        <v>3100769</v>
      </c>
      <c r="E3444">
        <v>3000878</v>
      </c>
      <c r="F3444" t="s">
        <v>2397</v>
      </c>
      <c r="G3444" t="s">
        <v>2397</v>
      </c>
      <c r="H3444" t="s">
        <v>54</v>
      </c>
      <c r="I3444">
        <v>6959964</v>
      </c>
      <c r="J3444" s="12">
        <v>46130</v>
      </c>
      <c r="K3444" s="12">
        <v>46130</v>
      </c>
      <c r="L3444" s="12">
        <v>46130</v>
      </c>
      <c r="M3444">
        <v>2</v>
      </c>
      <c r="N3444">
        <v>-1682685</v>
      </c>
      <c r="O3444">
        <v>-1682685</v>
      </c>
      <c r="P3444">
        <v>0</v>
      </c>
      <c r="Q3444">
        <v>-1682685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 t="s">
        <v>47</v>
      </c>
      <c r="AA3444" t="s">
        <v>501</v>
      </c>
      <c r="AB3444" t="s">
        <v>51</v>
      </c>
      <c r="AC3444" t="s">
        <v>51</v>
      </c>
      <c r="AD3444" t="s">
        <v>51</v>
      </c>
      <c r="AE3444" t="s">
        <v>51</v>
      </c>
      <c r="AF3444" t="s">
        <v>2428</v>
      </c>
    </row>
    <row r="3445" spans="1:32" ht="14.5" customHeight="1" x14ac:dyDescent="0.35">
      <c r="A3445" t="s">
        <v>531</v>
      </c>
      <c r="B3445" t="s">
        <v>2396</v>
      </c>
      <c r="C3445" t="s">
        <v>47</v>
      </c>
      <c r="D3445">
        <v>3100769</v>
      </c>
      <c r="E3445">
        <v>3000878</v>
      </c>
      <c r="F3445" t="s">
        <v>2397</v>
      </c>
      <c r="G3445" t="s">
        <v>2397</v>
      </c>
      <c r="H3445" t="s">
        <v>54</v>
      </c>
      <c r="I3445">
        <v>6959965</v>
      </c>
      <c r="J3445" s="12">
        <v>46130</v>
      </c>
      <c r="K3445" s="12">
        <v>46130</v>
      </c>
      <c r="L3445" s="12">
        <v>46130</v>
      </c>
      <c r="M3445">
        <v>2</v>
      </c>
      <c r="N3445">
        <v>-576852</v>
      </c>
      <c r="O3445">
        <v>-576852</v>
      </c>
      <c r="P3445">
        <v>0</v>
      </c>
      <c r="Q3445">
        <v>-576852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 t="s">
        <v>47</v>
      </c>
      <c r="AA3445" t="s">
        <v>501</v>
      </c>
      <c r="AB3445" t="s">
        <v>51</v>
      </c>
      <c r="AC3445" t="s">
        <v>51</v>
      </c>
      <c r="AD3445" t="s">
        <v>51</v>
      </c>
      <c r="AE3445" t="s">
        <v>51</v>
      </c>
      <c r="AF3445" t="s">
        <v>2554</v>
      </c>
    </row>
    <row r="3446" spans="1:32" ht="14.5" customHeight="1" x14ac:dyDescent="0.35">
      <c r="A3446" t="s">
        <v>531</v>
      </c>
      <c r="B3446" t="s">
        <v>2396</v>
      </c>
      <c r="C3446" t="s">
        <v>47</v>
      </c>
      <c r="D3446">
        <v>3100769</v>
      </c>
      <c r="E3446">
        <v>3000878</v>
      </c>
      <c r="F3446" t="s">
        <v>2397</v>
      </c>
      <c r="G3446" t="s">
        <v>2397</v>
      </c>
      <c r="H3446" t="s">
        <v>54</v>
      </c>
      <c r="I3446">
        <v>6959966</v>
      </c>
      <c r="J3446" s="12">
        <v>46130</v>
      </c>
      <c r="K3446" s="12">
        <v>46130</v>
      </c>
      <c r="L3446" s="12">
        <v>46130</v>
      </c>
      <c r="M3446">
        <v>2</v>
      </c>
      <c r="N3446">
        <v>-629819</v>
      </c>
      <c r="O3446">
        <v>-629819</v>
      </c>
      <c r="P3446">
        <v>0</v>
      </c>
      <c r="Q3446">
        <v>-629819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 t="s">
        <v>47</v>
      </c>
      <c r="AA3446" t="s">
        <v>501</v>
      </c>
      <c r="AB3446" t="s">
        <v>51</v>
      </c>
      <c r="AC3446" t="s">
        <v>51</v>
      </c>
      <c r="AD3446" t="s">
        <v>51</v>
      </c>
      <c r="AE3446" t="s">
        <v>51</v>
      </c>
      <c r="AF3446" t="s">
        <v>2555</v>
      </c>
    </row>
    <row r="3447" spans="1:32" ht="14.5" customHeight="1" x14ac:dyDescent="0.35">
      <c r="A3447" t="s">
        <v>531</v>
      </c>
      <c r="B3447" t="s">
        <v>2396</v>
      </c>
      <c r="C3447" t="s">
        <v>47</v>
      </c>
      <c r="D3447">
        <v>3100769</v>
      </c>
      <c r="E3447">
        <v>3000878</v>
      </c>
      <c r="F3447" t="s">
        <v>2397</v>
      </c>
      <c r="G3447" t="s">
        <v>2397</v>
      </c>
      <c r="H3447" t="s">
        <v>54</v>
      </c>
      <c r="I3447">
        <v>6959967</v>
      </c>
      <c r="J3447" s="12">
        <v>46130</v>
      </c>
      <c r="K3447" s="12">
        <v>46130</v>
      </c>
      <c r="L3447" s="12">
        <v>46130</v>
      </c>
      <c r="M3447">
        <v>2</v>
      </c>
      <c r="N3447">
        <v>-587842</v>
      </c>
      <c r="O3447">
        <v>-587842</v>
      </c>
      <c r="P3447">
        <v>0</v>
      </c>
      <c r="Q3447">
        <v>-587842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 t="s">
        <v>47</v>
      </c>
      <c r="AA3447" t="s">
        <v>501</v>
      </c>
      <c r="AB3447" t="s">
        <v>51</v>
      </c>
      <c r="AC3447" t="s">
        <v>51</v>
      </c>
      <c r="AD3447" t="s">
        <v>51</v>
      </c>
      <c r="AE3447" t="s">
        <v>51</v>
      </c>
      <c r="AF3447" t="s">
        <v>2427</v>
      </c>
    </row>
    <row r="3448" spans="1:32" ht="14.5" customHeight="1" x14ac:dyDescent="0.35">
      <c r="A3448" t="s">
        <v>531</v>
      </c>
      <c r="B3448" t="s">
        <v>2396</v>
      </c>
      <c r="C3448" t="s">
        <v>47</v>
      </c>
      <c r="D3448">
        <v>3100769</v>
      </c>
      <c r="E3448">
        <v>3000878</v>
      </c>
      <c r="F3448" t="s">
        <v>2397</v>
      </c>
      <c r="G3448" t="s">
        <v>2397</v>
      </c>
      <c r="H3448" t="s">
        <v>54</v>
      </c>
      <c r="I3448">
        <v>6959968</v>
      </c>
      <c r="J3448" s="12">
        <v>46130</v>
      </c>
      <c r="K3448" s="12">
        <v>46130</v>
      </c>
      <c r="L3448" s="12">
        <v>46130</v>
      </c>
      <c r="M3448">
        <v>2</v>
      </c>
      <c r="N3448">
        <v>-301186</v>
      </c>
      <c r="O3448">
        <v>-301186</v>
      </c>
      <c r="P3448">
        <v>0</v>
      </c>
      <c r="Q3448">
        <v>-301186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 t="s">
        <v>47</v>
      </c>
      <c r="AA3448" t="s">
        <v>501</v>
      </c>
      <c r="AB3448" t="s">
        <v>51</v>
      </c>
      <c r="AC3448" t="s">
        <v>51</v>
      </c>
      <c r="AD3448" t="s">
        <v>51</v>
      </c>
      <c r="AE3448" t="s">
        <v>51</v>
      </c>
      <c r="AF3448" t="s">
        <v>2556</v>
      </c>
    </row>
    <row r="3449" spans="1:32" ht="14.5" customHeight="1" x14ac:dyDescent="0.35">
      <c r="A3449" t="s">
        <v>531</v>
      </c>
      <c r="B3449" t="s">
        <v>2396</v>
      </c>
      <c r="C3449" t="s">
        <v>47</v>
      </c>
      <c r="D3449">
        <v>3100769</v>
      </c>
      <c r="E3449">
        <v>3000878</v>
      </c>
      <c r="F3449" t="s">
        <v>2397</v>
      </c>
      <c r="G3449" t="s">
        <v>2397</v>
      </c>
      <c r="H3449" t="s">
        <v>54</v>
      </c>
      <c r="I3449">
        <v>6959969</v>
      </c>
      <c r="J3449" s="12">
        <v>46130</v>
      </c>
      <c r="K3449" s="12">
        <v>46130</v>
      </c>
      <c r="L3449" s="12">
        <v>46130</v>
      </c>
      <c r="M3449">
        <v>2</v>
      </c>
      <c r="N3449">
        <v>-1119742</v>
      </c>
      <c r="O3449">
        <v>-1119742</v>
      </c>
      <c r="P3449">
        <v>0</v>
      </c>
      <c r="Q3449">
        <v>-1119742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 t="s">
        <v>47</v>
      </c>
      <c r="AA3449" t="s">
        <v>501</v>
      </c>
      <c r="AB3449" t="s">
        <v>51</v>
      </c>
      <c r="AC3449" t="s">
        <v>51</v>
      </c>
      <c r="AD3449" t="s">
        <v>51</v>
      </c>
      <c r="AE3449" t="s">
        <v>51</v>
      </c>
      <c r="AF3449" t="s">
        <v>2557</v>
      </c>
    </row>
    <row r="3450" spans="1:32" ht="14.5" customHeight="1" x14ac:dyDescent="0.35">
      <c r="A3450" t="s">
        <v>531</v>
      </c>
      <c r="B3450" t="s">
        <v>2396</v>
      </c>
      <c r="C3450" t="s">
        <v>47</v>
      </c>
      <c r="D3450">
        <v>3100769</v>
      </c>
      <c r="E3450">
        <v>3000878</v>
      </c>
      <c r="F3450" t="s">
        <v>2397</v>
      </c>
      <c r="G3450" t="s">
        <v>2397</v>
      </c>
      <c r="H3450" t="s">
        <v>54</v>
      </c>
      <c r="I3450">
        <v>6959970</v>
      </c>
      <c r="J3450" s="12">
        <v>46130</v>
      </c>
      <c r="K3450" s="12">
        <v>46130</v>
      </c>
      <c r="L3450" s="12">
        <v>46130</v>
      </c>
      <c r="M3450">
        <v>2</v>
      </c>
      <c r="N3450">
        <v>-509997</v>
      </c>
      <c r="O3450">
        <v>-509997</v>
      </c>
      <c r="P3450">
        <v>0</v>
      </c>
      <c r="Q3450">
        <v>-509997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 t="s">
        <v>47</v>
      </c>
      <c r="AA3450" t="s">
        <v>501</v>
      </c>
      <c r="AB3450" t="s">
        <v>51</v>
      </c>
      <c r="AC3450" t="s">
        <v>51</v>
      </c>
      <c r="AD3450" t="s">
        <v>51</v>
      </c>
      <c r="AE3450" t="s">
        <v>51</v>
      </c>
      <c r="AF3450" t="s">
        <v>2554</v>
      </c>
    </row>
    <row r="3451" spans="1:32" ht="14.5" customHeight="1" x14ac:dyDescent="0.35">
      <c r="A3451" t="s">
        <v>531</v>
      </c>
      <c r="B3451" t="s">
        <v>2396</v>
      </c>
      <c r="C3451" t="s">
        <v>47</v>
      </c>
      <c r="D3451">
        <v>3100769</v>
      </c>
      <c r="E3451">
        <v>3000878</v>
      </c>
      <c r="F3451" t="s">
        <v>2397</v>
      </c>
      <c r="G3451" t="s">
        <v>2397</v>
      </c>
      <c r="H3451" t="s">
        <v>54</v>
      </c>
      <c r="I3451">
        <v>6959971</v>
      </c>
      <c r="J3451" s="12">
        <v>46130</v>
      </c>
      <c r="K3451" s="12">
        <v>46130</v>
      </c>
      <c r="L3451" s="12">
        <v>46130</v>
      </c>
      <c r="M3451">
        <v>2</v>
      </c>
      <c r="N3451">
        <v>-548744</v>
      </c>
      <c r="O3451">
        <v>-548744</v>
      </c>
      <c r="P3451">
        <v>0</v>
      </c>
      <c r="Q3451">
        <v>-548744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 t="s">
        <v>47</v>
      </c>
      <c r="AA3451" t="s">
        <v>501</v>
      </c>
      <c r="AB3451" t="s">
        <v>51</v>
      </c>
      <c r="AC3451" t="s">
        <v>51</v>
      </c>
      <c r="AD3451" t="s">
        <v>51</v>
      </c>
      <c r="AE3451" t="s">
        <v>51</v>
      </c>
      <c r="AF3451" t="s">
        <v>2558</v>
      </c>
    </row>
    <row r="3452" spans="1:32" ht="14.5" customHeight="1" x14ac:dyDescent="0.35">
      <c r="A3452" t="s">
        <v>531</v>
      </c>
      <c r="B3452" t="s">
        <v>2396</v>
      </c>
      <c r="C3452" t="s">
        <v>47</v>
      </c>
      <c r="D3452">
        <v>3100769</v>
      </c>
      <c r="E3452">
        <v>3000878</v>
      </c>
      <c r="F3452" t="s">
        <v>2397</v>
      </c>
      <c r="G3452" t="s">
        <v>2397</v>
      </c>
      <c r="H3452" t="s">
        <v>54</v>
      </c>
      <c r="I3452">
        <v>6959972</v>
      </c>
      <c r="J3452" s="12">
        <v>46130</v>
      </c>
      <c r="K3452" s="12">
        <v>46130</v>
      </c>
      <c r="L3452" s="12">
        <v>46130</v>
      </c>
      <c r="M3452">
        <v>2</v>
      </c>
      <c r="N3452">
        <v>-9261600</v>
      </c>
      <c r="O3452">
        <v>-9261600</v>
      </c>
      <c r="P3452">
        <v>0</v>
      </c>
      <c r="Q3452">
        <v>-9261600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 t="s">
        <v>47</v>
      </c>
      <c r="AA3452" t="s">
        <v>501</v>
      </c>
      <c r="AB3452" t="s">
        <v>51</v>
      </c>
      <c r="AC3452" t="s">
        <v>51</v>
      </c>
      <c r="AD3452" t="s">
        <v>51</v>
      </c>
      <c r="AE3452" t="s">
        <v>51</v>
      </c>
      <c r="AF3452" t="s">
        <v>2559</v>
      </c>
    </row>
    <row r="3453" spans="1:32" ht="14.5" customHeight="1" x14ac:dyDescent="0.35">
      <c r="A3453" t="s">
        <v>531</v>
      </c>
      <c r="B3453" t="s">
        <v>2396</v>
      </c>
      <c r="C3453" t="s">
        <v>47</v>
      </c>
      <c r="D3453">
        <v>3100769</v>
      </c>
      <c r="E3453">
        <v>3000878</v>
      </c>
      <c r="F3453" t="s">
        <v>2397</v>
      </c>
      <c r="G3453" t="s">
        <v>2397</v>
      </c>
      <c r="H3453" t="s">
        <v>54</v>
      </c>
      <c r="I3453">
        <v>6959973</v>
      </c>
      <c r="J3453" s="12">
        <v>46130</v>
      </c>
      <c r="K3453" s="12">
        <v>46130</v>
      </c>
      <c r="L3453" s="12">
        <v>46130</v>
      </c>
      <c r="M3453">
        <v>2</v>
      </c>
      <c r="N3453">
        <v>-2695904</v>
      </c>
      <c r="O3453">
        <v>-2695904</v>
      </c>
      <c r="P3453">
        <v>0</v>
      </c>
      <c r="Q3453">
        <v>-2695904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 t="s">
        <v>47</v>
      </c>
      <c r="AA3453" t="s">
        <v>501</v>
      </c>
      <c r="AB3453" t="s">
        <v>51</v>
      </c>
      <c r="AC3453" t="s">
        <v>51</v>
      </c>
      <c r="AD3453" t="s">
        <v>51</v>
      </c>
      <c r="AE3453" t="s">
        <v>51</v>
      </c>
      <c r="AF3453" t="s">
        <v>2560</v>
      </c>
    </row>
    <row r="3454" spans="1:32" ht="14.5" customHeight="1" x14ac:dyDescent="0.35">
      <c r="A3454" t="s">
        <v>531</v>
      </c>
      <c r="B3454" t="s">
        <v>2396</v>
      </c>
      <c r="C3454" t="s">
        <v>47</v>
      </c>
      <c r="D3454">
        <v>3100769</v>
      </c>
      <c r="E3454">
        <v>3000878</v>
      </c>
      <c r="F3454" t="s">
        <v>2397</v>
      </c>
      <c r="G3454" t="s">
        <v>2397</v>
      </c>
      <c r="H3454" t="s">
        <v>54</v>
      </c>
      <c r="I3454">
        <v>6959974</v>
      </c>
      <c r="J3454" s="12">
        <v>46130</v>
      </c>
      <c r="K3454" s="12">
        <v>46130</v>
      </c>
      <c r="L3454" s="12">
        <v>46130</v>
      </c>
      <c r="M3454">
        <v>2</v>
      </c>
      <c r="N3454">
        <v>-1567063</v>
      </c>
      <c r="O3454">
        <v>-1567063</v>
      </c>
      <c r="P3454">
        <v>0</v>
      </c>
      <c r="Q3454">
        <v>-1567063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 t="s">
        <v>47</v>
      </c>
      <c r="AA3454" t="s">
        <v>501</v>
      </c>
      <c r="AB3454" t="s">
        <v>51</v>
      </c>
      <c r="AC3454" t="s">
        <v>51</v>
      </c>
      <c r="AD3454" t="s">
        <v>51</v>
      </c>
      <c r="AE3454" t="s">
        <v>51</v>
      </c>
      <c r="AF3454" t="s">
        <v>2561</v>
      </c>
    </row>
    <row r="3455" spans="1:32" ht="14.5" customHeight="1" x14ac:dyDescent="0.35">
      <c r="A3455" t="s">
        <v>531</v>
      </c>
      <c r="B3455" t="s">
        <v>2396</v>
      </c>
      <c r="C3455" t="s">
        <v>47</v>
      </c>
      <c r="D3455">
        <v>3100769</v>
      </c>
      <c r="E3455">
        <v>3000876</v>
      </c>
      <c r="F3455" t="s">
        <v>2397</v>
      </c>
      <c r="G3455" t="s">
        <v>2397</v>
      </c>
      <c r="H3455" t="s">
        <v>54</v>
      </c>
      <c r="I3455">
        <v>6959985</v>
      </c>
      <c r="J3455" s="12">
        <v>46130</v>
      </c>
      <c r="K3455" s="12">
        <v>46130</v>
      </c>
      <c r="L3455" s="12">
        <v>46130</v>
      </c>
      <c r="M3455">
        <v>2</v>
      </c>
      <c r="N3455">
        <v>-567754</v>
      </c>
      <c r="O3455">
        <v>-567754</v>
      </c>
      <c r="P3455">
        <v>0</v>
      </c>
      <c r="Q3455">
        <v>-567754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 t="s">
        <v>47</v>
      </c>
      <c r="AA3455" t="s">
        <v>501</v>
      </c>
      <c r="AB3455" t="s">
        <v>51</v>
      </c>
      <c r="AC3455" t="s">
        <v>51</v>
      </c>
      <c r="AD3455" t="s">
        <v>51</v>
      </c>
      <c r="AE3455" t="s">
        <v>51</v>
      </c>
      <c r="AF3455" t="s">
        <v>2562</v>
      </c>
    </row>
    <row r="3456" spans="1:32" ht="14.5" customHeight="1" x14ac:dyDescent="0.35">
      <c r="A3456" t="s">
        <v>531</v>
      </c>
      <c r="B3456" t="s">
        <v>2396</v>
      </c>
      <c r="C3456" t="s">
        <v>47</v>
      </c>
      <c r="D3456">
        <v>3100769</v>
      </c>
      <c r="E3456">
        <v>3000876</v>
      </c>
      <c r="F3456" t="s">
        <v>2397</v>
      </c>
      <c r="G3456" t="s">
        <v>2397</v>
      </c>
      <c r="H3456" t="s">
        <v>54</v>
      </c>
      <c r="I3456">
        <v>6959986</v>
      </c>
      <c r="J3456" s="12">
        <v>46130</v>
      </c>
      <c r="K3456" s="12">
        <v>46130</v>
      </c>
      <c r="L3456" s="12">
        <v>46130</v>
      </c>
      <c r="M3456">
        <v>2</v>
      </c>
      <c r="N3456">
        <v>-281373</v>
      </c>
      <c r="O3456">
        <v>-281373</v>
      </c>
      <c r="P3456">
        <v>0</v>
      </c>
      <c r="Q3456">
        <v>-281373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 t="s">
        <v>47</v>
      </c>
      <c r="AA3456" t="s">
        <v>501</v>
      </c>
      <c r="AB3456" t="s">
        <v>51</v>
      </c>
      <c r="AC3456" t="s">
        <v>51</v>
      </c>
      <c r="AD3456" t="s">
        <v>51</v>
      </c>
      <c r="AE3456" t="s">
        <v>51</v>
      </c>
      <c r="AF3456" t="s">
        <v>2563</v>
      </c>
    </row>
    <row r="3457" spans="1:32" ht="14.5" customHeight="1" x14ac:dyDescent="0.35">
      <c r="A3457" t="s">
        <v>531</v>
      </c>
      <c r="B3457" t="s">
        <v>2396</v>
      </c>
      <c r="C3457" t="s">
        <v>47</v>
      </c>
      <c r="D3457">
        <v>3100769</v>
      </c>
      <c r="E3457">
        <v>3000876</v>
      </c>
      <c r="F3457" t="s">
        <v>2397</v>
      </c>
      <c r="G3457" t="s">
        <v>2397</v>
      </c>
      <c r="H3457" t="s">
        <v>54</v>
      </c>
      <c r="I3457">
        <v>6959987</v>
      </c>
      <c r="J3457" s="12">
        <v>46130</v>
      </c>
      <c r="K3457" s="12">
        <v>46130</v>
      </c>
      <c r="L3457" s="12">
        <v>46130</v>
      </c>
      <c r="M3457">
        <v>2</v>
      </c>
      <c r="N3457">
        <v>-192331</v>
      </c>
      <c r="O3457">
        <v>-192331</v>
      </c>
      <c r="P3457">
        <v>0</v>
      </c>
      <c r="Q3457">
        <v>-192331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 t="s">
        <v>47</v>
      </c>
      <c r="AA3457" t="s">
        <v>501</v>
      </c>
      <c r="AB3457" t="s">
        <v>51</v>
      </c>
      <c r="AC3457" t="s">
        <v>51</v>
      </c>
      <c r="AD3457" t="s">
        <v>51</v>
      </c>
      <c r="AE3457" t="s">
        <v>51</v>
      </c>
      <c r="AF3457" t="s">
        <v>2560</v>
      </c>
    </row>
    <row r="3458" spans="1:32" ht="14.5" customHeight="1" x14ac:dyDescent="0.35">
      <c r="A3458" t="s">
        <v>531</v>
      </c>
      <c r="B3458" t="s">
        <v>2396</v>
      </c>
      <c r="C3458" t="s">
        <v>47</v>
      </c>
      <c r="D3458">
        <v>3100769</v>
      </c>
      <c r="E3458">
        <v>3000878</v>
      </c>
      <c r="F3458" t="s">
        <v>2397</v>
      </c>
      <c r="G3458" t="s">
        <v>2397</v>
      </c>
      <c r="H3458" t="s">
        <v>54</v>
      </c>
      <c r="I3458">
        <v>6959988</v>
      </c>
      <c r="J3458" s="12">
        <v>46130</v>
      </c>
      <c r="K3458" s="12">
        <v>46130</v>
      </c>
      <c r="L3458" s="12">
        <v>46130</v>
      </c>
      <c r="M3458">
        <v>2</v>
      </c>
      <c r="N3458">
        <v>-1389203</v>
      </c>
      <c r="O3458">
        <v>-1389203</v>
      </c>
      <c r="P3458">
        <v>0</v>
      </c>
      <c r="Q3458">
        <v>-1389203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 t="s">
        <v>47</v>
      </c>
      <c r="AA3458" t="s">
        <v>501</v>
      </c>
      <c r="AB3458" t="s">
        <v>51</v>
      </c>
      <c r="AC3458" t="s">
        <v>51</v>
      </c>
      <c r="AD3458" t="s">
        <v>51</v>
      </c>
      <c r="AE3458" t="s">
        <v>51</v>
      </c>
      <c r="AF3458" t="s">
        <v>2564</v>
      </c>
    </row>
    <row r="3459" spans="1:32" ht="14.5" customHeight="1" x14ac:dyDescent="0.35">
      <c r="A3459" t="s">
        <v>531</v>
      </c>
      <c r="B3459" t="s">
        <v>2396</v>
      </c>
      <c r="C3459" t="s">
        <v>47</v>
      </c>
      <c r="D3459">
        <v>3100769</v>
      </c>
      <c r="E3459">
        <v>3000878</v>
      </c>
      <c r="F3459" t="s">
        <v>2397</v>
      </c>
      <c r="G3459" t="s">
        <v>2397</v>
      </c>
      <c r="H3459" t="s">
        <v>54</v>
      </c>
      <c r="I3459">
        <v>6959989</v>
      </c>
      <c r="J3459" s="12">
        <v>46130</v>
      </c>
      <c r="K3459" s="12">
        <v>46130</v>
      </c>
      <c r="L3459" s="12">
        <v>46130</v>
      </c>
      <c r="M3459">
        <v>2</v>
      </c>
      <c r="N3459">
        <v>-1124456</v>
      </c>
      <c r="O3459">
        <v>-1124456</v>
      </c>
      <c r="P3459">
        <v>0</v>
      </c>
      <c r="Q3459">
        <v>-1124456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 t="s">
        <v>47</v>
      </c>
      <c r="AA3459" t="s">
        <v>501</v>
      </c>
      <c r="AB3459" t="s">
        <v>51</v>
      </c>
      <c r="AC3459" t="s">
        <v>51</v>
      </c>
      <c r="AD3459" t="s">
        <v>51</v>
      </c>
      <c r="AE3459" t="s">
        <v>51</v>
      </c>
      <c r="AF3459" t="s">
        <v>2565</v>
      </c>
    </row>
    <row r="3460" spans="1:32" ht="14.5" customHeight="1" x14ac:dyDescent="0.35">
      <c r="A3460" t="s">
        <v>531</v>
      </c>
      <c r="B3460" t="s">
        <v>2396</v>
      </c>
      <c r="C3460" t="s">
        <v>47</v>
      </c>
      <c r="D3460">
        <v>3100769</v>
      </c>
      <c r="E3460">
        <v>3000878</v>
      </c>
      <c r="F3460" t="s">
        <v>2397</v>
      </c>
      <c r="G3460" t="s">
        <v>2397</v>
      </c>
      <c r="H3460" t="s">
        <v>54</v>
      </c>
      <c r="I3460">
        <v>6959990</v>
      </c>
      <c r="J3460" s="12">
        <v>46130</v>
      </c>
      <c r="K3460" s="12">
        <v>46130</v>
      </c>
      <c r="L3460" s="12">
        <v>46130</v>
      </c>
      <c r="M3460">
        <v>2</v>
      </c>
      <c r="N3460">
        <v>-868390</v>
      </c>
      <c r="O3460">
        <v>-868390</v>
      </c>
      <c r="P3460">
        <v>0</v>
      </c>
      <c r="Q3460">
        <v>-868390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 t="s">
        <v>47</v>
      </c>
      <c r="AA3460" t="s">
        <v>501</v>
      </c>
      <c r="AB3460" t="s">
        <v>51</v>
      </c>
      <c r="AC3460" t="s">
        <v>51</v>
      </c>
      <c r="AD3460" t="s">
        <v>51</v>
      </c>
      <c r="AE3460" t="s">
        <v>51</v>
      </c>
      <c r="AF3460" t="s">
        <v>2566</v>
      </c>
    </row>
    <row r="3461" spans="1:32" ht="14.5" customHeight="1" x14ac:dyDescent="0.35">
      <c r="A3461" t="s">
        <v>531</v>
      </c>
      <c r="B3461" t="s">
        <v>2396</v>
      </c>
      <c r="C3461" t="s">
        <v>47</v>
      </c>
      <c r="D3461">
        <v>3100769</v>
      </c>
      <c r="E3461">
        <v>3000878</v>
      </c>
      <c r="F3461" t="s">
        <v>2397</v>
      </c>
      <c r="G3461" t="s">
        <v>2397</v>
      </c>
      <c r="H3461" t="s">
        <v>54</v>
      </c>
      <c r="I3461">
        <v>6959991</v>
      </c>
      <c r="J3461" s="12">
        <v>46130</v>
      </c>
      <c r="K3461" s="12">
        <v>46130</v>
      </c>
      <c r="L3461" s="12">
        <v>46130</v>
      </c>
      <c r="M3461">
        <v>2</v>
      </c>
      <c r="N3461">
        <v>-530726</v>
      </c>
      <c r="O3461">
        <v>-530726</v>
      </c>
      <c r="P3461">
        <v>0</v>
      </c>
      <c r="Q3461">
        <v>-530726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 t="s">
        <v>47</v>
      </c>
      <c r="AA3461" t="s">
        <v>501</v>
      </c>
      <c r="AB3461" t="s">
        <v>51</v>
      </c>
      <c r="AC3461" t="s">
        <v>51</v>
      </c>
      <c r="AD3461" t="s">
        <v>51</v>
      </c>
      <c r="AE3461" t="s">
        <v>51</v>
      </c>
      <c r="AF3461" t="s">
        <v>2567</v>
      </c>
    </row>
    <row r="3462" spans="1:32" ht="14.5" customHeight="1" x14ac:dyDescent="0.35">
      <c r="A3462" t="s">
        <v>531</v>
      </c>
      <c r="B3462" t="s">
        <v>2396</v>
      </c>
      <c r="C3462" t="s">
        <v>47</v>
      </c>
      <c r="D3462">
        <v>3100769</v>
      </c>
      <c r="E3462">
        <v>3000878</v>
      </c>
      <c r="F3462" t="s">
        <v>2397</v>
      </c>
      <c r="G3462" t="s">
        <v>2397</v>
      </c>
      <c r="H3462" t="s">
        <v>54</v>
      </c>
      <c r="I3462">
        <v>6959992</v>
      </c>
      <c r="J3462" s="12">
        <v>46130</v>
      </c>
      <c r="K3462" s="12">
        <v>46130</v>
      </c>
      <c r="L3462" s="12">
        <v>46130</v>
      </c>
      <c r="M3462">
        <v>2</v>
      </c>
      <c r="N3462">
        <v>-518976</v>
      </c>
      <c r="O3462">
        <v>-518976</v>
      </c>
      <c r="P3462">
        <v>0</v>
      </c>
      <c r="Q3462">
        <v>-518976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 t="s">
        <v>47</v>
      </c>
      <c r="AA3462" t="s">
        <v>501</v>
      </c>
      <c r="AB3462" t="s">
        <v>51</v>
      </c>
      <c r="AC3462" t="s">
        <v>51</v>
      </c>
      <c r="AD3462" t="s">
        <v>51</v>
      </c>
      <c r="AE3462" t="s">
        <v>51</v>
      </c>
      <c r="AF3462" t="s">
        <v>2564</v>
      </c>
    </row>
    <row r="3463" spans="1:32" ht="14.5" customHeight="1" x14ac:dyDescent="0.35">
      <c r="A3463" t="s">
        <v>531</v>
      </c>
      <c r="B3463" t="s">
        <v>2396</v>
      </c>
      <c r="C3463" t="s">
        <v>47</v>
      </c>
      <c r="D3463">
        <v>3100769</v>
      </c>
      <c r="E3463">
        <v>3000878</v>
      </c>
      <c r="F3463" t="s">
        <v>2397</v>
      </c>
      <c r="G3463" t="s">
        <v>2397</v>
      </c>
      <c r="H3463" t="s">
        <v>54</v>
      </c>
      <c r="I3463">
        <v>6959993</v>
      </c>
      <c r="J3463" s="12">
        <v>46130</v>
      </c>
      <c r="K3463" s="12">
        <v>46130</v>
      </c>
      <c r="L3463" s="12">
        <v>46130</v>
      </c>
      <c r="M3463">
        <v>2</v>
      </c>
      <c r="N3463">
        <v>-676627</v>
      </c>
      <c r="O3463">
        <v>-676627</v>
      </c>
      <c r="P3463">
        <v>0</v>
      </c>
      <c r="Q3463">
        <v>-676627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 t="s">
        <v>47</v>
      </c>
      <c r="AA3463" t="s">
        <v>501</v>
      </c>
      <c r="AB3463" t="s">
        <v>51</v>
      </c>
      <c r="AC3463" t="s">
        <v>51</v>
      </c>
      <c r="AD3463" t="s">
        <v>51</v>
      </c>
      <c r="AE3463" t="s">
        <v>51</v>
      </c>
      <c r="AF3463" t="s">
        <v>2435</v>
      </c>
    </row>
    <row r="3464" spans="1:32" ht="14.5" customHeight="1" x14ac:dyDescent="0.35">
      <c r="A3464" t="s">
        <v>531</v>
      </c>
      <c r="B3464" t="s">
        <v>2396</v>
      </c>
      <c r="C3464" t="s">
        <v>47</v>
      </c>
      <c r="D3464">
        <v>3100769</v>
      </c>
      <c r="E3464">
        <v>3000878</v>
      </c>
      <c r="F3464" t="s">
        <v>2397</v>
      </c>
      <c r="G3464" t="s">
        <v>2397</v>
      </c>
      <c r="H3464" t="s">
        <v>54</v>
      </c>
      <c r="I3464">
        <v>6959994</v>
      </c>
      <c r="J3464" s="12">
        <v>46130</v>
      </c>
      <c r="K3464" s="12">
        <v>46130</v>
      </c>
      <c r="L3464" s="12">
        <v>46130</v>
      </c>
      <c r="M3464">
        <v>2</v>
      </c>
      <c r="N3464">
        <v>-314617</v>
      </c>
      <c r="O3464">
        <v>-314617</v>
      </c>
      <c r="P3464">
        <v>0</v>
      </c>
      <c r="Q3464">
        <v>-314617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 t="s">
        <v>47</v>
      </c>
      <c r="AA3464" t="s">
        <v>501</v>
      </c>
      <c r="AB3464" t="s">
        <v>51</v>
      </c>
      <c r="AC3464" t="s">
        <v>51</v>
      </c>
      <c r="AD3464" t="s">
        <v>51</v>
      </c>
      <c r="AE3464" t="s">
        <v>51</v>
      </c>
      <c r="AF3464" t="s">
        <v>2568</v>
      </c>
    </row>
    <row r="3465" spans="1:32" ht="14.5" customHeight="1" x14ac:dyDescent="0.35">
      <c r="A3465" t="s">
        <v>531</v>
      </c>
      <c r="B3465" t="s">
        <v>2396</v>
      </c>
      <c r="C3465" t="s">
        <v>47</v>
      </c>
      <c r="D3465">
        <v>3100769</v>
      </c>
      <c r="E3465">
        <v>3000878</v>
      </c>
      <c r="F3465" t="s">
        <v>2397</v>
      </c>
      <c r="G3465" t="s">
        <v>2397</v>
      </c>
      <c r="H3465" t="s">
        <v>54</v>
      </c>
      <c r="I3465">
        <v>6959995</v>
      </c>
      <c r="J3465" s="12">
        <v>46130</v>
      </c>
      <c r="K3465" s="12">
        <v>46130</v>
      </c>
      <c r="L3465" s="12">
        <v>46130</v>
      </c>
      <c r="M3465">
        <v>2</v>
      </c>
      <c r="N3465">
        <v>-334225</v>
      </c>
      <c r="O3465">
        <v>-334225</v>
      </c>
      <c r="P3465">
        <v>0</v>
      </c>
      <c r="Q3465">
        <v>-334225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 t="s">
        <v>47</v>
      </c>
      <c r="AA3465" t="s">
        <v>501</v>
      </c>
      <c r="AB3465" t="s">
        <v>51</v>
      </c>
      <c r="AC3465" t="s">
        <v>51</v>
      </c>
      <c r="AD3465" t="s">
        <v>51</v>
      </c>
      <c r="AE3465" t="s">
        <v>51</v>
      </c>
      <c r="AF3465" t="s">
        <v>2565</v>
      </c>
    </row>
    <row r="3466" spans="1:32" ht="14.5" customHeight="1" x14ac:dyDescent="0.35">
      <c r="A3466" t="s">
        <v>531</v>
      </c>
      <c r="B3466" t="s">
        <v>2396</v>
      </c>
      <c r="C3466" t="s">
        <v>47</v>
      </c>
      <c r="D3466">
        <v>3100769</v>
      </c>
      <c r="E3466">
        <v>3000878</v>
      </c>
      <c r="F3466" t="s">
        <v>2397</v>
      </c>
      <c r="G3466" t="s">
        <v>2397</v>
      </c>
      <c r="H3466" t="s">
        <v>54</v>
      </c>
      <c r="I3466">
        <v>6959996</v>
      </c>
      <c r="J3466" s="12">
        <v>46130</v>
      </c>
      <c r="K3466" s="12">
        <v>46130</v>
      </c>
      <c r="L3466" s="12">
        <v>46130</v>
      </c>
      <c r="M3466">
        <v>2</v>
      </c>
      <c r="N3466">
        <v>-260391</v>
      </c>
      <c r="O3466">
        <v>-260391</v>
      </c>
      <c r="P3466">
        <v>0</v>
      </c>
      <c r="Q3466">
        <v>-260391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 t="s">
        <v>47</v>
      </c>
      <c r="AA3466" t="s">
        <v>501</v>
      </c>
      <c r="AB3466" t="s">
        <v>51</v>
      </c>
      <c r="AC3466" t="s">
        <v>51</v>
      </c>
      <c r="AD3466" t="s">
        <v>51</v>
      </c>
      <c r="AE3466" t="s">
        <v>51</v>
      </c>
      <c r="AF3466" t="s">
        <v>2569</v>
      </c>
    </row>
    <row r="3467" spans="1:32" ht="14.5" customHeight="1" x14ac:dyDescent="0.35">
      <c r="A3467" t="s">
        <v>531</v>
      </c>
      <c r="B3467" t="s">
        <v>2396</v>
      </c>
      <c r="C3467" t="s">
        <v>47</v>
      </c>
      <c r="D3467">
        <v>3100769</v>
      </c>
      <c r="E3467">
        <v>3000878</v>
      </c>
      <c r="F3467" t="s">
        <v>2397</v>
      </c>
      <c r="G3467" t="s">
        <v>2397</v>
      </c>
      <c r="H3467" t="s">
        <v>54</v>
      </c>
      <c r="I3467">
        <v>6959997</v>
      </c>
      <c r="J3467" s="12">
        <v>46130</v>
      </c>
      <c r="K3467" s="12">
        <v>46130</v>
      </c>
      <c r="L3467" s="12">
        <v>46130</v>
      </c>
      <c r="M3467">
        <v>2</v>
      </c>
      <c r="N3467">
        <v>-206947</v>
      </c>
      <c r="O3467">
        <v>-206947</v>
      </c>
      <c r="P3467">
        <v>0</v>
      </c>
      <c r="Q3467">
        <v>-206947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 t="s">
        <v>47</v>
      </c>
      <c r="AA3467" t="s">
        <v>501</v>
      </c>
      <c r="AB3467" t="s">
        <v>51</v>
      </c>
      <c r="AC3467" t="s">
        <v>51</v>
      </c>
      <c r="AD3467" t="s">
        <v>51</v>
      </c>
      <c r="AE3467" t="s">
        <v>51</v>
      </c>
      <c r="AF3467" t="s">
        <v>2569</v>
      </c>
    </row>
    <row r="3468" spans="1:32" ht="14.5" customHeight="1" x14ac:dyDescent="0.35">
      <c r="A3468" t="s">
        <v>531</v>
      </c>
      <c r="B3468" t="s">
        <v>2396</v>
      </c>
      <c r="C3468" t="s">
        <v>47</v>
      </c>
      <c r="D3468">
        <v>3100769</v>
      </c>
      <c r="E3468">
        <v>3000878</v>
      </c>
      <c r="F3468" t="s">
        <v>2397</v>
      </c>
      <c r="G3468" t="s">
        <v>2397</v>
      </c>
      <c r="H3468" t="s">
        <v>54</v>
      </c>
      <c r="I3468">
        <v>6959998</v>
      </c>
      <c r="J3468" s="12">
        <v>46130</v>
      </c>
      <c r="K3468" s="12">
        <v>46130</v>
      </c>
      <c r="L3468" s="12">
        <v>46130</v>
      </c>
      <c r="M3468">
        <v>2</v>
      </c>
      <c r="N3468">
        <v>-179805</v>
      </c>
      <c r="O3468">
        <v>-179805</v>
      </c>
      <c r="P3468">
        <v>0</v>
      </c>
      <c r="Q3468">
        <v>-179805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 t="s">
        <v>47</v>
      </c>
      <c r="AA3468" t="s">
        <v>501</v>
      </c>
      <c r="AB3468" t="s">
        <v>51</v>
      </c>
      <c r="AC3468" t="s">
        <v>51</v>
      </c>
      <c r="AD3468" t="s">
        <v>51</v>
      </c>
      <c r="AE3468" t="s">
        <v>51</v>
      </c>
      <c r="AF3468" t="s">
        <v>2569</v>
      </c>
    </row>
    <row r="3469" spans="1:32" ht="14.5" customHeight="1" x14ac:dyDescent="0.35">
      <c r="A3469" t="s">
        <v>531</v>
      </c>
      <c r="B3469" t="s">
        <v>2396</v>
      </c>
      <c r="C3469" t="s">
        <v>47</v>
      </c>
      <c r="D3469">
        <v>3100769</v>
      </c>
      <c r="E3469">
        <v>3000878</v>
      </c>
      <c r="F3469" t="s">
        <v>2397</v>
      </c>
      <c r="G3469" t="s">
        <v>2397</v>
      </c>
      <c r="H3469" t="s">
        <v>54</v>
      </c>
      <c r="I3469">
        <v>6959999</v>
      </c>
      <c r="J3469" s="12">
        <v>46130</v>
      </c>
      <c r="K3469" s="12">
        <v>46130</v>
      </c>
      <c r="L3469" s="12">
        <v>46130</v>
      </c>
      <c r="M3469">
        <v>2</v>
      </c>
      <c r="N3469">
        <v>-647142</v>
      </c>
      <c r="O3469">
        <v>-647142</v>
      </c>
      <c r="P3469">
        <v>0</v>
      </c>
      <c r="Q3469">
        <v>-647142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 t="s">
        <v>47</v>
      </c>
      <c r="AA3469" t="s">
        <v>501</v>
      </c>
      <c r="AB3469" t="s">
        <v>51</v>
      </c>
      <c r="AC3469" t="s">
        <v>51</v>
      </c>
      <c r="AD3469" t="s">
        <v>51</v>
      </c>
      <c r="AE3469" t="s">
        <v>51</v>
      </c>
      <c r="AF3469" t="s">
        <v>2569</v>
      </c>
    </row>
    <row r="3470" spans="1:32" ht="14.5" customHeight="1" x14ac:dyDescent="0.35">
      <c r="A3470" t="s">
        <v>531</v>
      </c>
      <c r="B3470" t="s">
        <v>2396</v>
      </c>
      <c r="C3470" t="s">
        <v>47</v>
      </c>
      <c r="D3470">
        <v>3100769</v>
      </c>
      <c r="E3470">
        <v>3000878</v>
      </c>
      <c r="F3470" t="s">
        <v>2397</v>
      </c>
      <c r="G3470" t="s">
        <v>2397</v>
      </c>
      <c r="H3470" t="s">
        <v>54</v>
      </c>
      <c r="I3470">
        <v>6960000</v>
      </c>
      <c r="J3470" s="12">
        <v>46130</v>
      </c>
      <c r="K3470" s="12">
        <v>46130</v>
      </c>
      <c r="L3470" s="12">
        <v>46130</v>
      </c>
      <c r="M3470">
        <v>2</v>
      </c>
      <c r="N3470">
        <v>-280500</v>
      </c>
      <c r="O3470">
        <v>-280500</v>
      </c>
      <c r="P3470">
        <v>0</v>
      </c>
      <c r="Q3470">
        <v>-280500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 t="s">
        <v>47</v>
      </c>
      <c r="AA3470" t="s">
        <v>501</v>
      </c>
      <c r="AB3470" t="s">
        <v>51</v>
      </c>
      <c r="AC3470" t="s">
        <v>51</v>
      </c>
      <c r="AD3470" t="s">
        <v>51</v>
      </c>
      <c r="AE3470" t="s">
        <v>51</v>
      </c>
      <c r="AF3470" t="s">
        <v>2444</v>
      </c>
    </row>
    <row r="3471" spans="1:32" ht="14.5" customHeight="1" x14ac:dyDescent="0.35">
      <c r="A3471" t="s">
        <v>531</v>
      </c>
      <c r="B3471" t="s">
        <v>2396</v>
      </c>
      <c r="C3471" t="s">
        <v>47</v>
      </c>
      <c r="D3471">
        <v>3100769</v>
      </c>
      <c r="E3471">
        <v>3000878</v>
      </c>
      <c r="F3471" t="s">
        <v>2397</v>
      </c>
      <c r="G3471" t="s">
        <v>2397</v>
      </c>
      <c r="H3471" t="s">
        <v>54</v>
      </c>
      <c r="I3471">
        <v>6960001</v>
      </c>
      <c r="J3471" s="12">
        <v>46130</v>
      </c>
      <c r="K3471" s="12">
        <v>46130</v>
      </c>
      <c r="L3471" s="12">
        <v>46130</v>
      </c>
      <c r="M3471">
        <v>2</v>
      </c>
      <c r="N3471">
        <v>-5183661</v>
      </c>
      <c r="O3471">
        <v>-5183661</v>
      </c>
      <c r="P3471">
        <v>0</v>
      </c>
      <c r="Q3471">
        <v>-5183661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 t="s">
        <v>47</v>
      </c>
      <c r="AA3471" t="s">
        <v>501</v>
      </c>
      <c r="AB3471" t="s">
        <v>51</v>
      </c>
      <c r="AC3471" t="s">
        <v>51</v>
      </c>
      <c r="AD3471" t="s">
        <v>51</v>
      </c>
      <c r="AE3471" t="s">
        <v>51</v>
      </c>
      <c r="AF3471" t="s">
        <v>2570</v>
      </c>
    </row>
    <row r="3472" spans="1:32" ht="14.5" customHeight="1" x14ac:dyDescent="0.35">
      <c r="A3472" t="s">
        <v>531</v>
      </c>
      <c r="B3472" t="s">
        <v>2396</v>
      </c>
      <c r="C3472" t="s">
        <v>47</v>
      </c>
      <c r="D3472">
        <v>3100769</v>
      </c>
      <c r="E3472">
        <v>3000878</v>
      </c>
      <c r="F3472" t="s">
        <v>2397</v>
      </c>
      <c r="G3472" t="s">
        <v>2397</v>
      </c>
      <c r="H3472" t="s">
        <v>54</v>
      </c>
      <c r="I3472">
        <v>6960002</v>
      </c>
      <c r="J3472" s="12">
        <v>46130</v>
      </c>
      <c r="K3472" s="12">
        <v>46130</v>
      </c>
      <c r="L3472" s="12">
        <v>46130</v>
      </c>
      <c r="M3472">
        <v>2</v>
      </c>
      <c r="N3472">
        <v>-233750</v>
      </c>
      <c r="O3472">
        <v>-233750</v>
      </c>
      <c r="P3472">
        <v>0</v>
      </c>
      <c r="Q3472">
        <v>-233750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 t="s">
        <v>47</v>
      </c>
      <c r="AA3472" t="s">
        <v>501</v>
      </c>
      <c r="AB3472" t="s">
        <v>51</v>
      </c>
      <c r="AC3472" t="s">
        <v>51</v>
      </c>
      <c r="AD3472" t="s">
        <v>51</v>
      </c>
      <c r="AE3472" t="s">
        <v>51</v>
      </c>
      <c r="AF3472" t="s">
        <v>2571</v>
      </c>
    </row>
    <row r="3473" spans="1:32" ht="14.5" customHeight="1" x14ac:dyDescent="0.35">
      <c r="A3473" t="s">
        <v>531</v>
      </c>
      <c r="B3473" t="s">
        <v>2396</v>
      </c>
      <c r="C3473" t="s">
        <v>47</v>
      </c>
      <c r="D3473">
        <v>3100769</v>
      </c>
      <c r="E3473">
        <v>3000878</v>
      </c>
      <c r="F3473" t="s">
        <v>2397</v>
      </c>
      <c r="G3473" t="s">
        <v>2397</v>
      </c>
      <c r="H3473" t="s">
        <v>54</v>
      </c>
      <c r="I3473">
        <v>6960003</v>
      </c>
      <c r="J3473" s="12">
        <v>46130</v>
      </c>
      <c r="K3473" s="12">
        <v>46130</v>
      </c>
      <c r="L3473" s="12">
        <v>46130</v>
      </c>
      <c r="M3473">
        <v>2</v>
      </c>
      <c r="N3473">
        <v>-946898</v>
      </c>
      <c r="O3473">
        <v>-946898</v>
      </c>
      <c r="P3473">
        <v>0</v>
      </c>
      <c r="Q3473">
        <v>-946898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 t="s">
        <v>47</v>
      </c>
      <c r="AA3473" t="s">
        <v>501</v>
      </c>
      <c r="AB3473" t="s">
        <v>51</v>
      </c>
      <c r="AC3473" t="s">
        <v>51</v>
      </c>
      <c r="AD3473" t="s">
        <v>51</v>
      </c>
      <c r="AE3473" t="s">
        <v>51</v>
      </c>
      <c r="AF3473" t="s">
        <v>2572</v>
      </c>
    </row>
    <row r="3474" spans="1:32" ht="14.5" customHeight="1" x14ac:dyDescent="0.35">
      <c r="A3474" t="s">
        <v>531</v>
      </c>
      <c r="B3474" t="s">
        <v>2396</v>
      </c>
      <c r="C3474" t="s">
        <v>47</v>
      </c>
      <c r="D3474">
        <v>3100769</v>
      </c>
      <c r="E3474">
        <v>3000878</v>
      </c>
      <c r="F3474" t="s">
        <v>2397</v>
      </c>
      <c r="G3474" t="s">
        <v>2397</v>
      </c>
      <c r="H3474" t="s">
        <v>54</v>
      </c>
      <c r="I3474">
        <v>6960004</v>
      </c>
      <c r="J3474" s="12">
        <v>46130</v>
      </c>
      <c r="K3474" s="12">
        <v>46130</v>
      </c>
      <c r="L3474" s="12">
        <v>46130</v>
      </c>
      <c r="M3474">
        <v>2</v>
      </c>
      <c r="N3474">
        <v>-442598</v>
      </c>
      <c r="O3474">
        <v>-442598</v>
      </c>
      <c r="P3474">
        <v>0</v>
      </c>
      <c r="Q3474">
        <v>-442598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 t="s">
        <v>47</v>
      </c>
      <c r="AA3474" t="s">
        <v>501</v>
      </c>
      <c r="AB3474" t="s">
        <v>51</v>
      </c>
      <c r="AC3474" t="s">
        <v>51</v>
      </c>
      <c r="AD3474" t="s">
        <v>51</v>
      </c>
      <c r="AE3474" t="s">
        <v>51</v>
      </c>
      <c r="AF3474" t="s">
        <v>2572</v>
      </c>
    </row>
    <row r="3475" spans="1:32" ht="14.5" customHeight="1" x14ac:dyDescent="0.35">
      <c r="A3475" t="s">
        <v>531</v>
      </c>
      <c r="B3475" t="s">
        <v>2396</v>
      </c>
      <c r="C3475" t="s">
        <v>47</v>
      </c>
      <c r="D3475">
        <v>3100769</v>
      </c>
      <c r="E3475">
        <v>3000876</v>
      </c>
      <c r="F3475" t="s">
        <v>2397</v>
      </c>
      <c r="G3475" t="s">
        <v>2397</v>
      </c>
      <c r="H3475" t="s">
        <v>54</v>
      </c>
      <c r="I3475">
        <v>6960074</v>
      </c>
      <c r="J3475" s="12">
        <v>46130</v>
      </c>
      <c r="K3475" s="12">
        <v>46130</v>
      </c>
      <c r="L3475" s="12">
        <v>46130</v>
      </c>
      <c r="M3475">
        <v>2</v>
      </c>
      <c r="N3475">
        <v>-558829</v>
      </c>
      <c r="O3475">
        <v>-558829</v>
      </c>
      <c r="P3475">
        <v>0</v>
      </c>
      <c r="Q3475">
        <v>-558829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 t="s">
        <v>47</v>
      </c>
      <c r="AA3475" t="s">
        <v>501</v>
      </c>
      <c r="AB3475" t="s">
        <v>51</v>
      </c>
      <c r="AC3475" t="s">
        <v>51</v>
      </c>
      <c r="AD3475" t="s">
        <v>51</v>
      </c>
      <c r="AE3475" t="s">
        <v>51</v>
      </c>
      <c r="AF3475" t="s">
        <v>2471</v>
      </c>
    </row>
    <row r="3476" spans="1:32" ht="14.5" customHeight="1" x14ac:dyDescent="0.35">
      <c r="A3476" t="s">
        <v>1593</v>
      </c>
      <c r="B3476" t="s">
        <v>606</v>
      </c>
      <c r="C3476" t="s">
        <v>47</v>
      </c>
      <c r="D3476">
        <v>3100769</v>
      </c>
      <c r="E3476">
        <v>3100979</v>
      </c>
      <c r="F3476" t="s">
        <v>2397</v>
      </c>
      <c r="G3476" t="s">
        <v>2489</v>
      </c>
      <c r="H3476" t="s">
        <v>54</v>
      </c>
      <c r="I3476">
        <v>9909001</v>
      </c>
      <c r="J3476" s="12">
        <v>46079</v>
      </c>
      <c r="K3476" s="12">
        <v>46079</v>
      </c>
      <c r="L3476" s="12">
        <v>46117</v>
      </c>
      <c r="M3476">
        <v>15</v>
      </c>
      <c r="N3476">
        <v>782014623</v>
      </c>
      <c r="O3476">
        <v>0</v>
      </c>
      <c r="P3476">
        <v>0</v>
      </c>
      <c r="Q3476">
        <v>782014623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 t="s">
        <v>47</v>
      </c>
      <c r="AA3476" t="s">
        <v>501</v>
      </c>
      <c r="AB3476" t="s">
        <v>51</v>
      </c>
      <c r="AC3476" t="s">
        <v>51</v>
      </c>
      <c r="AD3476" t="s">
        <v>51</v>
      </c>
      <c r="AE3476" t="s">
        <v>51</v>
      </c>
      <c r="AF3476" t="s">
        <v>285</v>
      </c>
    </row>
    <row r="3477" spans="1:32" ht="14.5" customHeight="1" x14ac:dyDescent="0.35">
      <c r="A3477" t="s">
        <v>531</v>
      </c>
      <c r="B3477" t="s">
        <v>2396</v>
      </c>
      <c r="C3477" t="s">
        <v>47</v>
      </c>
      <c r="D3477">
        <v>3100769</v>
      </c>
      <c r="E3477">
        <v>3000876</v>
      </c>
      <c r="F3477" t="s">
        <v>2397</v>
      </c>
      <c r="G3477" t="s">
        <v>2397</v>
      </c>
      <c r="H3477" t="s">
        <v>54</v>
      </c>
      <c r="I3477">
        <v>9914395</v>
      </c>
      <c r="J3477" s="12">
        <v>46094</v>
      </c>
      <c r="K3477" s="12">
        <v>46094</v>
      </c>
      <c r="L3477" s="12">
        <v>46132</v>
      </c>
      <c r="M3477">
        <v>0</v>
      </c>
      <c r="N3477">
        <v>752880060</v>
      </c>
      <c r="O3477">
        <v>0</v>
      </c>
      <c r="P3477">
        <v>752880060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 t="s">
        <v>47</v>
      </c>
      <c r="AA3477" t="s">
        <v>501</v>
      </c>
      <c r="AB3477" t="s">
        <v>2573</v>
      </c>
      <c r="AC3477" t="s">
        <v>51</v>
      </c>
      <c r="AD3477" t="s">
        <v>51</v>
      </c>
      <c r="AE3477" t="s">
        <v>51</v>
      </c>
      <c r="AF3477" t="s">
        <v>2376</v>
      </c>
    </row>
    <row r="3478" spans="1:32" ht="14.5" customHeight="1" x14ac:dyDescent="0.35">
      <c r="A3478" t="s">
        <v>531</v>
      </c>
      <c r="B3478" t="s">
        <v>2396</v>
      </c>
      <c r="C3478" t="s">
        <v>47</v>
      </c>
      <c r="D3478">
        <v>3100769</v>
      </c>
      <c r="E3478">
        <v>3000876</v>
      </c>
      <c r="F3478" t="s">
        <v>2397</v>
      </c>
      <c r="G3478" t="s">
        <v>2397</v>
      </c>
      <c r="H3478" t="s">
        <v>54</v>
      </c>
      <c r="I3478">
        <v>9914396</v>
      </c>
      <c r="J3478" s="12">
        <v>46094</v>
      </c>
      <c r="K3478" s="12">
        <v>46094</v>
      </c>
      <c r="L3478" s="12">
        <v>46132</v>
      </c>
      <c r="M3478">
        <v>0</v>
      </c>
      <c r="N3478">
        <v>881931499</v>
      </c>
      <c r="O3478">
        <v>0</v>
      </c>
      <c r="P3478">
        <v>881931499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 t="s">
        <v>47</v>
      </c>
      <c r="AA3478" t="s">
        <v>501</v>
      </c>
      <c r="AB3478" t="s">
        <v>2574</v>
      </c>
      <c r="AC3478" t="s">
        <v>51</v>
      </c>
      <c r="AD3478" t="s">
        <v>51</v>
      </c>
      <c r="AE3478" t="s">
        <v>51</v>
      </c>
      <c r="AF3478" t="s">
        <v>62</v>
      </c>
    </row>
    <row r="3479" spans="1:32" ht="14.5" customHeight="1" x14ac:dyDescent="0.35">
      <c r="A3479" t="s">
        <v>531</v>
      </c>
      <c r="B3479" t="s">
        <v>2396</v>
      </c>
      <c r="C3479" t="s">
        <v>47</v>
      </c>
      <c r="D3479">
        <v>3100769</v>
      </c>
      <c r="E3479">
        <v>3000876</v>
      </c>
      <c r="F3479" t="s">
        <v>2397</v>
      </c>
      <c r="G3479" t="s">
        <v>2397</v>
      </c>
      <c r="H3479" t="s">
        <v>54</v>
      </c>
      <c r="I3479">
        <v>9915617</v>
      </c>
      <c r="J3479" s="12">
        <v>46096</v>
      </c>
      <c r="K3479" s="12">
        <v>46096</v>
      </c>
      <c r="L3479" s="12">
        <v>46134</v>
      </c>
      <c r="M3479">
        <v>-2</v>
      </c>
      <c r="N3479">
        <v>898226701</v>
      </c>
      <c r="O3479">
        <v>0</v>
      </c>
      <c r="P3479">
        <v>898226701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 t="s">
        <v>47</v>
      </c>
      <c r="AA3479" t="s">
        <v>501</v>
      </c>
      <c r="AB3479" t="s">
        <v>51</v>
      </c>
      <c r="AC3479" t="s">
        <v>2575</v>
      </c>
      <c r="AD3479" t="s">
        <v>51</v>
      </c>
      <c r="AE3479" t="s">
        <v>51</v>
      </c>
      <c r="AF3479" t="s">
        <v>271</v>
      </c>
    </row>
    <row r="3480" spans="1:32" ht="14.5" customHeight="1" x14ac:dyDescent="0.35">
      <c r="A3480" t="s">
        <v>1593</v>
      </c>
      <c r="B3480" t="s">
        <v>606</v>
      </c>
      <c r="C3480" t="s">
        <v>47</v>
      </c>
      <c r="D3480">
        <v>3100769</v>
      </c>
      <c r="E3480">
        <v>3100979</v>
      </c>
      <c r="F3480" t="s">
        <v>2397</v>
      </c>
      <c r="G3480" t="s">
        <v>2489</v>
      </c>
      <c r="H3480" t="s">
        <v>54</v>
      </c>
      <c r="I3480">
        <v>9915619</v>
      </c>
      <c r="J3480" s="12">
        <v>46096</v>
      </c>
      <c r="K3480" s="12">
        <v>46096</v>
      </c>
      <c r="L3480" s="12">
        <v>46134</v>
      </c>
      <c r="M3480">
        <v>-2</v>
      </c>
      <c r="N3480">
        <v>702556567</v>
      </c>
      <c r="O3480">
        <v>0</v>
      </c>
      <c r="P3480">
        <v>702556567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 t="s">
        <v>47</v>
      </c>
      <c r="AA3480" t="s">
        <v>501</v>
      </c>
      <c r="AB3480" t="s">
        <v>51</v>
      </c>
      <c r="AC3480" t="s">
        <v>2576</v>
      </c>
      <c r="AD3480" t="s">
        <v>51</v>
      </c>
      <c r="AE3480" t="s">
        <v>51</v>
      </c>
      <c r="AF3480" t="s">
        <v>489</v>
      </c>
    </row>
    <row r="3481" spans="1:32" ht="14.5" customHeight="1" x14ac:dyDescent="0.35">
      <c r="A3481" t="s">
        <v>1593</v>
      </c>
      <c r="B3481" t="s">
        <v>606</v>
      </c>
      <c r="C3481" t="s">
        <v>47</v>
      </c>
      <c r="D3481">
        <v>3100769</v>
      </c>
      <c r="E3481">
        <v>3100979</v>
      </c>
      <c r="F3481" t="s">
        <v>2397</v>
      </c>
      <c r="G3481" t="s">
        <v>2489</v>
      </c>
      <c r="H3481" t="s">
        <v>54</v>
      </c>
      <c r="I3481">
        <v>9915622</v>
      </c>
      <c r="J3481" s="12">
        <v>46096</v>
      </c>
      <c r="K3481" s="12">
        <v>46096</v>
      </c>
      <c r="L3481" s="12">
        <v>46134</v>
      </c>
      <c r="M3481">
        <v>-2</v>
      </c>
      <c r="N3481">
        <v>809972703</v>
      </c>
      <c r="O3481">
        <v>0</v>
      </c>
      <c r="P3481">
        <v>809972703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 t="s">
        <v>47</v>
      </c>
      <c r="AA3481" t="s">
        <v>501</v>
      </c>
      <c r="AB3481" t="s">
        <v>51</v>
      </c>
      <c r="AC3481" t="s">
        <v>2577</v>
      </c>
      <c r="AD3481" t="s">
        <v>51</v>
      </c>
      <c r="AE3481" t="s">
        <v>51</v>
      </c>
      <c r="AF3481" t="s">
        <v>153</v>
      </c>
    </row>
    <row r="3482" spans="1:32" ht="14.5" customHeight="1" x14ac:dyDescent="0.35">
      <c r="A3482" t="s">
        <v>1593</v>
      </c>
      <c r="B3482" t="s">
        <v>606</v>
      </c>
      <c r="C3482" t="s">
        <v>47</v>
      </c>
      <c r="D3482">
        <v>3100769</v>
      </c>
      <c r="E3482">
        <v>3100979</v>
      </c>
      <c r="F3482" t="s">
        <v>2397</v>
      </c>
      <c r="G3482" t="s">
        <v>2489</v>
      </c>
      <c r="H3482" t="s">
        <v>54</v>
      </c>
      <c r="I3482">
        <v>9915625</v>
      </c>
      <c r="J3482" s="12">
        <v>46096</v>
      </c>
      <c r="K3482" s="12">
        <v>46096</v>
      </c>
      <c r="L3482" s="12">
        <v>46134</v>
      </c>
      <c r="M3482">
        <v>-2</v>
      </c>
      <c r="N3482">
        <v>813555477</v>
      </c>
      <c r="O3482">
        <v>0</v>
      </c>
      <c r="P3482">
        <v>813555477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 t="s">
        <v>47</v>
      </c>
      <c r="AA3482" t="s">
        <v>501</v>
      </c>
      <c r="AB3482" t="s">
        <v>51</v>
      </c>
      <c r="AC3482" t="s">
        <v>2578</v>
      </c>
      <c r="AD3482" t="s">
        <v>51</v>
      </c>
      <c r="AE3482" t="s">
        <v>51</v>
      </c>
      <c r="AF3482" t="s">
        <v>781</v>
      </c>
    </row>
    <row r="3483" spans="1:32" ht="14.5" customHeight="1" x14ac:dyDescent="0.35">
      <c r="A3483" t="s">
        <v>1593</v>
      </c>
      <c r="B3483" t="s">
        <v>606</v>
      </c>
      <c r="C3483" t="s">
        <v>47</v>
      </c>
      <c r="D3483">
        <v>3100769</v>
      </c>
      <c r="E3483">
        <v>3100979</v>
      </c>
      <c r="F3483" t="s">
        <v>2397</v>
      </c>
      <c r="G3483" t="s">
        <v>2489</v>
      </c>
      <c r="H3483" t="s">
        <v>54</v>
      </c>
      <c r="I3483">
        <v>9915627</v>
      </c>
      <c r="J3483" s="12">
        <v>46096</v>
      </c>
      <c r="K3483" s="12">
        <v>46096</v>
      </c>
      <c r="L3483" s="12">
        <v>46134</v>
      </c>
      <c r="M3483">
        <v>-2</v>
      </c>
      <c r="N3483">
        <v>851079022</v>
      </c>
      <c r="O3483">
        <v>0</v>
      </c>
      <c r="P3483">
        <v>851079022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 t="s">
        <v>47</v>
      </c>
      <c r="AA3483" t="s">
        <v>501</v>
      </c>
      <c r="AB3483" t="s">
        <v>51</v>
      </c>
      <c r="AC3483" t="s">
        <v>2579</v>
      </c>
      <c r="AD3483" t="s">
        <v>51</v>
      </c>
      <c r="AE3483" t="s">
        <v>51</v>
      </c>
      <c r="AF3483" t="s">
        <v>496</v>
      </c>
    </row>
    <row r="3484" spans="1:32" ht="14.5" customHeight="1" x14ac:dyDescent="0.35">
      <c r="A3484" t="s">
        <v>1593</v>
      </c>
      <c r="B3484" t="s">
        <v>606</v>
      </c>
      <c r="C3484" t="s">
        <v>47</v>
      </c>
      <c r="D3484">
        <v>3100769</v>
      </c>
      <c r="E3484">
        <v>3100979</v>
      </c>
      <c r="F3484" t="s">
        <v>2397</v>
      </c>
      <c r="G3484" t="s">
        <v>2489</v>
      </c>
      <c r="H3484" t="s">
        <v>54</v>
      </c>
      <c r="I3484">
        <v>9915629</v>
      </c>
      <c r="J3484" s="12">
        <v>46096</v>
      </c>
      <c r="K3484" s="12">
        <v>46096</v>
      </c>
      <c r="L3484" s="12">
        <v>46134</v>
      </c>
      <c r="M3484">
        <v>-2</v>
      </c>
      <c r="N3484">
        <v>771967713</v>
      </c>
      <c r="O3484">
        <v>0</v>
      </c>
      <c r="P3484">
        <v>771967713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 t="s">
        <v>47</v>
      </c>
      <c r="AA3484" t="s">
        <v>501</v>
      </c>
      <c r="AB3484" t="s">
        <v>51</v>
      </c>
      <c r="AC3484" t="s">
        <v>2580</v>
      </c>
      <c r="AD3484" t="s">
        <v>51</v>
      </c>
      <c r="AE3484" t="s">
        <v>51</v>
      </c>
      <c r="AF3484" t="s">
        <v>1809</v>
      </c>
    </row>
    <row r="3485" spans="1:32" ht="14.5" customHeight="1" x14ac:dyDescent="0.35">
      <c r="A3485" t="s">
        <v>531</v>
      </c>
      <c r="B3485" t="s">
        <v>2396</v>
      </c>
      <c r="C3485" t="s">
        <v>47</v>
      </c>
      <c r="D3485">
        <v>3100769</v>
      </c>
      <c r="E3485">
        <v>3000876</v>
      </c>
      <c r="F3485" t="s">
        <v>2397</v>
      </c>
      <c r="G3485" t="s">
        <v>2397</v>
      </c>
      <c r="H3485" t="s">
        <v>54</v>
      </c>
      <c r="I3485">
        <v>9915633</v>
      </c>
      <c r="J3485" s="12">
        <v>46096</v>
      </c>
      <c r="K3485" s="12">
        <v>46096</v>
      </c>
      <c r="L3485" s="12">
        <v>46134</v>
      </c>
      <c r="M3485">
        <v>-2</v>
      </c>
      <c r="N3485">
        <v>796343273</v>
      </c>
      <c r="O3485">
        <v>0</v>
      </c>
      <c r="P3485">
        <v>796343273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 t="s">
        <v>47</v>
      </c>
      <c r="AA3485" t="s">
        <v>501</v>
      </c>
      <c r="AB3485" t="s">
        <v>51</v>
      </c>
      <c r="AC3485" t="s">
        <v>2581</v>
      </c>
      <c r="AD3485" t="s">
        <v>51</v>
      </c>
      <c r="AE3485" t="s">
        <v>51</v>
      </c>
      <c r="AF3485" t="s">
        <v>69</v>
      </c>
    </row>
    <row r="3486" spans="1:32" ht="14.5" customHeight="1" x14ac:dyDescent="0.35">
      <c r="A3486" t="s">
        <v>1593</v>
      </c>
      <c r="B3486" t="s">
        <v>606</v>
      </c>
      <c r="C3486" t="s">
        <v>47</v>
      </c>
      <c r="D3486">
        <v>3100769</v>
      </c>
      <c r="E3486">
        <v>3100979</v>
      </c>
      <c r="F3486" t="s">
        <v>2397</v>
      </c>
      <c r="G3486" t="s">
        <v>2489</v>
      </c>
      <c r="H3486" t="s">
        <v>54</v>
      </c>
      <c r="I3486">
        <v>9915635</v>
      </c>
      <c r="J3486" s="12">
        <v>46096</v>
      </c>
      <c r="K3486" s="12">
        <v>46096</v>
      </c>
      <c r="L3486" s="12">
        <v>46134</v>
      </c>
      <c r="M3486">
        <v>-2</v>
      </c>
      <c r="N3486">
        <v>740087558</v>
      </c>
      <c r="O3486">
        <v>0</v>
      </c>
      <c r="P3486">
        <v>740087558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 t="s">
        <v>47</v>
      </c>
      <c r="AA3486" t="s">
        <v>501</v>
      </c>
      <c r="AB3486" t="s">
        <v>51</v>
      </c>
      <c r="AC3486" t="s">
        <v>2582</v>
      </c>
      <c r="AD3486" t="s">
        <v>51</v>
      </c>
      <c r="AE3486" t="s">
        <v>51</v>
      </c>
      <c r="AF3486" t="s">
        <v>595</v>
      </c>
    </row>
    <row r="3487" spans="1:32" ht="14.5" customHeight="1" x14ac:dyDescent="0.35">
      <c r="A3487" t="s">
        <v>531</v>
      </c>
      <c r="B3487" t="s">
        <v>2396</v>
      </c>
      <c r="C3487" t="s">
        <v>47</v>
      </c>
      <c r="D3487">
        <v>3100769</v>
      </c>
      <c r="E3487">
        <v>3000876</v>
      </c>
      <c r="F3487" t="s">
        <v>2397</v>
      </c>
      <c r="G3487" t="s">
        <v>2397</v>
      </c>
      <c r="H3487" t="s">
        <v>54</v>
      </c>
      <c r="I3487">
        <v>9915644</v>
      </c>
      <c r="J3487" s="12">
        <v>46096</v>
      </c>
      <c r="K3487" s="12">
        <v>46096</v>
      </c>
      <c r="L3487" s="12">
        <v>46134</v>
      </c>
      <c r="M3487">
        <v>-2</v>
      </c>
      <c r="N3487">
        <v>777518184</v>
      </c>
      <c r="O3487">
        <v>0</v>
      </c>
      <c r="P3487">
        <v>777518184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 t="s">
        <v>47</v>
      </c>
      <c r="AA3487" t="s">
        <v>501</v>
      </c>
      <c r="AB3487" t="s">
        <v>51</v>
      </c>
      <c r="AC3487" t="s">
        <v>2583</v>
      </c>
      <c r="AD3487" t="s">
        <v>51</v>
      </c>
      <c r="AE3487" t="s">
        <v>51</v>
      </c>
      <c r="AF3487" t="s">
        <v>281</v>
      </c>
    </row>
    <row r="3488" spans="1:32" ht="14.5" customHeight="1" x14ac:dyDescent="0.35">
      <c r="A3488" t="s">
        <v>531</v>
      </c>
      <c r="B3488" t="s">
        <v>532</v>
      </c>
      <c r="C3488" t="s">
        <v>542</v>
      </c>
      <c r="D3488">
        <v>3100769</v>
      </c>
      <c r="E3488">
        <v>3100852</v>
      </c>
      <c r="F3488" t="s">
        <v>2397</v>
      </c>
      <c r="G3488" t="s">
        <v>2488</v>
      </c>
      <c r="H3488" t="s">
        <v>54</v>
      </c>
      <c r="I3488">
        <v>9918094</v>
      </c>
      <c r="J3488" s="12">
        <v>46107</v>
      </c>
      <c r="K3488" s="12">
        <v>46107</v>
      </c>
      <c r="L3488" s="12">
        <v>46140</v>
      </c>
      <c r="M3488">
        <v>-8</v>
      </c>
      <c r="N3488">
        <v>197838337</v>
      </c>
      <c r="O3488">
        <v>0</v>
      </c>
      <c r="P3488">
        <v>197838337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 t="s">
        <v>542</v>
      </c>
      <c r="AA3488" t="s">
        <v>501</v>
      </c>
      <c r="AB3488" t="s">
        <v>51</v>
      </c>
      <c r="AC3488" t="s">
        <v>51</v>
      </c>
      <c r="AD3488" t="s">
        <v>2584</v>
      </c>
      <c r="AE3488" t="s">
        <v>51</v>
      </c>
      <c r="AF3488" t="s">
        <v>2032</v>
      </c>
    </row>
    <row r="3489" spans="1:32" ht="14.5" customHeight="1" x14ac:dyDescent="0.35">
      <c r="A3489" t="s">
        <v>1593</v>
      </c>
      <c r="B3489" t="s">
        <v>606</v>
      </c>
      <c r="C3489" t="s">
        <v>47</v>
      </c>
      <c r="D3489">
        <v>3100769</v>
      </c>
      <c r="E3489">
        <v>3100979</v>
      </c>
      <c r="F3489" t="s">
        <v>2397</v>
      </c>
      <c r="G3489" t="s">
        <v>2489</v>
      </c>
      <c r="H3489" t="s">
        <v>54</v>
      </c>
      <c r="I3489">
        <v>9918324</v>
      </c>
      <c r="J3489" s="12">
        <v>46107</v>
      </c>
      <c r="K3489" s="12">
        <v>46107</v>
      </c>
      <c r="L3489" s="12">
        <v>46145</v>
      </c>
      <c r="M3489">
        <v>-13</v>
      </c>
      <c r="N3489">
        <v>954329036</v>
      </c>
      <c r="O3489">
        <v>0</v>
      </c>
      <c r="P3489">
        <v>954329036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 t="s">
        <v>47</v>
      </c>
      <c r="AA3489" t="s">
        <v>501</v>
      </c>
      <c r="AB3489" t="s">
        <v>51</v>
      </c>
      <c r="AC3489" t="s">
        <v>51</v>
      </c>
      <c r="AD3489" t="s">
        <v>2585</v>
      </c>
      <c r="AE3489" t="s">
        <v>51</v>
      </c>
      <c r="AF3489" t="s">
        <v>341</v>
      </c>
    </row>
    <row r="3490" spans="1:32" ht="14.5" customHeight="1" x14ac:dyDescent="0.35">
      <c r="A3490" t="s">
        <v>531</v>
      </c>
      <c r="B3490" t="s">
        <v>2396</v>
      </c>
      <c r="C3490" t="s">
        <v>47</v>
      </c>
      <c r="D3490">
        <v>3100769</v>
      </c>
      <c r="E3490">
        <v>3000876</v>
      </c>
      <c r="F3490" t="s">
        <v>2397</v>
      </c>
      <c r="G3490" t="s">
        <v>2397</v>
      </c>
      <c r="H3490" t="s">
        <v>54</v>
      </c>
      <c r="I3490">
        <v>9918340</v>
      </c>
      <c r="J3490" s="12">
        <v>46107</v>
      </c>
      <c r="K3490" s="12">
        <v>46107</v>
      </c>
      <c r="L3490" s="12">
        <v>46145</v>
      </c>
      <c r="M3490">
        <v>-13</v>
      </c>
      <c r="N3490">
        <v>947276109</v>
      </c>
      <c r="O3490">
        <v>0</v>
      </c>
      <c r="P3490">
        <v>947276109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 t="s">
        <v>47</v>
      </c>
      <c r="AA3490" t="s">
        <v>501</v>
      </c>
      <c r="AB3490" t="s">
        <v>51</v>
      </c>
      <c r="AC3490" t="s">
        <v>51</v>
      </c>
      <c r="AD3490" t="s">
        <v>2586</v>
      </c>
      <c r="AE3490" t="s">
        <v>51</v>
      </c>
      <c r="AF3490" t="s">
        <v>62</v>
      </c>
    </row>
    <row r="3491" spans="1:32" ht="14.5" customHeight="1" x14ac:dyDescent="0.35">
      <c r="A3491" t="s">
        <v>531</v>
      </c>
      <c r="B3491" t="s">
        <v>2396</v>
      </c>
      <c r="C3491" t="s">
        <v>47</v>
      </c>
      <c r="D3491">
        <v>3100769</v>
      </c>
      <c r="E3491">
        <v>3000876</v>
      </c>
      <c r="F3491" t="s">
        <v>2397</v>
      </c>
      <c r="G3491" t="s">
        <v>2397</v>
      </c>
      <c r="H3491" t="s">
        <v>54</v>
      </c>
      <c r="I3491">
        <v>9918347</v>
      </c>
      <c r="J3491" s="12">
        <v>46107</v>
      </c>
      <c r="K3491" s="12">
        <v>46107</v>
      </c>
      <c r="L3491" s="12">
        <v>46145</v>
      </c>
      <c r="M3491">
        <v>-13</v>
      </c>
      <c r="N3491">
        <v>4212983</v>
      </c>
      <c r="O3491">
        <v>0</v>
      </c>
      <c r="P3491">
        <v>4212983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 t="s">
        <v>47</v>
      </c>
      <c r="AA3491" t="s">
        <v>501</v>
      </c>
      <c r="AB3491" t="s">
        <v>51</v>
      </c>
      <c r="AC3491" t="s">
        <v>51</v>
      </c>
      <c r="AD3491" t="s">
        <v>1769</v>
      </c>
      <c r="AE3491" t="s">
        <v>51</v>
      </c>
      <c r="AF3491" t="s">
        <v>455</v>
      </c>
    </row>
    <row r="3492" spans="1:32" ht="14.5" customHeight="1" x14ac:dyDescent="0.35">
      <c r="A3492" t="s">
        <v>531</v>
      </c>
      <c r="B3492" t="s">
        <v>2396</v>
      </c>
      <c r="C3492" t="s">
        <v>47</v>
      </c>
      <c r="D3492">
        <v>3100769</v>
      </c>
      <c r="E3492">
        <v>3000876</v>
      </c>
      <c r="F3492" t="s">
        <v>2397</v>
      </c>
      <c r="G3492" t="s">
        <v>2397</v>
      </c>
      <c r="H3492" t="s">
        <v>54</v>
      </c>
      <c r="I3492">
        <v>9918396</v>
      </c>
      <c r="J3492" s="12">
        <v>46107</v>
      </c>
      <c r="K3492" s="12">
        <v>46107</v>
      </c>
      <c r="L3492" s="12">
        <v>46145</v>
      </c>
      <c r="M3492">
        <v>-13</v>
      </c>
      <c r="N3492">
        <v>87491807</v>
      </c>
      <c r="O3492">
        <v>0</v>
      </c>
      <c r="P3492">
        <v>87491807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 t="s">
        <v>47</v>
      </c>
      <c r="AA3492" t="s">
        <v>501</v>
      </c>
      <c r="AB3492" t="s">
        <v>51</v>
      </c>
      <c r="AC3492" t="s">
        <v>51</v>
      </c>
      <c r="AD3492" t="s">
        <v>2587</v>
      </c>
      <c r="AE3492" t="s">
        <v>51</v>
      </c>
      <c r="AF3492" t="s">
        <v>800</v>
      </c>
    </row>
    <row r="3493" spans="1:32" ht="14.5" customHeight="1" x14ac:dyDescent="0.35">
      <c r="A3493" t="s">
        <v>531</v>
      </c>
      <c r="B3493" t="s">
        <v>2396</v>
      </c>
      <c r="C3493" t="s">
        <v>47</v>
      </c>
      <c r="D3493">
        <v>3100769</v>
      </c>
      <c r="E3493">
        <v>3000876</v>
      </c>
      <c r="F3493" t="s">
        <v>2397</v>
      </c>
      <c r="G3493" t="s">
        <v>2397</v>
      </c>
      <c r="H3493" t="s">
        <v>54</v>
      </c>
      <c r="I3493">
        <v>9918444</v>
      </c>
      <c r="J3493" s="12">
        <v>46107</v>
      </c>
      <c r="K3493" s="12">
        <v>46107</v>
      </c>
      <c r="L3493" s="12">
        <v>46145</v>
      </c>
      <c r="M3493">
        <v>-13</v>
      </c>
      <c r="N3493">
        <v>974026305</v>
      </c>
      <c r="O3493">
        <v>0</v>
      </c>
      <c r="P3493">
        <v>974026305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 t="s">
        <v>47</v>
      </c>
      <c r="AA3493" t="s">
        <v>501</v>
      </c>
      <c r="AB3493" t="s">
        <v>51</v>
      </c>
      <c r="AC3493" t="s">
        <v>51</v>
      </c>
      <c r="AD3493" t="s">
        <v>2588</v>
      </c>
      <c r="AE3493" t="s">
        <v>51</v>
      </c>
      <c r="AF3493" t="s">
        <v>642</v>
      </c>
    </row>
    <row r="3494" spans="1:32" ht="14.5" customHeight="1" x14ac:dyDescent="0.35">
      <c r="A3494" t="s">
        <v>531</v>
      </c>
      <c r="B3494" t="s">
        <v>2396</v>
      </c>
      <c r="C3494" t="s">
        <v>47</v>
      </c>
      <c r="D3494">
        <v>3100769</v>
      </c>
      <c r="E3494">
        <v>3000876</v>
      </c>
      <c r="F3494" t="s">
        <v>2397</v>
      </c>
      <c r="G3494" t="s">
        <v>2397</v>
      </c>
      <c r="H3494" t="s">
        <v>54</v>
      </c>
      <c r="I3494">
        <v>9918557</v>
      </c>
      <c r="J3494" s="12">
        <v>46107</v>
      </c>
      <c r="K3494" s="12">
        <v>46107</v>
      </c>
      <c r="L3494" s="12">
        <v>46145</v>
      </c>
      <c r="M3494">
        <v>-13</v>
      </c>
      <c r="N3494">
        <v>912516943</v>
      </c>
      <c r="O3494">
        <v>0</v>
      </c>
      <c r="P3494">
        <v>912516943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 t="s">
        <v>47</v>
      </c>
      <c r="AA3494" t="s">
        <v>501</v>
      </c>
      <c r="AB3494" t="s">
        <v>51</v>
      </c>
      <c r="AC3494" t="s">
        <v>51</v>
      </c>
      <c r="AD3494" t="s">
        <v>2589</v>
      </c>
      <c r="AE3494" t="s">
        <v>51</v>
      </c>
      <c r="AF3494" t="s">
        <v>195</v>
      </c>
    </row>
    <row r="3495" spans="1:32" ht="14.5" customHeight="1" x14ac:dyDescent="0.35">
      <c r="A3495" t="s">
        <v>531</v>
      </c>
      <c r="B3495" t="s">
        <v>2396</v>
      </c>
      <c r="C3495" t="s">
        <v>47</v>
      </c>
      <c r="D3495">
        <v>3100769</v>
      </c>
      <c r="E3495">
        <v>3000876</v>
      </c>
      <c r="F3495" t="s">
        <v>2397</v>
      </c>
      <c r="G3495" t="s">
        <v>2397</v>
      </c>
      <c r="H3495" t="s">
        <v>54</v>
      </c>
      <c r="I3495">
        <v>9918851</v>
      </c>
      <c r="J3495" s="12">
        <v>46108</v>
      </c>
      <c r="K3495" s="12">
        <v>46108</v>
      </c>
      <c r="L3495" s="12">
        <v>46146</v>
      </c>
      <c r="M3495">
        <v>-14</v>
      </c>
      <c r="N3495">
        <v>842548861</v>
      </c>
      <c r="O3495">
        <v>0</v>
      </c>
      <c r="P3495">
        <v>842548861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 t="s">
        <v>47</v>
      </c>
      <c r="AA3495" t="s">
        <v>501</v>
      </c>
      <c r="AB3495" t="s">
        <v>51</v>
      </c>
      <c r="AC3495" t="s">
        <v>51</v>
      </c>
      <c r="AD3495" t="s">
        <v>2590</v>
      </c>
      <c r="AE3495" t="s">
        <v>51</v>
      </c>
      <c r="AF3495" t="s">
        <v>781</v>
      </c>
    </row>
    <row r="3496" spans="1:32" ht="14.5" customHeight="1" x14ac:dyDescent="0.35">
      <c r="A3496" t="s">
        <v>1593</v>
      </c>
      <c r="B3496" t="s">
        <v>606</v>
      </c>
      <c r="C3496" t="s">
        <v>47</v>
      </c>
      <c r="D3496">
        <v>3100769</v>
      </c>
      <c r="E3496">
        <v>3100979</v>
      </c>
      <c r="F3496" t="s">
        <v>2397</v>
      </c>
      <c r="G3496" t="s">
        <v>2489</v>
      </c>
      <c r="H3496" t="s">
        <v>54</v>
      </c>
      <c r="I3496">
        <v>9920159</v>
      </c>
      <c r="J3496" s="12">
        <v>46111</v>
      </c>
      <c r="K3496" s="12">
        <v>46111</v>
      </c>
      <c r="L3496" s="12">
        <v>46149</v>
      </c>
      <c r="M3496">
        <v>-17</v>
      </c>
      <c r="N3496">
        <v>869318410</v>
      </c>
      <c r="O3496">
        <v>0</v>
      </c>
      <c r="P3496">
        <v>869318410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 t="s">
        <v>47</v>
      </c>
      <c r="AA3496" t="s">
        <v>501</v>
      </c>
      <c r="AB3496" t="s">
        <v>51</v>
      </c>
      <c r="AC3496" t="s">
        <v>51</v>
      </c>
      <c r="AD3496" t="s">
        <v>51</v>
      </c>
      <c r="AE3496" t="s">
        <v>2591</v>
      </c>
      <c r="AF3496" t="s">
        <v>195</v>
      </c>
    </row>
    <row r="3497" spans="1:32" ht="14.5" customHeight="1" x14ac:dyDescent="0.35">
      <c r="A3497" t="s">
        <v>1593</v>
      </c>
      <c r="B3497" t="s">
        <v>606</v>
      </c>
      <c r="C3497" t="s">
        <v>47</v>
      </c>
      <c r="D3497">
        <v>3100769</v>
      </c>
      <c r="E3497">
        <v>3100979</v>
      </c>
      <c r="F3497" t="s">
        <v>2397</v>
      </c>
      <c r="G3497" t="s">
        <v>2489</v>
      </c>
      <c r="H3497" t="s">
        <v>54</v>
      </c>
      <c r="I3497">
        <v>9920160</v>
      </c>
      <c r="J3497" s="12">
        <v>46111</v>
      </c>
      <c r="K3497" s="12">
        <v>46111</v>
      </c>
      <c r="L3497" s="12">
        <v>46149</v>
      </c>
      <c r="M3497">
        <v>-17</v>
      </c>
      <c r="N3497">
        <v>7998931</v>
      </c>
      <c r="O3497">
        <v>0</v>
      </c>
      <c r="P3497">
        <v>7998931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 t="s">
        <v>47</v>
      </c>
      <c r="AA3497" t="s">
        <v>501</v>
      </c>
      <c r="AB3497" t="s">
        <v>51</v>
      </c>
      <c r="AC3497" t="s">
        <v>51</v>
      </c>
      <c r="AD3497" t="s">
        <v>51</v>
      </c>
      <c r="AE3497" t="s">
        <v>2592</v>
      </c>
      <c r="AF3497" t="s">
        <v>332</v>
      </c>
    </row>
    <row r="3498" spans="1:32" ht="14.5" customHeight="1" x14ac:dyDescent="0.35">
      <c r="A3498" t="s">
        <v>531</v>
      </c>
      <c r="B3498" t="s">
        <v>2396</v>
      </c>
      <c r="C3498" t="s">
        <v>542</v>
      </c>
      <c r="D3498">
        <v>3100769</v>
      </c>
      <c r="E3498">
        <v>3001543</v>
      </c>
      <c r="F3498" t="s">
        <v>2397</v>
      </c>
      <c r="G3498" t="s">
        <v>2397</v>
      </c>
      <c r="H3498" t="s">
        <v>54</v>
      </c>
      <c r="I3498">
        <v>9920628</v>
      </c>
      <c r="J3498" s="12">
        <v>46112</v>
      </c>
      <c r="K3498" s="12">
        <v>46112</v>
      </c>
      <c r="L3498" s="12">
        <v>46142</v>
      </c>
      <c r="M3498">
        <v>-10</v>
      </c>
      <c r="N3498">
        <v>290374202</v>
      </c>
      <c r="O3498">
        <v>0</v>
      </c>
      <c r="P3498">
        <v>290374202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 t="s">
        <v>2593</v>
      </c>
      <c r="AA3498" t="s">
        <v>501</v>
      </c>
      <c r="AB3498" t="s">
        <v>51</v>
      </c>
      <c r="AC3498" t="s">
        <v>51</v>
      </c>
      <c r="AD3498" t="s">
        <v>2594</v>
      </c>
      <c r="AE3498" t="s">
        <v>51</v>
      </c>
      <c r="AF3498" t="s">
        <v>418</v>
      </c>
    </row>
    <row r="3499" spans="1:32" ht="14.5" customHeight="1" x14ac:dyDescent="0.35">
      <c r="A3499" t="s">
        <v>531</v>
      </c>
      <c r="B3499" t="s">
        <v>2396</v>
      </c>
      <c r="C3499" t="s">
        <v>47</v>
      </c>
      <c r="D3499">
        <v>3100769</v>
      </c>
      <c r="E3499">
        <v>3000876</v>
      </c>
      <c r="F3499" t="s">
        <v>2397</v>
      </c>
      <c r="G3499" t="s">
        <v>2397</v>
      </c>
      <c r="H3499" t="s">
        <v>54</v>
      </c>
      <c r="I3499">
        <v>9920908</v>
      </c>
      <c r="J3499" s="12">
        <v>46112</v>
      </c>
      <c r="K3499" s="12">
        <v>46112</v>
      </c>
      <c r="L3499" s="12">
        <v>46150</v>
      </c>
      <c r="M3499">
        <v>-18</v>
      </c>
      <c r="N3499">
        <v>529218425</v>
      </c>
      <c r="O3499">
        <v>0</v>
      </c>
      <c r="P3499">
        <v>529218425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 t="s">
        <v>47</v>
      </c>
      <c r="AA3499" t="s">
        <v>501</v>
      </c>
      <c r="AB3499" t="s">
        <v>51</v>
      </c>
      <c r="AC3499" t="s">
        <v>51</v>
      </c>
      <c r="AD3499" t="s">
        <v>51</v>
      </c>
      <c r="AE3499" t="s">
        <v>2595</v>
      </c>
      <c r="AF3499" t="s">
        <v>72</v>
      </c>
    </row>
    <row r="3500" spans="1:32" ht="14.5" customHeight="1" x14ac:dyDescent="0.35">
      <c r="A3500" t="s">
        <v>531</v>
      </c>
      <c r="B3500" t="s">
        <v>2396</v>
      </c>
      <c r="C3500" t="s">
        <v>47</v>
      </c>
      <c r="D3500">
        <v>3100769</v>
      </c>
      <c r="E3500">
        <v>3000876</v>
      </c>
      <c r="F3500" t="s">
        <v>2397</v>
      </c>
      <c r="G3500" t="s">
        <v>2397</v>
      </c>
      <c r="H3500" t="s">
        <v>54</v>
      </c>
      <c r="I3500">
        <v>9921161</v>
      </c>
      <c r="J3500" s="12">
        <v>46112</v>
      </c>
      <c r="K3500" s="12">
        <v>46112</v>
      </c>
      <c r="L3500" s="12">
        <v>46150</v>
      </c>
      <c r="M3500">
        <v>-18</v>
      </c>
      <c r="N3500">
        <v>995974475</v>
      </c>
      <c r="O3500">
        <v>0</v>
      </c>
      <c r="P3500">
        <v>995974475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 t="s">
        <v>47</v>
      </c>
      <c r="AA3500" t="s">
        <v>501</v>
      </c>
      <c r="AB3500" t="s">
        <v>51</v>
      </c>
      <c r="AC3500" t="s">
        <v>51</v>
      </c>
      <c r="AD3500" t="s">
        <v>51</v>
      </c>
      <c r="AE3500" t="s">
        <v>2596</v>
      </c>
      <c r="AF3500" t="s">
        <v>62</v>
      </c>
    </row>
    <row r="3501" spans="1:32" ht="14.5" customHeight="1" x14ac:dyDescent="0.35">
      <c r="A3501" t="s">
        <v>531</v>
      </c>
      <c r="B3501" t="s">
        <v>2396</v>
      </c>
      <c r="C3501" t="s">
        <v>47</v>
      </c>
      <c r="D3501">
        <v>3100769</v>
      </c>
      <c r="E3501">
        <v>3000876</v>
      </c>
      <c r="F3501" t="s">
        <v>2397</v>
      </c>
      <c r="G3501" t="s">
        <v>2397</v>
      </c>
      <c r="H3501" t="s">
        <v>54</v>
      </c>
      <c r="I3501">
        <v>9921265</v>
      </c>
      <c r="J3501" s="12">
        <v>46112</v>
      </c>
      <c r="K3501" s="12">
        <v>46112</v>
      </c>
      <c r="L3501" s="12">
        <v>46150</v>
      </c>
      <c r="M3501">
        <v>-18</v>
      </c>
      <c r="N3501">
        <v>831693807</v>
      </c>
      <c r="O3501">
        <v>0</v>
      </c>
      <c r="P3501">
        <v>831693807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 t="s">
        <v>47</v>
      </c>
      <c r="AA3501" t="s">
        <v>501</v>
      </c>
      <c r="AB3501" t="s">
        <v>51</v>
      </c>
      <c r="AC3501" t="s">
        <v>51</v>
      </c>
      <c r="AD3501" t="s">
        <v>51</v>
      </c>
      <c r="AE3501" t="s">
        <v>2597</v>
      </c>
      <c r="AF3501" t="s">
        <v>195</v>
      </c>
    </row>
    <row r="3502" spans="1:32" ht="14.5" customHeight="1" x14ac:dyDescent="0.35">
      <c r="A3502" t="s">
        <v>531</v>
      </c>
      <c r="B3502" t="s">
        <v>2396</v>
      </c>
      <c r="C3502" t="s">
        <v>47</v>
      </c>
      <c r="D3502">
        <v>3100769</v>
      </c>
      <c r="E3502">
        <v>3000876</v>
      </c>
      <c r="F3502" t="s">
        <v>2397</v>
      </c>
      <c r="G3502" t="s">
        <v>2397</v>
      </c>
      <c r="H3502" t="s">
        <v>54</v>
      </c>
      <c r="I3502">
        <v>9921312</v>
      </c>
      <c r="J3502" s="12">
        <v>46112</v>
      </c>
      <c r="K3502" s="12">
        <v>46112</v>
      </c>
      <c r="L3502" s="12">
        <v>46150</v>
      </c>
      <c r="M3502">
        <v>-18</v>
      </c>
      <c r="N3502">
        <v>764215633</v>
      </c>
      <c r="O3502">
        <v>0</v>
      </c>
      <c r="P3502">
        <v>764215633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 t="s">
        <v>47</v>
      </c>
      <c r="AA3502" t="s">
        <v>501</v>
      </c>
      <c r="AB3502" t="s">
        <v>51</v>
      </c>
      <c r="AC3502" t="s">
        <v>51</v>
      </c>
      <c r="AD3502" t="s">
        <v>51</v>
      </c>
      <c r="AE3502" t="s">
        <v>2598</v>
      </c>
      <c r="AF3502" t="s">
        <v>468</v>
      </c>
    </row>
    <row r="3503" spans="1:32" ht="14.5" customHeight="1" x14ac:dyDescent="0.35">
      <c r="A3503" t="s">
        <v>531</v>
      </c>
      <c r="B3503" t="s">
        <v>2396</v>
      </c>
      <c r="C3503" t="s">
        <v>47</v>
      </c>
      <c r="D3503">
        <v>3100769</v>
      </c>
      <c r="E3503">
        <v>3000876</v>
      </c>
      <c r="F3503" t="s">
        <v>2397</v>
      </c>
      <c r="G3503" t="s">
        <v>2397</v>
      </c>
      <c r="H3503" t="s">
        <v>54</v>
      </c>
      <c r="I3503">
        <v>9921314</v>
      </c>
      <c r="J3503" s="12">
        <v>46112</v>
      </c>
      <c r="K3503" s="12">
        <v>46112</v>
      </c>
      <c r="L3503" s="12">
        <v>46150</v>
      </c>
      <c r="M3503">
        <v>-18</v>
      </c>
      <c r="N3503">
        <v>982204506</v>
      </c>
      <c r="O3503">
        <v>0</v>
      </c>
      <c r="P3503">
        <v>982204506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 t="s">
        <v>47</v>
      </c>
      <c r="AA3503" t="s">
        <v>501</v>
      </c>
      <c r="AB3503" t="s">
        <v>51</v>
      </c>
      <c r="AC3503" t="s">
        <v>51</v>
      </c>
      <c r="AD3503" t="s">
        <v>51</v>
      </c>
      <c r="AE3503" t="s">
        <v>2599</v>
      </c>
      <c r="AF3503" t="s">
        <v>69</v>
      </c>
    </row>
    <row r="3504" spans="1:32" ht="14.5" customHeight="1" x14ac:dyDescent="0.35">
      <c r="A3504" t="s">
        <v>1593</v>
      </c>
      <c r="B3504" t="s">
        <v>606</v>
      </c>
      <c r="C3504" t="s">
        <v>47</v>
      </c>
      <c r="D3504">
        <v>3100769</v>
      </c>
      <c r="E3504">
        <v>3100979</v>
      </c>
      <c r="F3504" t="s">
        <v>2397</v>
      </c>
      <c r="G3504" t="s">
        <v>2489</v>
      </c>
      <c r="H3504" t="s">
        <v>54</v>
      </c>
      <c r="I3504">
        <v>9921516</v>
      </c>
      <c r="J3504" s="12">
        <v>46112</v>
      </c>
      <c r="K3504" s="12">
        <v>46112</v>
      </c>
      <c r="L3504" s="12">
        <v>46150</v>
      </c>
      <c r="M3504">
        <v>-18</v>
      </c>
      <c r="N3504">
        <v>728372592</v>
      </c>
      <c r="O3504">
        <v>0</v>
      </c>
      <c r="P3504">
        <v>728372592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 t="s">
        <v>47</v>
      </c>
      <c r="AA3504" t="s">
        <v>501</v>
      </c>
      <c r="AB3504" t="s">
        <v>51</v>
      </c>
      <c r="AC3504" t="s">
        <v>51</v>
      </c>
      <c r="AD3504" t="s">
        <v>51</v>
      </c>
      <c r="AE3504" t="s">
        <v>2600</v>
      </c>
      <c r="AF3504" t="s">
        <v>161</v>
      </c>
    </row>
    <row r="3505" spans="1:32" ht="14.5" customHeight="1" x14ac:dyDescent="0.35">
      <c r="A3505" t="s">
        <v>1593</v>
      </c>
      <c r="B3505" t="s">
        <v>606</v>
      </c>
      <c r="C3505" t="s">
        <v>47</v>
      </c>
      <c r="D3505">
        <v>3100769</v>
      </c>
      <c r="E3505">
        <v>3100979</v>
      </c>
      <c r="F3505" t="s">
        <v>2397</v>
      </c>
      <c r="G3505" t="s">
        <v>2489</v>
      </c>
      <c r="H3505" t="s">
        <v>54</v>
      </c>
      <c r="I3505">
        <v>9921530</v>
      </c>
      <c r="J3505" s="12">
        <v>46112</v>
      </c>
      <c r="K3505" s="12">
        <v>46112</v>
      </c>
      <c r="L3505" s="12">
        <v>46150</v>
      </c>
      <c r="M3505">
        <v>-18</v>
      </c>
      <c r="N3505">
        <v>677020928</v>
      </c>
      <c r="O3505">
        <v>0</v>
      </c>
      <c r="P3505">
        <v>677020928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 t="s">
        <v>47</v>
      </c>
      <c r="AA3505" t="s">
        <v>501</v>
      </c>
      <c r="AB3505" t="s">
        <v>51</v>
      </c>
      <c r="AC3505" t="s">
        <v>51</v>
      </c>
      <c r="AD3505" t="s">
        <v>51</v>
      </c>
      <c r="AE3505" t="s">
        <v>2601</v>
      </c>
      <c r="AF3505" t="s">
        <v>461</v>
      </c>
    </row>
    <row r="3506" spans="1:32" ht="14.5" customHeight="1" x14ac:dyDescent="0.35">
      <c r="A3506" t="s">
        <v>531</v>
      </c>
      <c r="B3506" t="s">
        <v>532</v>
      </c>
      <c r="C3506" t="s">
        <v>542</v>
      </c>
      <c r="D3506">
        <v>3100769</v>
      </c>
      <c r="E3506">
        <v>3100852</v>
      </c>
      <c r="F3506" t="s">
        <v>2397</v>
      </c>
      <c r="G3506" t="s">
        <v>2488</v>
      </c>
      <c r="H3506" t="s">
        <v>54</v>
      </c>
      <c r="I3506">
        <v>9922036</v>
      </c>
      <c r="J3506" s="12">
        <v>46116</v>
      </c>
      <c r="K3506" s="12">
        <v>46116</v>
      </c>
      <c r="L3506" s="12">
        <v>46149</v>
      </c>
      <c r="M3506">
        <v>-17</v>
      </c>
      <c r="N3506">
        <v>587317575</v>
      </c>
      <c r="O3506">
        <v>0</v>
      </c>
      <c r="P3506">
        <v>587317575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 t="s">
        <v>542</v>
      </c>
      <c r="AA3506" t="s">
        <v>501</v>
      </c>
      <c r="AB3506" t="s">
        <v>51</v>
      </c>
      <c r="AC3506" t="s">
        <v>51</v>
      </c>
      <c r="AD3506" t="s">
        <v>51</v>
      </c>
      <c r="AE3506" t="s">
        <v>2602</v>
      </c>
      <c r="AF3506" t="s">
        <v>1076</v>
      </c>
    </row>
    <row r="3507" spans="1:32" ht="14.5" customHeight="1" x14ac:dyDescent="0.35">
      <c r="A3507" t="s">
        <v>1593</v>
      </c>
      <c r="B3507" t="s">
        <v>606</v>
      </c>
      <c r="C3507" t="s">
        <v>47</v>
      </c>
      <c r="D3507">
        <v>3100769</v>
      </c>
      <c r="E3507">
        <v>3100979</v>
      </c>
      <c r="F3507" t="s">
        <v>2397</v>
      </c>
      <c r="G3507" t="s">
        <v>2489</v>
      </c>
      <c r="H3507" t="s">
        <v>54</v>
      </c>
      <c r="I3507">
        <v>9922627</v>
      </c>
      <c r="J3507" s="12">
        <v>46119</v>
      </c>
      <c r="K3507" s="12">
        <v>46119</v>
      </c>
      <c r="L3507" s="12">
        <v>46157</v>
      </c>
      <c r="M3507">
        <v>-25</v>
      </c>
      <c r="N3507">
        <v>3155122</v>
      </c>
      <c r="O3507">
        <v>0</v>
      </c>
      <c r="P3507">
        <v>3155122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 t="s">
        <v>47</v>
      </c>
      <c r="AA3507" t="s">
        <v>501</v>
      </c>
      <c r="AB3507" t="s">
        <v>51</v>
      </c>
      <c r="AC3507" t="s">
        <v>51</v>
      </c>
      <c r="AD3507" t="s">
        <v>51</v>
      </c>
      <c r="AE3507" t="s">
        <v>2603</v>
      </c>
      <c r="AF3507" t="s">
        <v>898</v>
      </c>
    </row>
    <row r="3508" spans="1:32" ht="14.5" customHeight="1" x14ac:dyDescent="0.35">
      <c r="A3508" t="s">
        <v>531</v>
      </c>
      <c r="B3508" t="s">
        <v>532</v>
      </c>
      <c r="C3508" t="s">
        <v>542</v>
      </c>
      <c r="D3508">
        <v>3100769</v>
      </c>
      <c r="E3508">
        <v>3100852</v>
      </c>
      <c r="F3508" t="s">
        <v>2397</v>
      </c>
      <c r="G3508" t="s">
        <v>2488</v>
      </c>
      <c r="H3508" t="s">
        <v>54</v>
      </c>
      <c r="I3508">
        <v>9923499</v>
      </c>
      <c r="J3508" s="12">
        <v>46122</v>
      </c>
      <c r="K3508" s="12">
        <v>46122</v>
      </c>
      <c r="L3508" s="12">
        <v>46155</v>
      </c>
      <c r="M3508">
        <v>-23</v>
      </c>
      <c r="N3508">
        <v>153874092</v>
      </c>
      <c r="O3508">
        <v>0</v>
      </c>
      <c r="P3508">
        <v>153874092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 t="s">
        <v>542</v>
      </c>
      <c r="AA3508" t="s">
        <v>501</v>
      </c>
      <c r="AB3508" t="s">
        <v>51</v>
      </c>
      <c r="AC3508" t="s">
        <v>51</v>
      </c>
      <c r="AD3508" t="s">
        <v>51</v>
      </c>
      <c r="AE3508" t="s">
        <v>2604</v>
      </c>
      <c r="AF3508" t="s">
        <v>1529</v>
      </c>
    </row>
    <row r="3509" spans="1:32" ht="14.5" customHeight="1" x14ac:dyDescent="0.35">
      <c r="A3509" t="s">
        <v>531</v>
      </c>
      <c r="B3509" t="s">
        <v>532</v>
      </c>
      <c r="C3509" t="s">
        <v>542</v>
      </c>
      <c r="D3509">
        <v>3100769</v>
      </c>
      <c r="E3509">
        <v>3100848</v>
      </c>
      <c r="F3509" t="s">
        <v>2397</v>
      </c>
      <c r="G3509" t="s">
        <v>2407</v>
      </c>
      <c r="H3509" t="s">
        <v>54</v>
      </c>
      <c r="I3509">
        <v>9923501</v>
      </c>
      <c r="J3509" s="12">
        <v>46122</v>
      </c>
      <c r="K3509" s="12">
        <v>46122</v>
      </c>
      <c r="L3509" s="12">
        <v>46155</v>
      </c>
      <c r="M3509">
        <v>-23</v>
      </c>
      <c r="N3509">
        <v>436290739</v>
      </c>
      <c r="O3509">
        <v>0</v>
      </c>
      <c r="P3509">
        <v>436290739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 t="s">
        <v>542</v>
      </c>
      <c r="AA3509" t="s">
        <v>501</v>
      </c>
      <c r="AB3509" t="s">
        <v>51</v>
      </c>
      <c r="AC3509" t="s">
        <v>51</v>
      </c>
      <c r="AD3509" t="s">
        <v>51</v>
      </c>
      <c r="AE3509" t="s">
        <v>2605</v>
      </c>
      <c r="AF3509" t="s">
        <v>195</v>
      </c>
    </row>
    <row r="3510" spans="1:32" ht="14.5" customHeight="1" x14ac:dyDescent="0.35">
      <c r="A3510" t="s">
        <v>531</v>
      </c>
      <c r="B3510" t="s">
        <v>532</v>
      </c>
      <c r="C3510" t="s">
        <v>542</v>
      </c>
      <c r="D3510">
        <v>3100769</v>
      </c>
      <c r="E3510">
        <v>3100850</v>
      </c>
      <c r="F3510" t="s">
        <v>2397</v>
      </c>
      <c r="G3510" t="s">
        <v>2487</v>
      </c>
      <c r="H3510" t="s">
        <v>54</v>
      </c>
      <c r="I3510">
        <v>9923502</v>
      </c>
      <c r="J3510" s="12">
        <v>46122</v>
      </c>
      <c r="K3510" s="12">
        <v>46122</v>
      </c>
      <c r="L3510" s="12">
        <v>46155</v>
      </c>
      <c r="M3510">
        <v>-23</v>
      </c>
      <c r="N3510">
        <v>179964062</v>
      </c>
      <c r="O3510">
        <v>0</v>
      </c>
      <c r="P3510">
        <v>179964062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 t="s">
        <v>542</v>
      </c>
      <c r="AA3510" t="s">
        <v>501</v>
      </c>
      <c r="AB3510" t="s">
        <v>51</v>
      </c>
      <c r="AC3510" t="s">
        <v>51</v>
      </c>
      <c r="AD3510" t="s">
        <v>51</v>
      </c>
      <c r="AE3510" t="s">
        <v>2606</v>
      </c>
      <c r="AF3510" t="s">
        <v>1434</v>
      </c>
    </row>
    <row r="3511" spans="1:32" ht="14.5" customHeight="1" x14ac:dyDescent="0.35">
      <c r="A3511" t="s">
        <v>531</v>
      </c>
      <c r="B3511" t="s">
        <v>2396</v>
      </c>
      <c r="C3511" t="s">
        <v>47</v>
      </c>
      <c r="D3511">
        <v>3100769</v>
      </c>
      <c r="E3511">
        <v>3000876</v>
      </c>
      <c r="F3511" t="s">
        <v>2397</v>
      </c>
      <c r="G3511" t="s">
        <v>2397</v>
      </c>
      <c r="H3511" t="s">
        <v>54</v>
      </c>
      <c r="I3511">
        <v>9926082</v>
      </c>
      <c r="J3511" s="12">
        <v>46127</v>
      </c>
      <c r="K3511" s="12">
        <v>46127</v>
      </c>
      <c r="L3511" s="12">
        <v>46165</v>
      </c>
      <c r="M3511">
        <v>-33</v>
      </c>
      <c r="N3511">
        <v>14812892</v>
      </c>
      <c r="O3511">
        <v>0</v>
      </c>
      <c r="P3511">
        <v>14812892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 t="s">
        <v>47</v>
      </c>
      <c r="AA3511" t="s">
        <v>501</v>
      </c>
      <c r="AB3511" t="s">
        <v>51</v>
      </c>
      <c r="AC3511" t="s">
        <v>51</v>
      </c>
      <c r="AD3511" t="s">
        <v>51</v>
      </c>
      <c r="AE3511" t="s">
        <v>2607</v>
      </c>
      <c r="AF3511" t="s">
        <v>147</v>
      </c>
    </row>
    <row r="3512" spans="1:32" ht="14.5" customHeight="1" x14ac:dyDescent="0.35">
      <c r="A3512" t="s">
        <v>531</v>
      </c>
      <c r="B3512" t="s">
        <v>2396</v>
      </c>
      <c r="C3512" t="s">
        <v>47</v>
      </c>
      <c r="D3512">
        <v>3100769</v>
      </c>
      <c r="E3512">
        <v>3000876</v>
      </c>
      <c r="F3512" t="s">
        <v>2397</v>
      </c>
      <c r="G3512" t="s">
        <v>2397</v>
      </c>
      <c r="H3512" t="s">
        <v>54</v>
      </c>
      <c r="I3512">
        <v>9926110</v>
      </c>
      <c r="J3512" s="12">
        <v>46127</v>
      </c>
      <c r="K3512" s="12">
        <v>46127</v>
      </c>
      <c r="L3512" s="12">
        <v>46165</v>
      </c>
      <c r="M3512">
        <v>-33</v>
      </c>
      <c r="N3512">
        <v>836420889</v>
      </c>
      <c r="O3512">
        <v>0</v>
      </c>
      <c r="P3512">
        <v>836420889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 t="s">
        <v>47</v>
      </c>
      <c r="AA3512" t="s">
        <v>501</v>
      </c>
      <c r="AB3512" t="s">
        <v>51</v>
      </c>
      <c r="AC3512" t="s">
        <v>51</v>
      </c>
      <c r="AD3512" t="s">
        <v>51</v>
      </c>
      <c r="AE3512" t="s">
        <v>2608</v>
      </c>
      <c r="AF3512" t="s">
        <v>271</v>
      </c>
    </row>
    <row r="3513" spans="1:32" ht="14.5" customHeight="1" x14ac:dyDescent="0.35">
      <c r="A3513" t="s">
        <v>531</v>
      </c>
      <c r="B3513" t="s">
        <v>2396</v>
      </c>
      <c r="C3513" t="s">
        <v>47</v>
      </c>
      <c r="D3513">
        <v>3100769</v>
      </c>
      <c r="E3513">
        <v>3000876</v>
      </c>
      <c r="F3513" t="s">
        <v>2397</v>
      </c>
      <c r="G3513" t="s">
        <v>2397</v>
      </c>
      <c r="H3513" t="s">
        <v>54</v>
      </c>
      <c r="I3513">
        <v>9926466</v>
      </c>
      <c r="J3513" s="12">
        <v>46128</v>
      </c>
      <c r="K3513" s="12">
        <v>46128</v>
      </c>
      <c r="L3513" s="12">
        <v>46166</v>
      </c>
      <c r="M3513">
        <v>-34</v>
      </c>
      <c r="N3513">
        <v>955236587</v>
      </c>
      <c r="O3513">
        <v>0</v>
      </c>
      <c r="P3513">
        <v>955236587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 t="s">
        <v>47</v>
      </c>
      <c r="AA3513" t="s">
        <v>501</v>
      </c>
      <c r="AB3513" t="s">
        <v>51</v>
      </c>
      <c r="AC3513" t="s">
        <v>51</v>
      </c>
      <c r="AD3513" t="s">
        <v>51</v>
      </c>
      <c r="AE3513" t="s">
        <v>2609</v>
      </c>
      <c r="AF3513" t="s">
        <v>195</v>
      </c>
    </row>
    <row r="3514" spans="1:32" ht="14.5" customHeight="1" x14ac:dyDescent="0.35">
      <c r="A3514" t="s">
        <v>531</v>
      </c>
      <c r="B3514" t="s">
        <v>2396</v>
      </c>
      <c r="C3514" t="s">
        <v>47</v>
      </c>
      <c r="D3514">
        <v>3100769</v>
      </c>
      <c r="E3514">
        <v>3000876</v>
      </c>
      <c r="F3514" t="s">
        <v>2397</v>
      </c>
      <c r="G3514" t="s">
        <v>2397</v>
      </c>
      <c r="H3514" t="s">
        <v>54</v>
      </c>
      <c r="I3514">
        <v>9926614</v>
      </c>
      <c r="J3514" s="12">
        <v>46129</v>
      </c>
      <c r="K3514" s="12">
        <v>46129</v>
      </c>
      <c r="L3514" s="12">
        <v>46167</v>
      </c>
      <c r="M3514">
        <v>-35</v>
      </c>
      <c r="N3514">
        <v>765815671</v>
      </c>
      <c r="O3514">
        <v>0</v>
      </c>
      <c r="P3514">
        <v>765815671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 t="s">
        <v>47</v>
      </c>
      <c r="AA3514" t="s">
        <v>501</v>
      </c>
      <c r="AB3514" t="s">
        <v>51</v>
      </c>
      <c r="AC3514" t="s">
        <v>51</v>
      </c>
      <c r="AD3514" t="s">
        <v>51</v>
      </c>
      <c r="AE3514" t="s">
        <v>2610</v>
      </c>
      <c r="AF3514" t="s">
        <v>2611</v>
      </c>
    </row>
    <row r="3515" spans="1:32" ht="14.5" customHeight="1" x14ac:dyDescent="0.35">
      <c r="A3515" t="s">
        <v>531</v>
      </c>
      <c r="B3515" t="s">
        <v>2396</v>
      </c>
      <c r="C3515" t="s">
        <v>47</v>
      </c>
      <c r="D3515">
        <v>3100769</v>
      </c>
      <c r="E3515">
        <v>3000876</v>
      </c>
      <c r="F3515" t="s">
        <v>2397</v>
      </c>
      <c r="G3515" t="s">
        <v>2397</v>
      </c>
      <c r="H3515" t="s">
        <v>54</v>
      </c>
      <c r="I3515">
        <v>9926841</v>
      </c>
      <c r="J3515" s="12">
        <v>46130</v>
      </c>
      <c r="K3515" s="12">
        <v>46130</v>
      </c>
      <c r="L3515" s="12">
        <v>46168</v>
      </c>
      <c r="M3515">
        <v>-36</v>
      </c>
      <c r="N3515">
        <v>761944280</v>
      </c>
      <c r="O3515">
        <v>0</v>
      </c>
      <c r="P3515">
        <v>761944280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 t="s">
        <v>47</v>
      </c>
      <c r="AA3515" t="s">
        <v>501</v>
      </c>
      <c r="AB3515" t="s">
        <v>51</v>
      </c>
      <c r="AC3515" t="s">
        <v>51</v>
      </c>
      <c r="AD3515" t="s">
        <v>51</v>
      </c>
      <c r="AE3515" t="s">
        <v>2612</v>
      </c>
      <c r="AF3515" t="s">
        <v>928</v>
      </c>
    </row>
    <row r="3516" spans="1:32" ht="14.5" customHeight="1" x14ac:dyDescent="0.35">
      <c r="A3516" t="s">
        <v>1593</v>
      </c>
      <c r="B3516" t="s">
        <v>606</v>
      </c>
      <c r="C3516" t="s">
        <v>47</v>
      </c>
      <c r="D3516">
        <v>3100769</v>
      </c>
      <c r="E3516">
        <v>3100979</v>
      </c>
      <c r="F3516" t="s">
        <v>2397</v>
      </c>
      <c r="G3516" t="s">
        <v>2489</v>
      </c>
      <c r="H3516" t="s">
        <v>54</v>
      </c>
      <c r="I3516">
        <v>9927458</v>
      </c>
      <c r="J3516" s="12">
        <v>46130</v>
      </c>
      <c r="K3516" s="12">
        <v>46130</v>
      </c>
      <c r="L3516" s="12">
        <v>46168</v>
      </c>
      <c r="M3516">
        <v>-36</v>
      </c>
      <c r="N3516">
        <v>884606139</v>
      </c>
      <c r="O3516">
        <v>0</v>
      </c>
      <c r="P3516">
        <v>884606139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 t="s">
        <v>47</v>
      </c>
      <c r="AA3516" t="s">
        <v>501</v>
      </c>
      <c r="AB3516" t="s">
        <v>51</v>
      </c>
      <c r="AC3516" t="s">
        <v>51</v>
      </c>
      <c r="AD3516" t="s">
        <v>51</v>
      </c>
      <c r="AE3516" t="s">
        <v>2613</v>
      </c>
      <c r="AF3516" t="s">
        <v>468</v>
      </c>
    </row>
    <row r="3517" spans="1:32" ht="14.5" customHeight="1" x14ac:dyDescent="0.35">
      <c r="A3517" t="s">
        <v>1593</v>
      </c>
      <c r="B3517" t="s">
        <v>606</v>
      </c>
      <c r="C3517" t="s">
        <v>47</v>
      </c>
      <c r="D3517">
        <v>3100769</v>
      </c>
      <c r="E3517">
        <v>3100979</v>
      </c>
      <c r="F3517" t="s">
        <v>2397</v>
      </c>
      <c r="G3517" t="s">
        <v>2489</v>
      </c>
      <c r="H3517" t="s">
        <v>54</v>
      </c>
      <c r="I3517">
        <v>9927522</v>
      </c>
      <c r="J3517" s="12">
        <v>46131</v>
      </c>
      <c r="K3517" s="12">
        <v>46131</v>
      </c>
      <c r="L3517" s="12">
        <v>46169</v>
      </c>
      <c r="M3517">
        <v>-37</v>
      </c>
      <c r="N3517">
        <v>955917892</v>
      </c>
      <c r="O3517">
        <v>0</v>
      </c>
      <c r="P3517">
        <v>955917892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 t="s">
        <v>47</v>
      </c>
      <c r="AA3517" t="s">
        <v>501</v>
      </c>
      <c r="AB3517" t="s">
        <v>51</v>
      </c>
      <c r="AC3517" t="s">
        <v>51</v>
      </c>
      <c r="AD3517" t="s">
        <v>51</v>
      </c>
      <c r="AE3517" t="s">
        <v>2614</v>
      </c>
      <c r="AF3517" t="s">
        <v>195</v>
      </c>
    </row>
    <row r="3518" spans="1:32" ht="14.5" customHeight="1" x14ac:dyDescent="0.35">
      <c r="A3518" t="s">
        <v>498</v>
      </c>
      <c r="B3518" t="s">
        <v>968</v>
      </c>
      <c r="C3518" t="s">
        <v>47</v>
      </c>
      <c r="D3518">
        <v>3100779</v>
      </c>
      <c r="E3518">
        <v>3100779</v>
      </c>
      <c r="F3518" t="s">
        <v>2615</v>
      </c>
      <c r="G3518" t="s">
        <v>2615</v>
      </c>
      <c r="H3518" t="s">
        <v>54</v>
      </c>
      <c r="I3518">
        <v>6954044</v>
      </c>
      <c r="J3518" s="12">
        <v>46085</v>
      </c>
      <c r="K3518" s="12">
        <v>46085</v>
      </c>
      <c r="L3518" s="12">
        <v>46085</v>
      </c>
      <c r="M3518">
        <v>47</v>
      </c>
      <c r="N3518">
        <v>-6124250</v>
      </c>
      <c r="O3518">
        <v>-6124250</v>
      </c>
      <c r="P3518">
        <v>0</v>
      </c>
      <c r="Q3518">
        <v>0</v>
      </c>
      <c r="R3518">
        <v>-6124250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 t="s">
        <v>47</v>
      </c>
      <c r="AA3518" t="s">
        <v>55</v>
      </c>
      <c r="AB3518" t="s">
        <v>51</v>
      </c>
      <c r="AC3518" t="s">
        <v>51</v>
      </c>
      <c r="AD3518" t="s">
        <v>51</v>
      </c>
      <c r="AE3518" t="s">
        <v>51</v>
      </c>
      <c r="AF3518" t="s">
        <v>2616</v>
      </c>
    </row>
    <row r="3519" spans="1:32" ht="14.5" customHeight="1" x14ac:dyDescent="0.35">
      <c r="A3519" t="s">
        <v>498</v>
      </c>
      <c r="B3519" t="s">
        <v>968</v>
      </c>
      <c r="C3519" t="s">
        <v>47</v>
      </c>
      <c r="D3519">
        <v>3100779</v>
      </c>
      <c r="E3519">
        <v>3100780</v>
      </c>
      <c r="F3519" t="s">
        <v>2615</v>
      </c>
      <c r="G3519" t="s">
        <v>2615</v>
      </c>
      <c r="H3519" t="s">
        <v>54</v>
      </c>
      <c r="I3519">
        <v>6955440</v>
      </c>
      <c r="J3519" s="12">
        <v>46093</v>
      </c>
      <c r="K3519" s="12">
        <v>46093</v>
      </c>
      <c r="L3519" s="12">
        <v>46093</v>
      </c>
      <c r="M3519">
        <v>39</v>
      </c>
      <c r="N3519">
        <v>-582250</v>
      </c>
      <c r="O3519">
        <v>-582250</v>
      </c>
      <c r="P3519">
        <v>0</v>
      </c>
      <c r="Q3519">
        <v>0</v>
      </c>
      <c r="R3519">
        <v>-582250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 t="s">
        <v>846</v>
      </c>
      <c r="AA3519" t="s">
        <v>55</v>
      </c>
      <c r="AB3519" t="s">
        <v>51</v>
      </c>
      <c r="AC3519" t="s">
        <v>51</v>
      </c>
      <c r="AD3519" t="s">
        <v>51</v>
      </c>
      <c r="AE3519" t="s">
        <v>51</v>
      </c>
      <c r="AF3519" t="s">
        <v>2616</v>
      </c>
    </row>
    <row r="3520" spans="1:32" ht="14.5" customHeight="1" x14ac:dyDescent="0.35">
      <c r="A3520" t="s">
        <v>498</v>
      </c>
      <c r="B3520" t="s">
        <v>968</v>
      </c>
      <c r="C3520" t="s">
        <v>47</v>
      </c>
      <c r="D3520">
        <v>3100779</v>
      </c>
      <c r="E3520">
        <v>3100780</v>
      </c>
      <c r="F3520" t="s">
        <v>2615</v>
      </c>
      <c r="G3520" t="s">
        <v>2615</v>
      </c>
      <c r="H3520" t="s">
        <v>54</v>
      </c>
      <c r="I3520">
        <v>6956899</v>
      </c>
      <c r="J3520" s="12">
        <v>46106</v>
      </c>
      <c r="K3520" s="12">
        <v>46106</v>
      </c>
      <c r="L3520" s="12">
        <v>46106</v>
      </c>
      <c r="M3520">
        <v>26</v>
      </c>
      <c r="N3520">
        <v>-4385468</v>
      </c>
      <c r="O3520">
        <v>-4385468</v>
      </c>
      <c r="P3520">
        <v>0</v>
      </c>
      <c r="Q3520">
        <v>-4385468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 t="s">
        <v>846</v>
      </c>
      <c r="AA3520" t="s">
        <v>55</v>
      </c>
      <c r="AB3520" t="s">
        <v>51</v>
      </c>
      <c r="AC3520" t="s">
        <v>51</v>
      </c>
      <c r="AD3520" t="s">
        <v>51</v>
      </c>
      <c r="AE3520" t="s">
        <v>51</v>
      </c>
      <c r="AF3520" t="s">
        <v>106</v>
      </c>
    </row>
    <row r="3521" spans="1:32" ht="14.5" customHeight="1" x14ac:dyDescent="0.35">
      <c r="A3521" t="s">
        <v>498</v>
      </c>
      <c r="B3521" t="s">
        <v>968</v>
      </c>
      <c r="C3521" t="s">
        <v>47</v>
      </c>
      <c r="D3521">
        <v>3100779</v>
      </c>
      <c r="E3521">
        <v>3100779</v>
      </c>
      <c r="F3521" t="s">
        <v>2615</v>
      </c>
      <c r="G3521" t="s">
        <v>2615</v>
      </c>
      <c r="H3521" t="s">
        <v>111</v>
      </c>
      <c r="I3521">
        <v>6956902</v>
      </c>
      <c r="J3521" s="12">
        <v>46106</v>
      </c>
      <c r="K3521" s="12">
        <v>46106</v>
      </c>
      <c r="L3521" s="12">
        <v>46106</v>
      </c>
      <c r="M3521">
        <v>26</v>
      </c>
      <c r="N3521">
        <v>-606145</v>
      </c>
      <c r="O3521">
        <v>-606145</v>
      </c>
      <c r="P3521">
        <v>0</v>
      </c>
      <c r="Q3521">
        <v>-606145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 t="s">
        <v>47</v>
      </c>
      <c r="AA3521" t="s">
        <v>55</v>
      </c>
      <c r="AB3521" t="s">
        <v>51</v>
      </c>
      <c r="AC3521" t="s">
        <v>51</v>
      </c>
      <c r="AD3521" t="s">
        <v>51</v>
      </c>
      <c r="AE3521" t="s">
        <v>51</v>
      </c>
      <c r="AF3521" t="s">
        <v>528</v>
      </c>
    </row>
    <row r="3522" spans="1:32" ht="14.5" customHeight="1" x14ac:dyDescent="0.35">
      <c r="A3522" t="s">
        <v>498</v>
      </c>
      <c r="B3522" t="s">
        <v>968</v>
      </c>
      <c r="C3522" t="s">
        <v>47</v>
      </c>
      <c r="D3522">
        <v>3100779</v>
      </c>
      <c r="E3522">
        <v>3100779</v>
      </c>
      <c r="F3522" t="s">
        <v>2615</v>
      </c>
      <c r="G3522" t="s">
        <v>2615</v>
      </c>
      <c r="H3522" t="s">
        <v>54</v>
      </c>
      <c r="I3522">
        <v>6957157</v>
      </c>
      <c r="J3522" s="12">
        <v>46106</v>
      </c>
      <c r="K3522" s="12">
        <v>46106</v>
      </c>
      <c r="L3522" s="12">
        <v>46106</v>
      </c>
      <c r="M3522">
        <v>26</v>
      </c>
      <c r="N3522">
        <v>-27248646</v>
      </c>
      <c r="O3522">
        <v>-27248646</v>
      </c>
      <c r="P3522">
        <v>0</v>
      </c>
      <c r="Q3522">
        <v>-27248646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 t="s">
        <v>47</v>
      </c>
      <c r="AA3522" t="s">
        <v>55</v>
      </c>
      <c r="AB3522" t="s">
        <v>51</v>
      </c>
      <c r="AC3522" t="s">
        <v>51</v>
      </c>
      <c r="AD3522" t="s">
        <v>51</v>
      </c>
      <c r="AE3522" t="s">
        <v>51</v>
      </c>
      <c r="AF3522" t="s">
        <v>183</v>
      </c>
    </row>
    <row r="3523" spans="1:32" ht="14.5" customHeight="1" x14ac:dyDescent="0.35">
      <c r="A3523" t="s">
        <v>498</v>
      </c>
      <c r="B3523" t="s">
        <v>968</v>
      </c>
      <c r="C3523" t="s">
        <v>47</v>
      </c>
      <c r="D3523">
        <v>3100779</v>
      </c>
      <c r="E3523">
        <v>3100779</v>
      </c>
      <c r="F3523" t="s">
        <v>2615</v>
      </c>
      <c r="G3523" t="s">
        <v>2615</v>
      </c>
      <c r="H3523" t="s">
        <v>54</v>
      </c>
      <c r="I3523">
        <v>6957176</v>
      </c>
      <c r="J3523" s="12">
        <v>46106</v>
      </c>
      <c r="K3523" s="12">
        <v>46106</v>
      </c>
      <c r="L3523" s="12">
        <v>46106</v>
      </c>
      <c r="M3523">
        <v>26</v>
      </c>
      <c r="N3523">
        <v>-3221500</v>
      </c>
      <c r="O3523">
        <v>-3221500</v>
      </c>
      <c r="P3523">
        <v>0</v>
      </c>
      <c r="Q3523">
        <v>-3221500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 t="s">
        <v>47</v>
      </c>
      <c r="AA3523" t="s">
        <v>55</v>
      </c>
      <c r="AB3523" t="s">
        <v>51</v>
      </c>
      <c r="AC3523" t="s">
        <v>51</v>
      </c>
      <c r="AD3523" t="s">
        <v>51</v>
      </c>
      <c r="AE3523" t="s">
        <v>51</v>
      </c>
      <c r="AF3523" t="s">
        <v>2616</v>
      </c>
    </row>
    <row r="3524" spans="1:32" ht="14.5" customHeight="1" x14ac:dyDescent="0.35">
      <c r="A3524" t="s">
        <v>498</v>
      </c>
      <c r="B3524" t="s">
        <v>968</v>
      </c>
      <c r="C3524" t="s">
        <v>47</v>
      </c>
      <c r="D3524">
        <v>3100779</v>
      </c>
      <c r="E3524">
        <v>3100780</v>
      </c>
      <c r="F3524" t="s">
        <v>2615</v>
      </c>
      <c r="G3524" t="s">
        <v>2615</v>
      </c>
      <c r="H3524" t="s">
        <v>54</v>
      </c>
      <c r="I3524">
        <v>6957177</v>
      </c>
      <c r="J3524" s="12">
        <v>46106</v>
      </c>
      <c r="K3524" s="12">
        <v>46106</v>
      </c>
      <c r="L3524" s="12">
        <v>46106</v>
      </c>
      <c r="M3524">
        <v>26</v>
      </c>
      <c r="N3524">
        <v>-2941000</v>
      </c>
      <c r="O3524">
        <v>-2941000</v>
      </c>
      <c r="P3524">
        <v>0</v>
      </c>
      <c r="Q3524">
        <v>-2941000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 t="s">
        <v>846</v>
      </c>
      <c r="AA3524" t="s">
        <v>55</v>
      </c>
      <c r="AB3524" t="s">
        <v>51</v>
      </c>
      <c r="AC3524" t="s">
        <v>51</v>
      </c>
      <c r="AD3524" t="s">
        <v>51</v>
      </c>
      <c r="AE3524" t="s">
        <v>51</v>
      </c>
      <c r="AF3524" t="s">
        <v>2616</v>
      </c>
    </row>
    <row r="3525" spans="1:32" ht="14.5" customHeight="1" x14ac:dyDescent="0.35">
      <c r="A3525" t="s">
        <v>498</v>
      </c>
      <c r="B3525" t="s">
        <v>968</v>
      </c>
      <c r="C3525" t="s">
        <v>47</v>
      </c>
      <c r="D3525">
        <v>3100779</v>
      </c>
      <c r="E3525">
        <v>3100779</v>
      </c>
      <c r="F3525" t="s">
        <v>2615</v>
      </c>
      <c r="G3525" t="s">
        <v>2615</v>
      </c>
      <c r="H3525" t="s">
        <v>54</v>
      </c>
      <c r="I3525">
        <v>6957749</v>
      </c>
      <c r="J3525" s="12">
        <v>46112</v>
      </c>
      <c r="K3525" s="12">
        <v>46112</v>
      </c>
      <c r="L3525" s="12">
        <v>46112</v>
      </c>
      <c r="M3525">
        <v>20</v>
      </c>
      <c r="N3525">
        <v>-8020705</v>
      </c>
      <c r="O3525">
        <v>-8020705</v>
      </c>
      <c r="P3525">
        <v>0</v>
      </c>
      <c r="Q3525">
        <v>-8020705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 t="s">
        <v>47</v>
      </c>
      <c r="AA3525" t="s">
        <v>55</v>
      </c>
      <c r="AB3525" t="s">
        <v>51</v>
      </c>
      <c r="AC3525" t="s">
        <v>51</v>
      </c>
      <c r="AD3525" t="s">
        <v>51</v>
      </c>
      <c r="AE3525" t="s">
        <v>51</v>
      </c>
      <c r="AF3525" t="s">
        <v>2617</v>
      </c>
    </row>
    <row r="3526" spans="1:32" ht="14.5" customHeight="1" x14ac:dyDescent="0.35">
      <c r="A3526" t="s">
        <v>498</v>
      </c>
      <c r="B3526" t="s">
        <v>968</v>
      </c>
      <c r="C3526" t="s">
        <v>47</v>
      </c>
      <c r="D3526">
        <v>3100779</v>
      </c>
      <c r="E3526">
        <v>3100779</v>
      </c>
      <c r="F3526" t="s">
        <v>2615</v>
      </c>
      <c r="G3526" t="s">
        <v>2615</v>
      </c>
      <c r="H3526" t="s">
        <v>54</v>
      </c>
      <c r="I3526">
        <v>9903181</v>
      </c>
      <c r="J3526" s="12">
        <v>46065</v>
      </c>
      <c r="K3526" s="12">
        <v>46065</v>
      </c>
      <c r="L3526" s="12">
        <v>46133</v>
      </c>
      <c r="M3526">
        <v>-1</v>
      </c>
      <c r="N3526">
        <v>12969522</v>
      </c>
      <c r="O3526">
        <v>0</v>
      </c>
      <c r="P3526">
        <v>12969522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 t="s">
        <v>47</v>
      </c>
      <c r="AA3526" t="s">
        <v>55</v>
      </c>
      <c r="AB3526" t="s">
        <v>51</v>
      </c>
      <c r="AC3526" t="s">
        <v>2618</v>
      </c>
      <c r="AD3526" t="s">
        <v>51</v>
      </c>
      <c r="AE3526" t="s">
        <v>51</v>
      </c>
      <c r="AF3526" t="s">
        <v>56</v>
      </c>
    </row>
    <row r="3527" spans="1:32" ht="14.5" customHeight="1" x14ac:dyDescent="0.35">
      <c r="A3527" t="s">
        <v>498</v>
      </c>
      <c r="B3527" t="s">
        <v>968</v>
      </c>
      <c r="C3527" t="s">
        <v>47</v>
      </c>
      <c r="D3527">
        <v>3100779</v>
      </c>
      <c r="E3527">
        <v>3100779</v>
      </c>
      <c r="F3527" t="s">
        <v>2615</v>
      </c>
      <c r="G3527" t="s">
        <v>2615</v>
      </c>
      <c r="H3527" t="s">
        <v>54</v>
      </c>
      <c r="I3527">
        <v>9903186</v>
      </c>
      <c r="J3527" s="12">
        <v>46065</v>
      </c>
      <c r="K3527" s="12">
        <v>46065</v>
      </c>
      <c r="L3527" s="12">
        <v>46133</v>
      </c>
      <c r="M3527">
        <v>-1</v>
      </c>
      <c r="N3527">
        <v>6231885</v>
      </c>
      <c r="O3527">
        <v>0</v>
      </c>
      <c r="P3527">
        <v>6231885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 t="s">
        <v>47</v>
      </c>
      <c r="AA3527" t="s">
        <v>55</v>
      </c>
      <c r="AB3527" t="s">
        <v>51</v>
      </c>
      <c r="AC3527" t="s">
        <v>2619</v>
      </c>
      <c r="AD3527" t="s">
        <v>51</v>
      </c>
      <c r="AE3527" t="s">
        <v>51</v>
      </c>
      <c r="AF3527" t="s">
        <v>320</v>
      </c>
    </row>
    <row r="3528" spans="1:32" ht="14.5" customHeight="1" x14ac:dyDescent="0.35">
      <c r="A3528" t="s">
        <v>498</v>
      </c>
      <c r="B3528" t="s">
        <v>968</v>
      </c>
      <c r="C3528" t="s">
        <v>47</v>
      </c>
      <c r="D3528">
        <v>3100779</v>
      </c>
      <c r="E3528">
        <v>3100779</v>
      </c>
      <c r="F3528" t="s">
        <v>2615</v>
      </c>
      <c r="G3528" t="s">
        <v>2615</v>
      </c>
      <c r="H3528" t="s">
        <v>54</v>
      </c>
      <c r="I3528">
        <v>9916197</v>
      </c>
      <c r="J3528" s="12">
        <v>46097</v>
      </c>
      <c r="K3528" s="12">
        <v>46097</v>
      </c>
      <c r="L3528" s="12">
        <v>46165</v>
      </c>
      <c r="M3528">
        <v>-33</v>
      </c>
      <c r="N3528">
        <v>579759</v>
      </c>
      <c r="O3528">
        <v>0</v>
      </c>
      <c r="P3528">
        <v>579759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 t="s">
        <v>47</v>
      </c>
      <c r="AA3528" t="s">
        <v>55</v>
      </c>
      <c r="AB3528" t="s">
        <v>51</v>
      </c>
      <c r="AC3528" t="s">
        <v>51</v>
      </c>
      <c r="AD3528" t="s">
        <v>51</v>
      </c>
      <c r="AE3528" t="s">
        <v>2620</v>
      </c>
      <c r="AF3528" t="s">
        <v>508</v>
      </c>
    </row>
    <row r="3529" spans="1:32" ht="14.5" customHeight="1" x14ac:dyDescent="0.35">
      <c r="A3529" t="s">
        <v>498</v>
      </c>
      <c r="B3529" t="s">
        <v>968</v>
      </c>
      <c r="C3529" t="s">
        <v>47</v>
      </c>
      <c r="D3529">
        <v>3100779</v>
      </c>
      <c r="E3529">
        <v>3100779</v>
      </c>
      <c r="F3529" t="s">
        <v>2615</v>
      </c>
      <c r="G3529" t="s">
        <v>2615</v>
      </c>
      <c r="H3529" t="s">
        <v>54</v>
      </c>
      <c r="I3529">
        <v>9916428</v>
      </c>
      <c r="J3529" s="12">
        <v>46098</v>
      </c>
      <c r="K3529" s="12">
        <v>46098</v>
      </c>
      <c r="L3529" s="12">
        <v>46166</v>
      </c>
      <c r="M3529">
        <v>-34</v>
      </c>
      <c r="N3529">
        <v>402446510</v>
      </c>
      <c r="O3529">
        <v>0</v>
      </c>
      <c r="P3529">
        <v>402446510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 t="s">
        <v>47</v>
      </c>
      <c r="AA3529" t="s">
        <v>55</v>
      </c>
      <c r="AB3529" t="s">
        <v>51</v>
      </c>
      <c r="AC3529" t="s">
        <v>51</v>
      </c>
      <c r="AD3529" t="s">
        <v>51</v>
      </c>
      <c r="AE3529" t="s">
        <v>2621</v>
      </c>
      <c r="AF3529" t="s">
        <v>1721</v>
      </c>
    </row>
    <row r="3530" spans="1:32" ht="14.5" customHeight="1" x14ac:dyDescent="0.35">
      <c r="A3530" t="s">
        <v>498</v>
      </c>
      <c r="B3530" t="s">
        <v>968</v>
      </c>
      <c r="C3530" t="s">
        <v>47</v>
      </c>
      <c r="D3530">
        <v>3100779</v>
      </c>
      <c r="E3530">
        <v>3100780</v>
      </c>
      <c r="F3530" t="s">
        <v>2615</v>
      </c>
      <c r="G3530" t="s">
        <v>2615</v>
      </c>
      <c r="H3530" t="s">
        <v>140</v>
      </c>
      <c r="I3530">
        <v>9917463</v>
      </c>
      <c r="J3530" s="12">
        <v>46106</v>
      </c>
      <c r="K3530" s="12">
        <v>46106</v>
      </c>
      <c r="L3530" s="12">
        <v>46151</v>
      </c>
      <c r="M3530">
        <v>-19</v>
      </c>
      <c r="N3530">
        <v>15119</v>
      </c>
      <c r="O3530">
        <v>0</v>
      </c>
      <c r="P3530">
        <v>15119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 t="s">
        <v>846</v>
      </c>
      <c r="AA3530" t="s">
        <v>55</v>
      </c>
      <c r="AB3530" t="s">
        <v>51</v>
      </c>
      <c r="AC3530" t="s">
        <v>51</v>
      </c>
      <c r="AD3530" t="s">
        <v>51</v>
      </c>
      <c r="AE3530" t="s">
        <v>2622</v>
      </c>
      <c r="AF3530" t="s">
        <v>2623</v>
      </c>
    </row>
    <row r="3531" spans="1:32" ht="14.5" customHeight="1" x14ac:dyDescent="0.35">
      <c r="A3531" t="s">
        <v>498</v>
      </c>
      <c r="B3531" t="s">
        <v>968</v>
      </c>
      <c r="C3531" t="s">
        <v>47</v>
      </c>
      <c r="D3531">
        <v>3100779</v>
      </c>
      <c r="E3531">
        <v>3100779</v>
      </c>
      <c r="F3531" t="s">
        <v>2615</v>
      </c>
      <c r="G3531" t="s">
        <v>2615</v>
      </c>
      <c r="H3531" t="s">
        <v>49</v>
      </c>
      <c r="I3531">
        <v>9102074312</v>
      </c>
      <c r="J3531" s="12">
        <v>46112</v>
      </c>
      <c r="K3531" s="12">
        <v>46112</v>
      </c>
      <c r="L3531" s="12">
        <v>46112</v>
      </c>
      <c r="M3531">
        <v>20</v>
      </c>
      <c r="N3531">
        <v>308746667</v>
      </c>
      <c r="O3531">
        <v>0</v>
      </c>
      <c r="P3531">
        <v>0</v>
      </c>
      <c r="Q3531">
        <v>308746667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 t="s">
        <v>47</v>
      </c>
      <c r="AA3531" t="s">
        <v>50</v>
      </c>
      <c r="AB3531" t="s">
        <v>51</v>
      </c>
      <c r="AC3531" t="s">
        <v>51</v>
      </c>
      <c r="AD3531" t="s">
        <v>51</v>
      </c>
      <c r="AE3531" t="s">
        <v>51</v>
      </c>
      <c r="AF3531" t="s">
        <v>2624</v>
      </c>
    </row>
    <row r="3532" spans="1:32" ht="14.5" customHeight="1" x14ac:dyDescent="0.35">
      <c r="A3532" t="s">
        <v>498</v>
      </c>
      <c r="B3532" t="s">
        <v>1070</v>
      </c>
      <c r="C3532" t="s">
        <v>47</v>
      </c>
      <c r="D3532">
        <v>3100814</v>
      </c>
      <c r="E3532">
        <v>3100816</v>
      </c>
      <c r="F3532" t="s">
        <v>2625</v>
      </c>
      <c r="G3532" t="s">
        <v>2626</v>
      </c>
      <c r="H3532" t="s">
        <v>54</v>
      </c>
      <c r="I3532">
        <v>6957733</v>
      </c>
      <c r="J3532" s="12">
        <v>46112</v>
      </c>
      <c r="K3532" s="12">
        <v>46112</v>
      </c>
      <c r="L3532" s="12">
        <v>46112</v>
      </c>
      <c r="M3532">
        <v>20</v>
      </c>
      <c r="N3532">
        <v>-2852595</v>
      </c>
      <c r="O3532">
        <v>-2852595</v>
      </c>
      <c r="P3532">
        <v>0</v>
      </c>
      <c r="Q3532">
        <v>-2852595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 t="s">
        <v>47</v>
      </c>
      <c r="AA3532" t="s">
        <v>2627</v>
      </c>
      <c r="AB3532" t="s">
        <v>51</v>
      </c>
      <c r="AC3532" t="s">
        <v>51</v>
      </c>
      <c r="AD3532" t="s">
        <v>51</v>
      </c>
      <c r="AE3532" t="s">
        <v>51</v>
      </c>
      <c r="AF3532" t="s">
        <v>2628</v>
      </c>
    </row>
    <row r="3533" spans="1:32" ht="14.5" customHeight="1" x14ac:dyDescent="0.35">
      <c r="A3533" t="s">
        <v>498</v>
      </c>
      <c r="B3533" t="s">
        <v>1070</v>
      </c>
      <c r="C3533" t="s">
        <v>47</v>
      </c>
      <c r="D3533">
        <v>3100814</v>
      </c>
      <c r="E3533">
        <v>3100816</v>
      </c>
      <c r="F3533" t="s">
        <v>2625</v>
      </c>
      <c r="G3533" t="s">
        <v>2626</v>
      </c>
      <c r="H3533" t="s">
        <v>54</v>
      </c>
      <c r="I3533">
        <v>6958018</v>
      </c>
      <c r="J3533" s="12">
        <v>46118</v>
      </c>
      <c r="K3533" s="12">
        <v>46118</v>
      </c>
      <c r="L3533" s="12">
        <v>46118</v>
      </c>
      <c r="M3533">
        <v>14</v>
      </c>
      <c r="N3533">
        <v>-29675960</v>
      </c>
      <c r="O3533">
        <v>-29675960</v>
      </c>
      <c r="P3533">
        <v>0</v>
      </c>
      <c r="Q3533">
        <v>-29675960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 t="s">
        <v>47</v>
      </c>
      <c r="AA3533" t="s">
        <v>2627</v>
      </c>
      <c r="AB3533" t="s">
        <v>51</v>
      </c>
      <c r="AC3533" t="s">
        <v>51</v>
      </c>
      <c r="AD3533" t="s">
        <v>51</v>
      </c>
      <c r="AE3533" t="s">
        <v>51</v>
      </c>
      <c r="AF3533" t="s">
        <v>309</v>
      </c>
    </row>
    <row r="3534" spans="1:32" ht="14.5" customHeight="1" x14ac:dyDescent="0.35">
      <c r="A3534" t="s">
        <v>498</v>
      </c>
      <c r="B3534" t="s">
        <v>1070</v>
      </c>
      <c r="C3534" t="s">
        <v>47</v>
      </c>
      <c r="D3534">
        <v>3100814</v>
      </c>
      <c r="E3534">
        <v>3100816</v>
      </c>
      <c r="F3534" t="s">
        <v>2625</v>
      </c>
      <c r="G3534" t="s">
        <v>2626</v>
      </c>
      <c r="H3534" t="s">
        <v>54</v>
      </c>
      <c r="I3534">
        <v>6958098</v>
      </c>
      <c r="J3534" s="12">
        <v>46119</v>
      </c>
      <c r="K3534" s="12">
        <v>46119</v>
      </c>
      <c r="L3534" s="12">
        <v>46119</v>
      </c>
      <c r="M3534">
        <v>13</v>
      </c>
      <c r="N3534">
        <v>-3848375</v>
      </c>
      <c r="O3534">
        <v>-3848375</v>
      </c>
      <c r="P3534">
        <v>0</v>
      </c>
      <c r="Q3534">
        <v>-3848375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 t="s">
        <v>47</v>
      </c>
      <c r="AA3534" t="s">
        <v>2627</v>
      </c>
      <c r="AB3534" t="s">
        <v>51</v>
      </c>
      <c r="AC3534" t="s">
        <v>51</v>
      </c>
      <c r="AD3534" t="s">
        <v>51</v>
      </c>
      <c r="AE3534" t="s">
        <v>51</v>
      </c>
      <c r="AF3534" t="s">
        <v>2629</v>
      </c>
    </row>
    <row r="3535" spans="1:32" ht="14.5" customHeight="1" x14ac:dyDescent="0.35">
      <c r="A3535" t="s">
        <v>498</v>
      </c>
      <c r="B3535" t="s">
        <v>1070</v>
      </c>
      <c r="C3535" t="s">
        <v>47</v>
      </c>
      <c r="D3535">
        <v>3100814</v>
      </c>
      <c r="E3535">
        <v>3100816</v>
      </c>
      <c r="F3535" t="s">
        <v>2625</v>
      </c>
      <c r="G3535" t="s">
        <v>2626</v>
      </c>
      <c r="H3535" t="s">
        <v>54</v>
      </c>
      <c r="I3535">
        <v>6958102</v>
      </c>
      <c r="J3535" s="12">
        <v>46119</v>
      </c>
      <c r="K3535" s="12">
        <v>46119</v>
      </c>
      <c r="L3535" s="12">
        <v>46119</v>
      </c>
      <c r="M3535">
        <v>13</v>
      </c>
      <c r="N3535">
        <v>-7881043</v>
      </c>
      <c r="O3535">
        <v>-7881043</v>
      </c>
      <c r="P3535">
        <v>0</v>
      </c>
      <c r="Q3535">
        <v>-7881043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 t="s">
        <v>47</v>
      </c>
      <c r="AA3535" t="s">
        <v>2627</v>
      </c>
      <c r="AB3535" t="s">
        <v>51</v>
      </c>
      <c r="AC3535" t="s">
        <v>51</v>
      </c>
      <c r="AD3535" t="s">
        <v>51</v>
      </c>
      <c r="AE3535" t="s">
        <v>51</v>
      </c>
      <c r="AF3535" t="s">
        <v>312</v>
      </c>
    </row>
    <row r="3536" spans="1:32" ht="14.5" customHeight="1" x14ac:dyDescent="0.35">
      <c r="A3536" t="s">
        <v>498</v>
      </c>
      <c r="B3536" t="s">
        <v>1070</v>
      </c>
      <c r="C3536" t="s">
        <v>47</v>
      </c>
      <c r="D3536">
        <v>3100814</v>
      </c>
      <c r="E3536">
        <v>3100814</v>
      </c>
      <c r="F3536" t="s">
        <v>2625</v>
      </c>
      <c r="G3536" t="s">
        <v>2625</v>
      </c>
      <c r="H3536" t="s">
        <v>54</v>
      </c>
      <c r="I3536">
        <v>6960153</v>
      </c>
      <c r="J3536" s="12">
        <v>46130</v>
      </c>
      <c r="K3536" s="12">
        <v>46130</v>
      </c>
      <c r="L3536" s="12">
        <v>46130</v>
      </c>
      <c r="M3536">
        <v>2</v>
      </c>
      <c r="N3536">
        <v>-77707</v>
      </c>
      <c r="O3536">
        <v>-77707</v>
      </c>
      <c r="P3536">
        <v>0</v>
      </c>
      <c r="Q3536">
        <v>-77707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 t="s">
        <v>47</v>
      </c>
      <c r="AA3536" t="s">
        <v>2627</v>
      </c>
      <c r="AB3536" t="s">
        <v>51</v>
      </c>
      <c r="AC3536" t="s">
        <v>51</v>
      </c>
      <c r="AD3536" t="s">
        <v>51</v>
      </c>
      <c r="AE3536" t="s">
        <v>51</v>
      </c>
      <c r="AF3536" t="s">
        <v>64</v>
      </c>
    </row>
    <row r="3537" spans="1:32" ht="14.5" customHeight="1" x14ac:dyDescent="0.35">
      <c r="A3537" t="s">
        <v>498</v>
      </c>
      <c r="B3537" t="s">
        <v>1070</v>
      </c>
      <c r="C3537" t="s">
        <v>47</v>
      </c>
      <c r="D3537">
        <v>3100814</v>
      </c>
      <c r="E3537">
        <v>3100814</v>
      </c>
      <c r="F3537" t="s">
        <v>2625</v>
      </c>
      <c r="G3537" t="s">
        <v>2625</v>
      </c>
      <c r="H3537" t="s">
        <v>54</v>
      </c>
      <c r="I3537">
        <v>6960154</v>
      </c>
      <c r="J3537" s="12">
        <v>46130</v>
      </c>
      <c r="K3537" s="12">
        <v>46130</v>
      </c>
      <c r="L3537" s="12">
        <v>46130</v>
      </c>
      <c r="M3537">
        <v>2</v>
      </c>
      <c r="N3537">
        <v>-243107</v>
      </c>
      <c r="O3537">
        <v>-243107</v>
      </c>
      <c r="P3537">
        <v>0</v>
      </c>
      <c r="Q3537">
        <v>-243107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 t="s">
        <v>47</v>
      </c>
      <c r="AA3537" t="s">
        <v>2627</v>
      </c>
      <c r="AB3537" t="s">
        <v>51</v>
      </c>
      <c r="AC3537" t="s">
        <v>51</v>
      </c>
      <c r="AD3537" t="s">
        <v>51</v>
      </c>
      <c r="AE3537" t="s">
        <v>51</v>
      </c>
      <c r="AF3537" t="s">
        <v>77</v>
      </c>
    </row>
    <row r="3538" spans="1:32" ht="14.5" customHeight="1" x14ac:dyDescent="0.35">
      <c r="A3538" t="s">
        <v>498</v>
      </c>
      <c r="B3538" t="s">
        <v>1070</v>
      </c>
      <c r="C3538" t="s">
        <v>47</v>
      </c>
      <c r="D3538">
        <v>3100814</v>
      </c>
      <c r="E3538">
        <v>3100814</v>
      </c>
      <c r="F3538" t="s">
        <v>2625</v>
      </c>
      <c r="G3538" t="s">
        <v>2625</v>
      </c>
      <c r="H3538" t="s">
        <v>54</v>
      </c>
      <c r="I3538">
        <v>6960159</v>
      </c>
      <c r="J3538" s="12">
        <v>46130</v>
      </c>
      <c r="K3538" s="12">
        <v>46130</v>
      </c>
      <c r="L3538" s="12">
        <v>46130</v>
      </c>
      <c r="M3538">
        <v>2</v>
      </c>
      <c r="N3538">
        <v>-30593737</v>
      </c>
      <c r="O3538">
        <v>-30593737</v>
      </c>
      <c r="P3538">
        <v>0</v>
      </c>
      <c r="Q3538">
        <v>-30593737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 t="s">
        <v>47</v>
      </c>
      <c r="AA3538" t="s">
        <v>2627</v>
      </c>
      <c r="AB3538" t="s">
        <v>51</v>
      </c>
      <c r="AC3538" t="s">
        <v>51</v>
      </c>
      <c r="AD3538" t="s">
        <v>51</v>
      </c>
      <c r="AE3538" t="s">
        <v>51</v>
      </c>
      <c r="AF3538" t="s">
        <v>56</v>
      </c>
    </row>
    <row r="3539" spans="1:32" ht="14.5" customHeight="1" x14ac:dyDescent="0.35">
      <c r="A3539" t="s">
        <v>498</v>
      </c>
      <c r="B3539" t="s">
        <v>1070</v>
      </c>
      <c r="C3539" t="s">
        <v>596</v>
      </c>
      <c r="D3539">
        <v>3100814</v>
      </c>
      <c r="E3539">
        <v>3100819</v>
      </c>
      <c r="F3539" t="s">
        <v>2625</v>
      </c>
      <c r="G3539" t="s">
        <v>2626</v>
      </c>
      <c r="H3539" t="s">
        <v>54</v>
      </c>
      <c r="I3539">
        <v>9912325</v>
      </c>
      <c r="J3539" s="12">
        <v>46088</v>
      </c>
      <c r="K3539" s="12">
        <v>46088</v>
      </c>
      <c r="L3539" s="12">
        <v>46129</v>
      </c>
      <c r="M3539">
        <v>3</v>
      </c>
      <c r="N3539">
        <v>152442385</v>
      </c>
      <c r="O3539">
        <v>0</v>
      </c>
      <c r="P3539">
        <v>0</v>
      </c>
      <c r="Q3539">
        <v>152442385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 t="s">
        <v>596</v>
      </c>
      <c r="AA3539" t="s">
        <v>2627</v>
      </c>
      <c r="AB3539" t="s">
        <v>51</v>
      </c>
      <c r="AC3539" t="s">
        <v>51</v>
      </c>
      <c r="AD3539" t="s">
        <v>51</v>
      </c>
      <c r="AE3539" t="s">
        <v>51</v>
      </c>
      <c r="AF3539" t="s">
        <v>195</v>
      </c>
    </row>
    <row r="3540" spans="1:32" ht="14.5" customHeight="1" x14ac:dyDescent="0.35">
      <c r="A3540" t="s">
        <v>498</v>
      </c>
      <c r="B3540" t="s">
        <v>1070</v>
      </c>
      <c r="C3540" t="s">
        <v>596</v>
      </c>
      <c r="D3540">
        <v>3100814</v>
      </c>
      <c r="E3540">
        <v>3100818</v>
      </c>
      <c r="F3540" t="s">
        <v>2625</v>
      </c>
      <c r="G3540" t="s">
        <v>2625</v>
      </c>
      <c r="H3540" t="s">
        <v>54</v>
      </c>
      <c r="I3540">
        <v>9915996</v>
      </c>
      <c r="J3540" s="12">
        <v>46097</v>
      </c>
      <c r="K3540" s="12">
        <v>46097</v>
      </c>
      <c r="L3540" s="12">
        <v>46138</v>
      </c>
      <c r="M3540">
        <v>-6</v>
      </c>
      <c r="N3540">
        <v>259587553</v>
      </c>
      <c r="O3540">
        <v>0</v>
      </c>
      <c r="P3540">
        <v>259587553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 t="s">
        <v>596</v>
      </c>
      <c r="AA3540" t="s">
        <v>2627</v>
      </c>
      <c r="AB3540" t="s">
        <v>51</v>
      </c>
      <c r="AC3540" t="s">
        <v>2630</v>
      </c>
      <c r="AD3540" t="s">
        <v>51</v>
      </c>
      <c r="AE3540" t="s">
        <v>51</v>
      </c>
      <c r="AF3540" t="s">
        <v>440</v>
      </c>
    </row>
    <row r="3541" spans="1:32" ht="14.5" customHeight="1" x14ac:dyDescent="0.35">
      <c r="A3541" t="s">
        <v>498</v>
      </c>
      <c r="B3541" t="s">
        <v>1070</v>
      </c>
      <c r="C3541" t="s">
        <v>596</v>
      </c>
      <c r="D3541">
        <v>3100814</v>
      </c>
      <c r="E3541">
        <v>3100819</v>
      </c>
      <c r="F3541" t="s">
        <v>2625</v>
      </c>
      <c r="G3541" t="s">
        <v>2626</v>
      </c>
      <c r="H3541" t="s">
        <v>54</v>
      </c>
      <c r="I3541">
        <v>9922055</v>
      </c>
      <c r="J3541" s="12">
        <v>46116</v>
      </c>
      <c r="K3541" s="12">
        <v>46116</v>
      </c>
      <c r="L3541" s="12">
        <v>46157</v>
      </c>
      <c r="M3541">
        <v>-25</v>
      </c>
      <c r="N3541">
        <v>189288919</v>
      </c>
      <c r="O3541">
        <v>0</v>
      </c>
      <c r="P3541">
        <v>189288919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 t="s">
        <v>596</v>
      </c>
      <c r="AA3541" t="s">
        <v>2627</v>
      </c>
      <c r="AB3541" t="s">
        <v>51</v>
      </c>
      <c r="AC3541" t="s">
        <v>51</v>
      </c>
      <c r="AD3541" t="s">
        <v>51</v>
      </c>
      <c r="AE3541" t="s">
        <v>2631</v>
      </c>
      <c r="AF3541" t="s">
        <v>2632</v>
      </c>
    </row>
    <row r="3542" spans="1:32" ht="14.5" customHeight="1" x14ac:dyDescent="0.35">
      <c r="A3542" t="s">
        <v>498</v>
      </c>
      <c r="B3542" t="s">
        <v>1070</v>
      </c>
      <c r="C3542" t="s">
        <v>596</v>
      </c>
      <c r="D3542">
        <v>3100814</v>
      </c>
      <c r="E3542">
        <v>3100818</v>
      </c>
      <c r="F3542" t="s">
        <v>2625</v>
      </c>
      <c r="G3542" t="s">
        <v>2625</v>
      </c>
      <c r="H3542" t="s">
        <v>54</v>
      </c>
      <c r="I3542">
        <v>9922346</v>
      </c>
      <c r="J3542" s="12">
        <v>46118</v>
      </c>
      <c r="K3542" s="12">
        <v>46118</v>
      </c>
      <c r="L3542" s="12">
        <v>46159</v>
      </c>
      <c r="M3542">
        <v>-27</v>
      </c>
      <c r="N3542">
        <v>329734729</v>
      </c>
      <c r="O3542">
        <v>0</v>
      </c>
      <c r="P3542">
        <v>329734729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 t="s">
        <v>596</v>
      </c>
      <c r="AA3542" t="s">
        <v>2627</v>
      </c>
      <c r="AB3542" t="s">
        <v>51</v>
      </c>
      <c r="AC3542" t="s">
        <v>51</v>
      </c>
      <c r="AD3542" t="s">
        <v>51</v>
      </c>
      <c r="AE3542" t="s">
        <v>2633</v>
      </c>
      <c r="AF3542" t="s">
        <v>595</v>
      </c>
    </row>
    <row r="3543" spans="1:32" ht="14.5" customHeight="1" x14ac:dyDescent="0.35">
      <c r="A3543" t="s">
        <v>498</v>
      </c>
      <c r="B3543" t="s">
        <v>1070</v>
      </c>
      <c r="C3543" t="s">
        <v>596</v>
      </c>
      <c r="D3543">
        <v>3100814</v>
      </c>
      <c r="E3543">
        <v>3100814</v>
      </c>
      <c r="F3543" t="s">
        <v>2625</v>
      </c>
      <c r="G3543" t="s">
        <v>2625</v>
      </c>
      <c r="H3543" t="s">
        <v>761</v>
      </c>
      <c r="I3543">
        <v>9103000986</v>
      </c>
      <c r="J3543" s="12">
        <v>46129</v>
      </c>
      <c r="K3543" s="12">
        <v>46129</v>
      </c>
      <c r="L3543" s="12">
        <v>46129</v>
      </c>
      <c r="M3543">
        <v>3</v>
      </c>
      <c r="N3543">
        <v>236450860</v>
      </c>
      <c r="O3543">
        <v>0</v>
      </c>
      <c r="P3543">
        <v>0</v>
      </c>
      <c r="Q3543">
        <v>236450860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 t="s">
        <v>47</v>
      </c>
      <c r="AA3543" t="s">
        <v>50</v>
      </c>
      <c r="AB3543" t="s">
        <v>51</v>
      </c>
      <c r="AC3543" t="s">
        <v>51</v>
      </c>
      <c r="AD3543" t="s">
        <v>51</v>
      </c>
      <c r="AE3543" t="s">
        <v>51</v>
      </c>
      <c r="AF3543" t="s">
        <v>2634</v>
      </c>
    </row>
    <row r="3544" spans="1:32" ht="14.5" customHeight="1" x14ac:dyDescent="0.35">
      <c r="A3544" t="s">
        <v>1593</v>
      </c>
      <c r="B3544" t="s">
        <v>371</v>
      </c>
      <c r="C3544" t="s">
        <v>60</v>
      </c>
      <c r="D3544">
        <v>3100820</v>
      </c>
      <c r="E3544">
        <v>3100821</v>
      </c>
      <c r="F3544" t="s">
        <v>2635</v>
      </c>
      <c r="G3544" t="s">
        <v>2635</v>
      </c>
      <c r="H3544" t="s">
        <v>54</v>
      </c>
      <c r="I3544">
        <v>9920202</v>
      </c>
      <c r="J3544" s="12">
        <v>46111</v>
      </c>
      <c r="K3544" s="12">
        <v>46111</v>
      </c>
      <c r="L3544" s="12">
        <v>46141</v>
      </c>
      <c r="M3544">
        <v>-9</v>
      </c>
      <c r="N3544">
        <v>191342514</v>
      </c>
      <c r="O3544">
        <v>0</v>
      </c>
      <c r="P3544">
        <v>191342514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 t="s">
        <v>60</v>
      </c>
      <c r="AA3544" t="s">
        <v>501</v>
      </c>
      <c r="AB3544" t="s">
        <v>51</v>
      </c>
      <c r="AC3544" t="s">
        <v>51</v>
      </c>
      <c r="AD3544" t="s">
        <v>2636</v>
      </c>
      <c r="AE3544" t="s">
        <v>51</v>
      </c>
      <c r="AF3544" t="s">
        <v>195</v>
      </c>
    </row>
    <row r="3545" spans="1:32" ht="14.5" customHeight="1" x14ac:dyDescent="0.35">
      <c r="A3545" t="s">
        <v>1593</v>
      </c>
      <c r="B3545" t="s">
        <v>371</v>
      </c>
      <c r="C3545" t="s">
        <v>60</v>
      </c>
      <c r="D3545">
        <v>3100820</v>
      </c>
      <c r="E3545">
        <v>3100821</v>
      </c>
      <c r="F3545" t="s">
        <v>2635</v>
      </c>
      <c r="G3545" t="s">
        <v>2635</v>
      </c>
      <c r="H3545" t="s">
        <v>54</v>
      </c>
      <c r="I3545">
        <v>9924551</v>
      </c>
      <c r="J3545" s="12">
        <v>46123</v>
      </c>
      <c r="K3545" s="12">
        <v>46123</v>
      </c>
      <c r="L3545" s="12">
        <v>46153</v>
      </c>
      <c r="M3545">
        <v>-21</v>
      </c>
      <c r="N3545">
        <v>269253519</v>
      </c>
      <c r="O3545">
        <v>0</v>
      </c>
      <c r="P3545">
        <v>269253519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 t="s">
        <v>60</v>
      </c>
      <c r="AA3545" t="s">
        <v>501</v>
      </c>
      <c r="AB3545" t="s">
        <v>51</v>
      </c>
      <c r="AC3545" t="s">
        <v>51</v>
      </c>
      <c r="AD3545" t="s">
        <v>51</v>
      </c>
      <c r="AE3545" t="s">
        <v>2637</v>
      </c>
      <c r="AF3545" t="s">
        <v>2638</v>
      </c>
    </row>
    <row r="3546" spans="1:32" ht="14.5" customHeight="1" x14ac:dyDescent="0.35">
      <c r="A3546" t="s">
        <v>1593</v>
      </c>
      <c r="B3546" t="s">
        <v>371</v>
      </c>
      <c r="C3546" t="s">
        <v>60</v>
      </c>
      <c r="D3546">
        <v>3100820</v>
      </c>
      <c r="E3546">
        <v>3100821</v>
      </c>
      <c r="F3546" t="s">
        <v>2635</v>
      </c>
      <c r="G3546" t="s">
        <v>2635</v>
      </c>
      <c r="H3546" t="s">
        <v>54</v>
      </c>
      <c r="I3546">
        <v>9927383</v>
      </c>
      <c r="J3546" s="12">
        <v>46130</v>
      </c>
      <c r="K3546" s="12">
        <v>46130</v>
      </c>
      <c r="L3546" s="12">
        <v>46160</v>
      </c>
      <c r="M3546">
        <v>-28</v>
      </c>
      <c r="N3546">
        <v>139939964</v>
      </c>
      <c r="O3546">
        <v>0</v>
      </c>
      <c r="P3546">
        <v>139939964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 t="s">
        <v>60</v>
      </c>
      <c r="AA3546" t="s">
        <v>501</v>
      </c>
      <c r="AB3546" t="s">
        <v>51</v>
      </c>
      <c r="AC3546" t="s">
        <v>51</v>
      </c>
      <c r="AD3546" t="s">
        <v>51</v>
      </c>
      <c r="AE3546" t="s">
        <v>2639</v>
      </c>
      <c r="AF3546" t="s">
        <v>530</v>
      </c>
    </row>
    <row r="3547" spans="1:32" ht="14.5" customHeight="1" x14ac:dyDescent="0.35">
      <c r="A3547" t="s">
        <v>498</v>
      </c>
      <c r="B3547" t="s">
        <v>1070</v>
      </c>
      <c r="C3547" t="s">
        <v>47</v>
      </c>
      <c r="D3547">
        <v>3100828</v>
      </c>
      <c r="E3547">
        <v>3100828</v>
      </c>
      <c r="F3547" t="s">
        <v>2640</v>
      </c>
      <c r="G3547" t="s">
        <v>2640</v>
      </c>
      <c r="H3547" t="s">
        <v>54</v>
      </c>
      <c r="I3547">
        <v>6957705</v>
      </c>
      <c r="J3547" s="12">
        <v>46112</v>
      </c>
      <c r="K3547" s="12">
        <v>46112</v>
      </c>
      <c r="L3547" s="12">
        <v>46112</v>
      </c>
      <c r="M3547">
        <v>20</v>
      </c>
      <c r="N3547">
        <v>-426674</v>
      </c>
      <c r="O3547">
        <v>-426674</v>
      </c>
      <c r="P3547">
        <v>0</v>
      </c>
      <c r="Q3547">
        <v>-426674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 t="s">
        <v>47</v>
      </c>
      <c r="AA3547" t="s">
        <v>501</v>
      </c>
      <c r="AB3547" t="s">
        <v>51</v>
      </c>
      <c r="AC3547" t="s">
        <v>51</v>
      </c>
      <c r="AD3547" t="s">
        <v>51</v>
      </c>
      <c r="AE3547" t="s">
        <v>51</v>
      </c>
      <c r="AF3547" t="s">
        <v>2641</v>
      </c>
    </row>
    <row r="3548" spans="1:32" ht="14.5" customHeight="1" x14ac:dyDescent="0.35">
      <c r="A3548" t="s">
        <v>498</v>
      </c>
      <c r="B3548" t="s">
        <v>1070</v>
      </c>
      <c r="C3548" t="s">
        <v>47</v>
      </c>
      <c r="D3548">
        <v>3100828</v>
      </c>
      <c r="E3548">
        <v>3100828</v>
      </c>
      <c r="F3548" t="s">
        <v>2640</v>
      </c>
      <c r="G3548" t="s">
        <v>2640</v>
      </c>
      <c r="H3548" t="s">
        <v>54</v>
      </c>
      <c r="I3548">
        <v>6960236</v>
      </c>
      <c r="J3548" s="12">
        <v>46130</v>
      </c>
      <c r="K3548" s="12">
        <v>46130</v>
      </c>
      <c r="L3548" s="12">
        <v>46130</v>
      </c>
      <c r="M3548">
        <v>2</v>
      </c>
      <c r="N3548">
        <v>-5691073</v>
      </c>
      <c r="O3548">
        <v>-5691073</v>
      </c>
      <c r="P3548">
        <v>0</v>
      </c>
      <c r="Q3548">
        <v>-5691073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 t="s">
        <v>47</v>
      </c>
      <c r="AA3548" t="s">
        <v>501</v>
      </c>
      <c r="AB3548" t="s">
        <v>51</v>
      </c>
      <c r="AC3548" t="s">
        <v>51</v>
      </c>
      <c r="AD3548" t="s">
        <v>51</v>
      </c>
      <c r="AE3548" t="s">
        <v>51</v>
      </c>
      <c r="AF3548" t="s">
        <v>106</v>
      </c>
    </row>
    <row r="3549" spans="1:32" ht="14.5" customHeight="1" x14ac:dyDescent="0.35">
      <c r="A3549" t="s">
        <v>498</v>
      </c>
      <c r="B3549" t="s">
        <v>1070</v>
      </c>
      <c r="C3549" t="s">
        <v>596</v>
      </c>
      <c r="D3549">
        <v>3100828</v>
      </c>
      <c r="E3549">
        <v>3100833</v>
      </c>
      <c r="F3549" t="s">
        <v>2640</v>
      </c>
      <c r="G3549" t="s">
        <v>2640</v>
      </c>
      <c r="H3549" t="s">
        <v>54</v>
      </c>
      <c r="I3549">
        <v>9922053</v>
      </c>
      <c r="J3549" s="12">
        <v>46116</v>
      </c>
      <c r="K3549" s="12">
        <v>46116</v>
      </c>
      <c r="L3549" s="12">
        <v>46146</v>
      </c>
      <c r="M3549">
        <v>-14</v>
      </c>
      <c r="N3549">
        <v>225643024</v>
      </c>
      <c r="O3549">
        <v>0</v>
      </c>
      <c r="P3549">
        <v>225643024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 t="s">
        <v>596</v>
      </c>
      <c r="AA3549" t="s">
        <v>501</v>
      </c>
      <c r="AB3549" t="s">
        <v>51</v>
      </c>
      <c r="AC3549" t="s">
        <v>51</v>
      </c>
      <c r="AD3549" t="s">
        <v>2642</v>
      </c>
      <c r="AE3549" t="s">
        <v>51</v>
      </c>
      <c r="AF3549" t="s">
        <v>195</v>
      </c>
    </row>
    <row r="3550" spans="1:32" ht="14.5" customHeight="1" x14ac:dyDescent="0.35">
      <c r="A3550" t="s">
        <v>498</v>
      </c>
      <c r="B3550" t="s">
        <v>1070</v>
      </c>
      <c r="C3550" t="s">
        <v>47</v>
      </c>
      <c r="D3550">
        <v>3100828</v>
      </c>
      <c r="E3550">
        <v>3100828</v>
      </c>
      <c r="F3550" t="s">
        <v>2640</v>
      </c>
      <c r="G3550" t="s">
        <v>2640</v>
      </c>
      <c r="H3550" t="s">
        <v>140</v>
      </c>
      <c r="I3550">
        <v>9927309</v>
      </c>
      <c r="J3550" s="12">
        <v>46130</v>
      </c>
      <c r="K3550" s="12">
        <v>46130</v>
      </c>
      <c r="L3550" s="12">
        <v>46160</v>
      </c>
      <c r="M3550">
        <v>-28</v>
      </c>
      <c r="N3550">
        <v>26207</v>
      </c>
      <c r="O3550">
        <v>0</v>
      </c>
      <c r="P3550">
        <v>26207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 t="s">
        <v>47</v>
      </c>
      <c r="AA3550" t="s">
        <v>501</v>
      </c>
      <c r="AB3550" t="s">
        <v>51</v>
      </c>
      <c r="AC3550" t="s">
        <v>51</v>
      </c>
      <c r="AD3550" t="s">
        <v>51</v>
      </c>
      <c r="AE3550" t="s">
        <v>2643</v>
      </c>
      <c r="AF3550" t="s">
        <v>839</v>
      </c>
    </row>
    <row r="3551" spans="1:32" ht="14.5" customHeight="1" x14ac:dyDescent="0.35">
      <c r="A3551" t="s">
        <v>498</v>
      </c>
      <c r="B3551" t="s">
        <v>2644</v>
      </c>
      <c r="C3551" t="s">
        <v>47</v>
      </c>
      <c r="D3551">
        <v>3100830</v>
      </c>
      <c r="E3551">
        <v>3100830</v>
      </c>
      <c r="F3551" t="s">
        <v>2645</v>
      </c>
      <c r="G3551" t="s">
        <v>2645</v>
      </c>
      <c r="H3551" t="s">
        <v>54</v>
      </c>
      <c r="I3551">
        <v>6955664</v>
      </c>
      <c r="J3551" s="12">
        <v>46095</v>
      </c>
      <c r="K3551" s="12">
        <v>46095</v>
      </c>
      <c r="L3551" s="12">
        <v>46095</v>
      </c>
      <c r="M3551">
        <v>37</v>
      </c>
      <c r="N3551">
        <v>-4234502</v>
      </c>
      <c r="O3551">
        <v>-4234502</v>
      </c>
      <c r="P3551">
        <v>0</v>
      </c>
      <c r="Q3551">
        <v>0</v>
      </c>
      <c r="R3551">
        <v>-4234502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 t="s">
        <v>47</v>
      </c>
      <c r="AA3551" t="s">
        <v>501</v>
      </c>
      <c r="AB3551" t="s">
        <v>51</v>
      </c>
      <c r="AC3551" t="s">
        <v>51</v>
      </c>
      <c r="AD3551" t="s">
        <v>51</v>
      </c>
      <c r="AE3551" t="s">
        <v>51</v>
      </c>
      <c r="AF3551" t="s">
        <v>2646</v>
      </c>
    </row>
    <row r="3552" spans="1:32" ht="14.5" customHeight="1" x14ac:dyDescent="0.35">
      <c r="A3552" t="s">
        <v>498</v>
      </c>
      <c r="B3552" t="s">
        <v>2644</v>
      </c>
      <c r="C3552" t="s">
        <v>47</v>
      </c>
      <c r="D3552">
        <v>3100830</v>
      </c>
      <c r="E3552">
        <v>3100830</v>
      </c>
      <c r="F3552" t="s">
        <v>2645</v>
      </c>
      <c r="G3552" t="s">
        <v>2645</v>
      </c>
      <c r="H3552" t="s">
        <v>54</v>
      </c>
      <c r="I3552">
        <v>6957681</v>
      </c>
      <c r="J3552" s="12">
        <v>46111</v>
      </c>
      <c r="K3552" s="12">
        <v>46111</v>
      </c>
      <c r="L3552" s="12">
        <v>46111</v>
      </c>
      <c r="M3552">
        <v>21</v>
      </c>
      <c r="N3552">
        <v>-1063422</v>
      </c>
      <c r="O3552">
        <v>-1063422</v>
      </c>
      <c r="P3552">
        <v>0</v>
      </c>
      <c r="Q3552">
        <v>-1063422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 t="s">
        <v>47</v>
      </c>
      <c r="AA3552" t="s">
        <v>501</v>
      </c>
      <c r="AB3552" t="s">
        <v>51</v>
      </c>
      <c r="AC3552" t="s">
        <v>51</v>
      </c>
      <c r="AD3552" t="s">
        <v>51</v>
      </c>
      <c r="AE3552" t="s">
        <v>51</v>
      </c>
      <c r="AF3552" t="s">
        <v>2647</v>
      </c>
    </row>
    <row r="3553" spans="1:32" ht="14.5" customHeight="1" x14ac:dyDescent="0.35">
      <c r="A3553" t="s">
        <v>498</v>
      </c>
      <c r="B3553" t="s">
        <v>2644</v>
      </c>
      <c r="C3553" t="s">
        <v>596</v>
      </c>
      <c r="D3553">
        <v>3100830</v>
      </c>
      <c r="E3553">
        <v>3100832</v>
      </c>
      <c r="F3553" t="s">
        <v>2645</v>
      </c>
      <c r="G3553" t="s">
        <v>2645</v>
      </c>
      <c r="H3553" t="s">
        <v>54</v>
      </c>
      <c r="I3553">
        <v>9920813</v>
      </c>
      <c r="J3553" s="12">
        <v>46112</v>
      </c>
      <c r="K3553" s="12">
        <v>46112</v>
      </c>
      <c r="L3553" s="12">
        <v>46142</v>
      </c>
      <c r="M3553">
        <v>-10</v>
      </c>
      <c r="N3553">
        <v>179050277</v>
      </c>
      <c r="O3553">
        <v>0</v>
      </c>
      <c r="P3553">
        <v>179050277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 t="s">
        <v>596</v>
      </c>
      <c r="AA3553" t="s">
        <v>501</v>
      </c>
      <c r="AB3553" t="s">
        <v>51</v>
      </c>
      <c r="AC3553" t="s">
        <v>51</v>
      </c>
      <c r="AD3553" t="s">
        <v>2648</v>
      </c>
      <c r="AE3553" t="s">
        <v>51</v>
      </c>
      <c r="AF3553" t="s">
        <v>62</v>
      </c>
    </row>
    <row r="3554" spans="1:32" ht="14.5" customHeight="1" x14ac:dyDescent="0.35">
      <c r="A3554" t="s">
        <v>498</v>
      </c>
      <c r="B3554" t="s">
        <v>2644</v>
      </c>
      <c r="C3554" t="s">
        <v>47</v>
      </c>
      <c r="D3554">
        <v>3100830</v>
      </c>
      <c r="E3554">
        <v>3100830</v>
      </c>
      <c r="F3554" t="s">
        <v>2645</v>
      </c>
      <c r="G3554" t="s">
        <v>2645</v>
      </c>
      <c r="H3554" t="s">
        <v>49</v>
      </c>
      <c r="I3554">
        <v>9102073728</v>
      </c>
      <c r="J3554" s="12">
        <v>46112</v>
      </c>
      <c r="K3554" s="12">
        <v>46112</v>
      </c>
      <c r="L3554" s="12">
        <v>46112</v>
      </c>
      <c r="M3554">
        <v>20</v>
      </c>
      <c r="N3554">
        <v>-25837277</v>
      </c>
      <c r="O3554">
        <v>-25837277</v>
      </c>
      <c r="P3554">
        <v>0</v>
      </c>
      <c r="Q3554">
        <v>-25837277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 t="s">
        <v>47</v>
      </c>
      <c r="AA3554" t="s">
        <v>50</v>
      </c>
      <c r="AB3554" t="s">
        <v>51</v>
      </c>
      <c r="AC3554" t="s">
        <v>51</v>
      </c>
      <c r="AD3554" t="s">
        <v>51</v>
      </c>
      <c r="AE3554" t="s">
        <v>51</v>
      </c>
      <c r="AF3554" t="s">
        <v>2649</v>
      </c>
    </row>
    <row r="3555" spans="1:32" ht="14.5" customHeight="1" x14ac:dyDescent="0.35">
      <c r="A3555" t="s">
        <v>651</v>
      </c>
      <c r="B3555" t="s">
        <v>652</v>
      </c>
      <c r="C3555" t="s">
        <v>47</v>
      </c>
      <c r="D3555">
        <v>3100835</v>
      </c>
      <c r="E3555">
        <v>3100844</v>
      </c>
      <c r="F3555" t="s">
        <v>2650</v>
      </c>
      <c r="G3555" t="s">
        <v>2651</v>
      </c>
      <c r="H3555" t="s">
        <v>54</v>
      </c>
      <c r="I3555">
        <v>6957682</v>
      </c>
      <c r="J3555" s="12">
        <v>46111</v>
      </c>
      <c r="K3555" s="12">
        <v>46111</v>
      </c>
      <c r="L3555" s="12">
        <v>46111</v>
      </c>
      <c r="M3555">
        <v>21</v>
      </c>
      <c r="N3555">
        <v>-970492</v>
      </c>
      <c r="O3555">
        <v>-970492</v>
      </c>
      <c r="P3555">
        <v>0</v>
      </c>
      <c r="Q3555">
        <v>-970492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 t="s">
        <v>47</v>
      </c>
      <c r="AA3555" t="s">
        <v>501</v>
      </c>
      <c r="AB3555" t="s">
        <v>51</v>
      </c>
      <c r="AC3555" t="s">
        <v>51</v>
      </c>
      <c r="AD3555" t="s">
        <v>51</v>
      </c>
      <c r="AE3555" t="s">
        <v>51</v>
      </c>
      <c r="AF3555" t="s">
        <v>2652</v>
      </c>
    </row>
    <row r="3556" spans="1:32" ht="14.5" customHeight="1" x14ac:dyDescent="0.35">
      <c r="A3556" t="s">
        <v>651</v>
      </c>
      <c r="B3556" t="s">
        <v>652</v>
      </c>
      <c r="C3556" t="s">
        <v>47</v>
      </c>
      <c r="D3556">
        <v>3100835</v>
      </c>
      <c r="E3556">
        <v>3100838</v>
      </c>
      <c r="F3556" t="s">
        <v>2650</v>
      </c>
      <c r="G3556" t="s">
        <v>2653</v>
      </c>
      <c r="H3556" t="s">
        <v>54</v>
      </c>
      <c r="I3556">
        <v>6957712</v>
      </c>
      <c r="J3556" s="12">
        <v>46112</v>
      </c>
      <c r="K3556" s="12">
        <v>46112</v>
      </c>
      <c r="L3556" s="12">
        <v>46112</v>
      </c>
      <c r="M3556">
        <v>20</v>
      </c>
      <c r="N3556">
        <v>-103351</v>
      </c>
      <c r="O3556">
        <v>-103351</v>
      </c>
      <c r="P3556">
        <v>0</v>
      </c>
      <c r="Q3556">
        <v>-103351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 t="s">
        <v>47</v>
      </c>
      <c r="AA3556" t="s">
        <v>501</v>
      </c>
      <c r="AB3556" t="s">
        <v>51</v>
      </c>
      <c r="AC3556" t="s">
        <v>51</v>
      </c>
      <c r="AD3556" t="s">
        <v>51</v>
      </c>
      <c r="AE3556" t="s">
        <v>51</v>
      </c>
      <c r="AF3556" t="s">
        <v>2654</v>
      </c>
    </row>
    <row r="3557" spans="1:32" ht="14.5" customHeight="1" x14ac:dyDescent="0.35">
      <c r="A3557" t="s">
        <v>651</v>
      </c>
      <c r="B3557" t="s">
        <v>652</v>
      </c>
      <c r="C3557" t="s">
        <v>47</v>
      </c>
      <c r="D3557">
        <v>3100835</v>
      </c>
      <c r="E3557">
        <v>3100841</v>
      </c>
      <c r="F3557" t="s">
        <v>2650</v>
      </c>
      <c r="G3557" t="s">
        <v>2655</v>
      </c>
      <c r="H3557" t="s">
        <v>54</v>
      </c>
      <c r="I3557">
        <v>6957734</v>
      </c>
      <c r="J3557" s="12">
        <v>46112</v>
      </c>
      <c r="K3557" s="12">
        <v>46112</v>
      </c>
      <c r="L3557" s="12">
        <v>46112</v>
      </c>
      <c r="M3557">
        <v>20</v>
      </c>
      <c r="N3557">
        <v>-609077</v>
      </c>
      <c r="O3557">
        <v>-609077</v>
      </c>
      <c r="P3557">
        <v>0</v>
      </c>
      <c r="Q3557">
        <v>-609077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 t="s">
        <v>47</v>
      </c>
      <c r="AA3557" t="s">
        <v>501</v>
      </c>
      <c r="AB3557" t="s">
        <v>51</v>
      </c>
      <c r="AC3557" t="s">
        <v>51</v>
      </c>
      <c r="AD3557" t="s">
        <v>51</v>
      </c>
      <c r="AE3557" t="s">
        <v>51</v>
      </c>
      <c r="AF3557" t="s">
        <v>2656</v>
      </c>
    </row>
    <row r="3558" spans="1:32" ht="14.5" customHeight="1" x14ac:dyDescent="0.35">
      <c r="A3558" t="s">
        <v>651</v>
      </c>
      <c r="B3558" t="s">
        <v>652</v>
      </c>
      <c r="C3558" t="s">
        <v>47</v>
      </c>
      <c r="D3558">
        <v>3100835</v>
      </c>
      <c r="E3558">
        <v>3100838</v>
      </c>
      <c r="F3558" t="s">
        <v>2650</v>
      </c>
      <c r="G3558" t="s">
        <v>2653</v>
      </c>
      <c r="H3558" t="s">
        <v>54</v>
      </c>
      <c r="I3558">
        <v>6959345</v>
      </c>
      <c r="J3558" s="12">
        <v>46126</v>
      </c>
      <c r="K3558" s="12">
        <v>46126</v>
      </c>
      <c r="L3558" s="12">
        <v>46126</v>
      </c>
      <c r="M3558">
        <v>6</v>
      </c>
      <c r="N3558">
        <v>-1301562</v>
      </c>
      <c r="O3558">
        <v>-1301562</v>
      </c>
      <c r="P3558">
        <v>0</v>
      </c>
      <c r="Q3558">
        <v>-1301562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 t="s">
        <v>47</v>
      </c>
      <c r="AA3558" t="s">
        <v>501</v>
      </c>
      <c r="AB3558" t="s">
        <v>51</v>
      </c>
      <c r="AC3558" t="s">
        <v>51</v>
      </c>
      <c r="AD3558" t="s">
        <v>51</v>
      </c>
      <c r="AE3558" t="s">
        <v>51</v>
      </c>
      <c r="AF3558" t="s">
        <v>2657</v>
      </c>
    </row>
    <row r="3559" spans="1:32" ht="14.5" customHeight="1" x14ac:dyDescent="0.35">
      <c r="A3559" t="s">
        <v>651</v>
      </c>
      <c r="B3559" t="s">
        <v>652</v>
      </c>
      <c r="C3559" t="s">
        <v>47</v>
      </c>
      <c r="D3559">
        <v>3100835</v>
      </c>
      <c r="E3559">
        <v>3100838</v>
      </c>
      <c r="F3559" t="s">
        <v>2650</v>
      </c>
      <c r="G3559" t="s">
        <v>2653</v>
      </c>
      <c r="H3559" t="s">
        <v>54</v>
      </c>
      <c r="I3559">
        <v>6959438</v>
      </c>
      <c r="J3559" s="12">
        <v>46127</v>
      </c>
      <c r="K3559" s="12">
        <v>46127</v>
      </c>
      <c r="L3559" s="12">
        <v>46127</v>
      </c>
      <c r="M3559">
        <v>5</v>
      </c>
      <c r="N3559">
        <v>-10906980</v>
      </c>
      <c r="O3559">
        <v>-10906980</v>
      </c>
      <c r="P3559">
        <v>0</v>
      </c>
      <c r="Q3559">
        <v>-10906980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 t="s">
        <v>47</v>
      </c>
      <c r="AA3559" t="s">
        <v>501</v>
      </c>
      <c r="AB3559" t="s">
        <v>51</v>
      </c>
      <c r="AC3559" t="s">
        <v>51</v>
      </c>
      <c r="AD3559" t="s">
        <v>51</v>
      </c>
      <c r="AE3559" t="s">
        <v>51</v>
      </c>
      <c r="AF3559" t="s">
        <v>285</v>
      </c>
    </row>
    <row r="3560" spans="1:32" ht="14.5" customHeight="1" x14ac:dyDescent="0.35">
      <c r="A3560" t="s">
        <v>651</v>
      </c>
      <c r="B3560" t="s">
        <v>652</v>
      </c>
      <c r="C3560" t="s">
        <v>47</v>
      </c>
      <c r="D3560">
        <v>3100835</v>
      </c>
      <c r="E3560">
        <v>3100841</v>
      </c>
      <c r="F3560" t="s">
        <v>2650</v>
      </c>
      <c r="G3560" t="s">
        <v>2655</v>
      </c>
      <c r="H3560" t="s">
        <v>54</v>
      </c>
      <c r="I3560">
        <v>6959439</v>
      </c>
      <c r="J3560" s="12">
        <v>46127</v>
      </c>
      <c r="K3560" s="12">
        <v>46127</v>
      </c>
      <c r="L3560" s="12">
        <v>46127</v>
      </c>
      <c r="M3560">
        <v>5</v>
      </c>
      <c r="N3560">
        <v>-8855630</v>
      </c>
      <c r="O3560">
        <v>-8855630</v>
      </c>
      <c r="P3560">
        <v>0</v>
      </c>
      <c r="Q3560">
        <v>-8855630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 t="s">
        <v>47</v>
      </c>
      <c r="AA3560" t="s">
        <v>501</v>
      </c>
      <c r="AB3560" t="s">
        <v>51</v>
      </c>
      <c r="AC3560" t="s">
        <v>51</v>
      </c>
      <c r="AD3560" t="s">
        <v>51</v>
      </c>
      <c r="AE3560" t="s">
        <v>51</v>
      </c>
      <c r="AF3560" t="s">
        <v>285</v>
      </c>
    </row>
    <row r="3561" spans="1:32" ht="14.5" customHeight="1" x14ac:dyDescent="0.35">
      <c r="A3561" t="s">
        <v>651</v>
      </c>
      <c r="B3561" t="s">
        <v>652</v>
      </c>
      <c r="C3561" t="s">
        <v>47</v>
      </c>
      <c r="D3561">
        <v>3100835</v>
      </c>
      <c r="E3561">
        <v>3100844</v>
      </c>
      <c r="F3561" t="s">
        <v>2650</v>
      </c>
      <c r="G3561" t="s">
        <v>2651</v>
      </c>
      <c r="H3561" t="s">
        <v>54</v>
      </c>
      <c r="I3561">
        <v>6959440</v>
      </c>
      <c r="J3561" s="12">
        <v>46127</v>
      </c>
      <c r="K3561" s="12">
        <v>46127</v>
      </c>
      <c r="L3561" s="12">
        <v>46127</v>
      </c>
      <c r="M3561">
        <v>5</v>
      </c>
      <c r="N3561">
        <v>-10147328</v>
      </c>
      <c r="O3561">
        <v>-10147328</v>
      </c>
      <c r="P3561">
        <v>0</v>
      </c>
      <c r="Q3561">
        <v>-10147328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 t="s">
        <v>47</v>
      </c>
      <c r="AA3561" t="s">
        <v>501</v>
      </c>
      <c r="AB3561" t="s">
        <v>51</v>
      </c>
      <c r="AC3561" t="s">
        <v>51</v>
      </c>
      <c r="AD3561" t="s">
        <v>51</v>
      </c>
      <c r="AE3561" t="s">
        <v>51</v>
      </c>
      <c r="AF3561" t="s">
        <v>660</v>
      </c>
    </row>
    <row r="3562" spans="1:32" ht="14.5" customHeight="1" x14ac:dyDescent="0.35">
      <c r="A3562" t="s">
        <v>498</v>
      </c>
      <c r="B3562" t="s">
        <v>2644</v>
      </c>
      <c r="C3562" t="s">
        <v>47</v>
      </c>
      <c r="D3562">
        <v>3100835</v>
      </c>
      <c r="E3562">
        <v>3100835</v>
      </c>
      <c r="F3562" t="s">
        <v>2650</v>
      </c>
      <c r="G3562" t="s">
        <v>2650</v>
      </c>
      <c r="H3562" t="s">
        <v>54</v>
      </c>
      <c r="I3562">
        <v>6959452</v>
      </c>
      <c r="J3562" s="12">
        <v>46127</v>
      </c>
      <c r="K3562" s="12">
        <v>46127</v>
      </c>
      <c r="L3562" s="12">
        <v>46127</v>
      </c>
      <c r="M3562">
        <v>5</v>
      </c>
      <c r="N3562">
        <v>-4967715</v>
      </c>
      <c r="O3562">
        <v>-4967715</v>
      </c>
      <c r="P3562">
        <v>0</v>
      </c>
      <c r="Q3562">
        <v>-4967715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 t="s">
        <v>47</v>
      </c>
      <c r="AA3562" t="s">
        <v>501</v>
      </c>
      <c r="AB3562" t="s">
        <v>51</v>
      </c>
      <c r="AC3562" t="s">
        <v>51</v>
      </c>
      <c r="AD3562" t="s">
        <v>51</v>
      </c>
      <c r="AE3562" t="s">
        <v>51</v>
      </c>
      <c r="AF3562" t="s">
        <v>2658</v>
      </c>
    </row>
    <row r="3563" spans="1:32" ht="14.5" customHeight="1" x14ac:dyDescent="0.35">
      <c r="A3563" t="s">
        <v>498</v>
      </c>
      <c r="B3563" t="s">
        <v>2644</v>
      </c>
      <c r="C3563" t="s">
        <v>47</v>
      </c>
      <c r="D3563">
        <v>3100835</v>
      </c>
      <c r="E3563">
        <v>3100835</v>
      </c>
      <c r="F3563" t="s">
        <v>2650</v>
      </c>
      <c r="G3563" t="s">
        <v>2650</v>
      </c>
      <c r="H3563" t="s">
        <v>54</v>
      </c>
      <c r="I3563">
        <v>6959453</v>
      </c>
      <c r="J3563" s="12">
        <v>46127</v>
      </c>
      <c r="K3563" s="12">
        <v>46127</v>
      </c>
      <c r="L3563" s="12">
        <v>46127</v>
      </c>
      <c r="M3563">
        <v>5</v>
      </c>
      <c r="N3563">
        <v>-4801602</v>
      </c>
      <c r="O3563">
        <v>-4801602</v>
      </c>
      <c r="P3563">
        <v>0</v>
      </c>
      <c r="Q3563">
        <v>-4801602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 t="s">
        <v>47</v>
      </c>
      <c r="AA3563" t="s">
        <v>501</v>
      </c>
      <c r="AB3563" t="s">
        <v>51</v>
      </c>
      <c r="AC3563" t="s">
        <v>51</v>
      </c>
      <c r="AD3563" t="s">
        <v>51</v>
      </c>
      <c r="AE3563" t="s">
        <v>51</v>
      </c>
      <c r="AF3563" t="s">
        <v>2659</v>
      </c>
    </row>
    <row r="3564" spans="1:32" ht="14.5" customHeight="1" x14ac:dyDescent="0.35">
      <c r="A3564" t="s">
        <v>651</v>
      </c>
      <c r="B3564" t="s">
        <v>652</v>
      </c>
      <c r="C3564" t="s">
        <v>47</v>
      </c>
      <c r="D3564">
        <v>3100835</v>
      </c>
      <c r="E3564">
        <v>3100844</v>
      </c>
      <c r="F3564" t="s">
        <v>2650</v>
      </c>
      <c r="G3564" t="s">
        <v>2651</v>
      </c>
      <c r="H3564" t="s">
        <v>54</v>
      </c>
      <c r="I3564">
        <v>6959454</v>
      </c>
      <c r="J3564" s="12">
        <v>46127</v>
      </c>
      <c r="K3564" s="12">
        <v>46127</v>
      </c>
      <c r="L3564" s="12">
        <v>46127</v>
      </c>
      <c r="M3564">
        <v>5</v>
      </c>
      <c r="N3564">
        <v>-5238636</v>
      </c>
      <c r="O3564">
        <v>-5238636</v>
      </c>
      <c r="P3564">
        <v>0</v>
      </c>
      <c r="Q3564">
        <v>-5238636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 t="s">
        <v>47</v>
      </c>
      <c r="AA3564" t="s">
        <v>501</v>
      </c>
      <c r="AB3564" t="s">
        <v>51</v>
      </c>
      <c r="AC3564" t="s">
        <v>51</v>
      </c>
      <c r="AD3564" t="s">
        <v>51</v>
      </c>
      <c r="AE3564" t="s">
        <v>51</v>
      </c>
      <c r="AF3564" t="s">
        <v>2659</v>
      </c>
    </row>
    <row r="3565" spans="1:32" ht="14.5" customHeight="1" x14ac:dyDescent="0.35">
      <c r="A3565" t="s">
        <v>651</v>
      </c>
      <c r="B3565" t="s">
        <v>652</v>
      </c>
      <c r="C3565" t="s">
        <v>47</v>
      </c>
      <c r="D3565">
        <v>3100835</v>
      </c>
      <c r="E3565">
        <v>3100841</v>
      </c>
      <c r="F3565" t="s">
        <v>2650</v>
      </c>
      <c r="G3565" t="s">
        <v>2655</v>
      </c>
      <c r="H3565" t="s">
        <v>54</v>
      </c>
      <c r="I3565">
        <v>6959460</v>
      </c>
      <c r="J3565" s="12">
        <v>46127</v>
      </c>
      <c r="K3565" s="12">
        <v>46127</v>
      </c>
      <c r="L3565" s="12">
        <v>46127</v>
      </c>
      <c r="M3565">
        <v>5</v>
      </c>
      <c r="N3565">
        <v>-4886804</v>
      </c>
      <c r="O3565">
        <v>-4886804</v>
      </c>
      <c r="P3565">
        <v>0</v>
      </c>
      <c r="Q3565">
        <v>-4886804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 t="s">
        <v>47</v>
      </c>
      <c r="AA3565" t="s">
        <v>501</v>
      </c>
      <c r="AB3565" t="s">
        <v>51</v>
      </c>
      <c r="AC3565" t="s">
        <v>51</v>
      </c>
      <c r="AD3565" t="s">
        <v>51</v>
      </c>
      <c r="AE3565" t="s">
        <v>51</v>
      </c>
      <c r="AF3565" t="s">
        <v>2660</v>
      </c>
    </row>
    <row r="3566" spans="1:32" ht="14.5" customHeight="1" x14ac:dyDescent="0.35">
      <c r="A3566" t="s">
        <v>651</v>
      </c>
      <c r="B3566" t="s">
        <v>652</v>
      </c>
      <c r="C3566" t="s">
        <v>596</v>
      </c>
      <c r="D3566">
        <v>3100835</v>
      </c>
      <c r="E3566">
        <v>3100846</v>
      </c>
      <c r="F3566" t="s">
        <v>2650</v>
      </c>
      <c r="G3566" t="s">
        <v>2651</v>
      </c>
      <c r="H3566" t="s">
        <v>54</v>
      </c>
      <c r="I3566">
        <v>9914973</v>
      </c>
      <c r="J3566" s="12">
        <v>46095</v>
      </c>
      <c r="K3566" s="12">
        <v>46095</v>
      </c>
      <c r="L3566" s="12">
        <v>46130</v>
      </c>
      <c r="M3566">
        <v>2</v>
      </c>
      <c r="N3566">
        <v>109214117</v>
      </c>
      <c r="O3566">
        <v>0</v>
      </c>
      <c r="P3566">
        <v>0</v>
      </c>
      <c r="Q3566">
        <v>109214117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 t="s">
        <v>596</v>
      </c>
      <c r="AA3566" t="s">
        <v>501</v>
      </c>
      <c r="AB3566" t="s">
        <v>51</v>
      </c>
      <c r="AC3566" t="s">
        <v>51</v>
      </c>
      <c r="AD3566" t="s">
        <v>51</v>
      </c>
      <c r="AE3566" t="s">
        <v>51</v>
      </c>
      <c r="AF3566" t="s">
        <v>195</v>
      </c>
    </row>
    <row r="3567" spans="1:32" ht="14.5" customHeight="1" x14ac:dyDescent="0.35">
      <c r="A3567" t="s">
        <v>651</v>
      </c>
      <c r="B3567" t="s">
        <v>652</v>
      </c>
      <c r="C3567" t="s">
        <v>596</v>
      </c>
      <c r="D3567">
        <v>3100835</v>
      </c>
      <c r="E3567">
        <v>3100846</v>
      </c>
      <c r="F3567" t="s">
        <v>2650</v>
      </c>
      <c r="G3567" t="s">
        <v>2651</v>
      </c>
      <c r="H3567" t="s">
        <v>54</v>
      </c>
      <c r="I3567">
        <v>9917823</v>
      </c>
      <c r="J3567" s="12">
        <v>46107</v>
      </c>
      <c r="K3567" s="12">
        <v>46107</v>
      </c>
      <c r="L3567" s="12">
        <v>46142</v>
      </c>
      <c r="M3567">
        <v>-10</v>
      </c>
      <c r="N3567">
        <v>130070</v>
      </c>
      <c r="O3567">
        <v>0</v>
      </c>
      <c r="P3567">
        <v>130070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 t="s">
        <v>596</v>
      </c>
      <c r="AA3567" t="s">
        <v>501</v>
      </c>
      <c r="AB3567" t="s">
        <v>51</v>
      </c>
      <c r="AC3567" t="s">
        <v>51</v>
      </c>
      <c r="AD3567" t="s">
        <v>2661</v>
      </c>
      <c r="AE3567" t="s">
        <v>51</v>
      </c>
      <c r="AF3567" t="s">
        <v>579</v>
      </c>
    </row>
    <row r="3568" spans="1:32" ht="14.5" customHeight="1" x14ac:dyDescent="0.35">
      <c r="A3568" t="s">
        <v>651</v>
      </c>
      <c r="B3568" t="s">
        <v>652</v>
      </c>
      <c r="C3568" t="s">
        <v>596</v>
      </c>
      <c r="D3568">
        <v>3100835</v>
      </c>
      <c r="E3568">
        <v>3100840</v>
      </c>
      <c r="F3568" t="s">
        <v>2650</v>
      </c>
      <c r="G3568" t="s">
        <v>2653</v>
      </c>
      <c r="H3568" t="s">
        <v>54</v>
      </c>
      <c r="I3568">
        <v>9918323</v>
      </c>
      <c r="J3568" s="12">
        <v>46107</v>
      </c>
      <c r="K3568" s="12">
        <v>46107</v>
      </c>
      <c r="L3568" s="12">
        <v>46142</v>
      </c>
      <c r="M3568">
        <v>-10</v>
      </c>
      <c r="N3568">
        <v>118738696</v>
      </c>
      <c r="O3568">
        <v>0</v>
      </c>
      <c r="P3568">
        <v>118738696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 t="s">
        <v>596</v>
      </c>
      <c r="AA3568" t="s">
        <v>501</v>
      </c>
      <c r="AB3568" t="s">
        <v>51</v>
      </c>
      <c r="AC3568" t="s">
        <v>51</v>
      </c>
      <c r="AD3568" t="s">
        <v>2662</v>
      </c>
      <c r="AE3568" t="s">
        <v>51</v>
      </c>
      <c r="AF3568" t="s">
        <v>69</v>
      </c>
    </row>
    <row r="3569" spans="1:32" ht="14.5" customHeight="1" x14ac:dyDescent="0.35">
      <c r="A3569" t="s">
        <v>651</v>
      </c>
      <c r="B3569" t="s">
        <v>652</v>
      </c>
      <c r="C3569" t="s">
        <v>596</v>
      </c>
      <c r="D3569">
        <v>3100835</v>
      </c>
      <c r="E3569">
        <v>3100840</v>
      </c>
      <c r="F3569" t="s">
        <v>2650</v>
      </c>
      <c r="G3569" t="s">
        <v>2653</v>
      </c>
      <c r="H3569" t="s">
        <v>54</v>
      </c>
      <c r="I3569">
        <v>9918325</v>
      </c>
      <c r="J3569" s="12">
        <v>46107</v>
      </c>
      <c r="K3569" s="12">
        <v>46107</v>
      </c>
      <c r="L3569" s="12">
        <v>46142</v>
      </c>
      <c r="M3569">
        <v>-10</v>
      </c>
      <c r="N3569">
        <v>4862386</v>
      </c>
      <c r="O3569">
        <v>0</v>
      </c>
      <c r="P3569">
        <v>4862386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 t="s">
        <v>596</v>
      </c>
      <c r="AA3569" t="s">
        <v>501</v>
      </c>
      <c r="AB3569" t="s">
        <v>51</v>
      </c>
      <c r="AC3569" t="s">
        <v>51</v>
      </c>
      <c r="AD3569" t="s">
        <v>2663</v>
      </c>
      <c r="AE3569" t="s">
        <v>51</v>
      </c>
      <c r="AF3569" t="s">
        <v>320</v>
      </c>
    </row>
    <row r="3570" spans="1:32" ht="14.5" customHeight="1" x14ac:dyDescent="0.35">
      <c r="A3570" t="s">
        <v>651</v>
      </c>
      <c r="B3570" t="s">
        <v>652</v>
      </c>
      <c r="C3570" t="s">
        <v>596</v>
      </c>
      <c r="D3570">
        <v>3100835</v>
      </c>
      <c r="E3570">
        <v>3100843</v>
      </c>
      <c r="F3570" t="s">
        <v>2650</v>
      </c>
      <c r="G3570" t="s">
        <v>2655</v>
      </c>
      <c r="H3570" t="s">
        <v>54</v>
      </c>
      <c r="I3570">
        <v>9919661</v>
      </c>
      <c r="J3570" s="12">
        <v>46109</v>
      </c>
      <c r="K3570" s="12">
        <v>46109</v>
      </c>
      <c r="L3570" s="12">
        <v>46144</v>
      </c>
      <c r="M3570">
        <v>-12</v>
      </c>
      <c r="N3570">
        <v>103776113</v>
      </c>
      <c r="O3570">
        <v>0</v>
      </c>
      <c r="P3570">
        <v>103776113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 t="s">
        <v>596</v>
      </c>
      <c r="AA3570" t="s">
        <v>501</v>
      </c>
      <c r="AB3570" t="s">
        <v>51</v>
      </c>
      <c r="AC3570" t="s">
        <v>51</v>
      </c>
      <c r="AD3570" t="s">
        <v>2664</v>
      </c>
      <c r="AE3570" t="s">
        <v>51</v>
      </c>
      <c r="AF3570" t="s">
        <v>320</v>
      </c>
    </row>
    <row r="3571" spans="1:32" ht="14.5" customHeight="1" x14ac:dyDescent="0.35">
      <c r="A3571" t="s">
        <v>651</v>
      </c>
      <c r="B3571" t="s">
        <v>652</v>
      </c>
      <c r="C3571" t="s">
        <v>596</v>
      </c>
      <c r="D3571">
        <v>3100835</v>
      </c>
      <c r="E3571">
        <v>3100846</v>
      </c>
      <c r="F3571" t="s">
        <v>2650</v>
      </c>
      <c r="G3571" t="s">
        <v>2651</v>
      </c>
      <c r="H3571" t="s">
        <v>54</v>
      </c>
      <c r="I3571">
        <v>9923984</v>
      </c>
      <c r="J3571" s="12">
        <v>46122</v>
      </c>
      <c r="K3571" s="12">
        <v>46122</v>
      </c>
      <c r="L3571" s="12">
        <v>46157</v>
      </c>
      <c r="M3571">
        <v>-25</v>
      </c>
      <c r="N3571">
        <v>111008707</v>
      </c>
      <c r="O3571">
        <v>0</v>
      </c>
      <c r="P3571">
        <v>111008707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 t="s">
        <v>596</v>
      </c>
      <c r="AA3571" t="s">
        <v>501</v>
      </c>
      <c r="AB3571" t="s">
        <v>51</v>
      </c>
      <c r="AC3571" t="s">
        <v>51</v>
      </c>
      <c r="AD3571" t="s">
        <v>51</v>
      </c>
      <c r="AE3571" t="s">
        <v>2665</v>
      </c>
      <c r="AF3571" t="s">
        <v>69</v>
      </c>
    </row>
    <row r="3572" spans="1:32" ht="14.5" customHeight="1" x14ac:dyDescent="0.35">
      <c r="A3572" t="s">
        <v>498</v>
      </c>
      <c r="B3572" t="s">
        <v>2644</v>
      </c>
      <c r="C3572" t="s">
        <v>596</v>
      </c>
      <c r="D3572">
        <v>3100835</v>
      </c>
      <c r="E3572">
        <v>3100837</v>
      </c>
      <c r="F3572" t="s">
        <v>2650</v>
      </c>
      <c r="G3572" t="s">
        <v>2650</v>
      </c>
      <c r="H3572" t="s">
        <v>54</v>
      </c>
      <c r="I3572">
        <v>9924390</v>
      </c>
      <c r="J3572" s="12">
        <v>46123</v>
      </c>
      <c r="K3572" s="12">
        <v>46123</v>
      </c>
      <c r="L3572" s="12">
        <v>46158</v>
      </c>
      <c r="M3572">
        <v>-26</v>
      </c>
      <c r="N3572">
        <v>82257900</v>
      </c>
      <c r="O3572">
        <v>0</v>
      </c>
      <c r="P3572">
        <v>82257900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 t="s">
        <v>596</v>
      </c>
      <c r="AA3572" t="s">
        <v>501</v>
      </c>
      <c r="AB3572" t="s">
        <v>51</v>
      </c>
      <c r="AC3572" t="s">
        <v>51</v>
      </c>
      <c r="AD3572" t="s">
        <v>51</v>
      </c>
      <c r="AE3572" t="s">
        <v>2666</v>
      </c>
      <c r="AF3572" t="s">
        <v>334</v>
      </c>
    </row>
    <row r="3573" spans="1:32" ht="14.5" customHeight="1" x14ac:dyDescent="0.35">
      <c r="A3573" t="s">
        <v>651</v>
      </c>
      <c r="B3573" t="s">
        <v>652</v>
      </c>
      <c r="C3573" t="s">
        <v>47</v>
      </c>
      <c r="D3573">
        <v>3100835</v>
      </c>
      <c r="E3573">
        <v>3100838</v>
      </c>
      <c r="F3573" t="s">
        <v>2650</v>
      </c>
      <c r="G3573" t="s">
        <v>2653</v>
      </c>
      <c r="H3573" t="s">
        <v>140</v>
      </c>
      <c r="I3573">
        <v>9925716</v>
      </c>
      <c r="J3573" s="12">
        <v>46127</v>
      </c>
      <c r="K3573" s="12">
        <v>46127</v>
      </c>
      <c r="L3573" s="12">
        <v>46157</v>
      </c>
      <c r="M3573">
        <v>-25</v>
      </c>
      <c r="N3573">
        <v>522529</v>
      </c>
      <c r="O3573">
        <v>0</v>
      </c>
      <c r="P3573">
        <v>522529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 t="s">
        <v>47</v>
      </c>
      <c r="AA3573" t="s">
        <v>501</v>
      </c>
      <c r="AB3573" t="s">
        <v>51</v>
      </c>
      <c r="AC3573" t="s">
        <v>51</v>
      </c>
      <c r="AD3573" t="s">
        <v>51</v>
      </c>
      <c r="AE3573" t="s">
        <v>2667</v>
      </c>
      <c r="AF3573" t="s">
        <v>106</v>
      </c>
    </row>
    <row r="3574" spans="1:32" ht="14.5" customHeight="1" x14ac:dyDescent="0.35">
      <c r="A3574" t="s">
        <v>651</v>
      </c>
      <c r="B3574" t="s">
        <v>652</v>
      </c>
      <c r="C3574" t="s">
        <v>47</v>
      </c>
      <c r="D3574">
        <v>3100835</v>
      </c>
      <c r="E3574">
        <v>3100844</v>
      </c>
      <c r="F3574" t="s">
        <v>2650</v>
      </c>
      <c r="G3574" t="s">
        <v>2651</v>
      </c>
      <c r="H3574" t="s">
        <v>140</v>
      </c>
      <c r="I3574">
        <v>9925717</v>
      </c>
      <c r="J3574" s="12">
        <v>46127</v>
      </c>
      <c r="K3574" s="12">
        <v>46127</v>
      </c>
      <c r="L3574" s="12">
        <v>46157</v>
      </c>
      <c r="M3574">
        <v>-25</v>
      </c>
      <c r="N3574">
        <v>204922</v>
      </c>
      <c r="O3574">
        <v>0</v>
      </c>
      <c r="P3574">
        <v>204922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 t="s">
        <v>47</v>
      </c>
      <c r="AA3574" t="s">
        <v>501</v>
      </c>
      <c r="AB3574" t="s">
        <v>51</v>
      </c>
      <c r="AC3574" t="s">
        <v>51</v>
      </c>
      <c r="AD3574" t="s">
        <v>51</v>
      </c>
      <c r="AE3574" t="s">
        <v>2668</v>
      </c>
      <c r="AF3574" t="s">
        <v>144</v>
      </c>
    </row>
    <row r="3575" spans="1:32" ht="14.5" customHeight="1" x14ac:dyDescent="0.35">
      <c r="A3575" t="s">
        <v>84</v>
      </c>
      <c r="B3575" t="s">
        <v>1230</v>
      </c>
      <c r="C3575" t="s">
        <v>47</v>
      </c>
      <c r="D3575">
        <v>3100865</v>
      </c>
      <c r="E3575">
        <v>3100867</v>
      </c>
      <c r="F3575" t="s">
        <v>2669</v>
      </c>
      <c r="G3575" t="s">
        <v>2670</v>
      </c>
      <c r="H3575" t="s">
        <v>54</v>
      </c>
      <c r="I3575">
        <v>6953854</v>
      </c>
      <c r="J3575" s="12">
        <v>46084</v>
      </c>
      <c r="K3575" s="12">
        <v>46084</v>
      </c>
      <c r="L3575" s="12">
        <v>46084</v>
      </c>
      <c r="M3575">
        <v>48</v>
      </c>
      <c r="N3575">
        <v>-4372489</v>
      </c>
      <c r="O3575">
        <v>-4372489</v>
      </c>
      <c r="P3575">
        <v>0</v>
      </c>
      <c r="Q3575">
        <v>0</v>
      </c>
      <c r="R3575">
        <v>-4372489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 t="s">
        <v>47</v>
      </c>
      <c r="AA3575" t="s">
        <v>501</v>
      </c>
      <c r="AB3575" t="s">
        <v>51</v>
      </c>
      <c r="AC3575" t="s">
        <v>51</v>
      </c>
      <c r="AD3575" t="s">
        <v>51</v>
      </c>
      <c r="AE3575" t="s">
        <v>51</v>
      </c>
      <c r="AF3575" t="s">
        <v>2671</v>
      </c>
    </row>
    <row r="3576" spans="1:32" ht="14.5" customHeight="1" x14ac:dyDescent="0.35">
      <c r="A3576" t="s">
        <v>84</v>
      </c>
      <c r="B3576" t="s">
        <v>1230</v>
      </c>
      <c r="C3576" t="s">
        <v>47</v>
      </c>
      <c r="D3576">
        <v>3100865</v>
      </c>
      <c r="E3576">
        <v>3100867</v>
      </c>
      <c r="F3576" t="s">
        <v>2669</v>
      </c>
      <c r="G3576" t="s">
        <v>2670</v>
      </c>
      <c r="H3576" t="s">
        <v>54</v>
      </c>
      <c r="I3576">
        <v>6953885</v>
      </c>
      <c r="J3576" s="12">
        <v>46084</v>
      </c>
      <c r="K3576" s="12">
        <v>46084</v>
      </c>
      <c r="L3576" s="12">
        <v>46084</v>
      </c>
      <c r="M3576">
        <v>48</v>
      </c>
      <c r="N3576">
        <v>-3166385</v>
      </c>
      <c r="O3576">
        <v>-3166385</v>
      </c>
      <c r="P3576">
        <v>0</v>
      </c>
      <c r="Q3576">
        <v>0</v>
      </c>
      <c r="R3576">
        <v>-3166385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 t="s">
        <v>47</v>
      </c>
      <c r="AA3576" t="s">
        <v>501</v>
      </c>
      <c r="AB3576" t="s">
        <v>51</v>
      </c>
      <c r="AC3576" t="s">
        <v>51</v>
      </c>
      <c r="AD3576" t="s">
        <v>51</v>
      </c>
      <c r="AE3576" t="s">
        <v>51</v>
      </c>
      <c r="AF3576" t="s">
        <v>461</v>
      </c>
    </row>
    <row r="3577" spans="1:32" ht="14.5" customHeight="1" x14ac:dyDescent="0.35">
      <c r="A3577" t="s">
        <v>84</v>
      </c>
      <c r="B3577" t="s">
        <v>1230</v>
      </c>
      <c r="C3577" t="s">
        <v>47</v>
      </c>
      <c r="D3577">
        <v>3100865</v>
      </c>
      <c r="E3577">
        <v>3100867</v>
      </c>
      <c r="F3577" t="s">
        <v>2669</v>
      </c>
      <c r="G3577" t="s">
        <v>2670</v>
      </c>
      <c r="H3577" t="s">
        <v>54</v>
      </c>
      <c r="I3577">
        <v>6953886</v>
      </c>
      <c r="J3577" s="12">
        <v>46084</v>
      </c>
      <c r="K3577" s="12">
        <v>46084</v>
      </c>
      <c r="L3577" s="12">
        <v>46084</v>
      </c>
      <c r="M3577">
        <v>48</v>
      </c>
      <c r="N3577">
        <v>-4319588</v>
      </c>
      <c r="O3577">
        <v>-4319588</v>
      </c>
      <c r="P3577">
        <v>0</v>
      </c>
      <c r="Q3577">
        <v>0</v>
      </c>
      <c r="R3577">
        <v>-4319588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 t="s">
        <v>47</v>
      </c>
      <c r="AA3577" t="s">
        <v>501</v>
      </c>
      <c r="AB3577" t="s">
        <v>51</v>
      </c>
      <c r="AC3577" t="s">
        <v>51</v>
      </c>
      <c r="AD3577" t="s">
        <v>51</v>
      </c>
      <c r="AE3577" t="s">
        <v>51</v>
      </c>
      <c r="AF3577" t="s">
        <v>2671</v>
      </c>
    </row>
    <row r="3578" spans="1:32" ht="14.5" customHeight="1" x14ac:dyDescent="0.35">
      <c r="A3578" t="s">
        <v>84</v>
      </c>
      <c r="B3578" t="s">
        <v>1230</v>
      </c>
      <c r="C3578" t="s">
        <v>47</v>
      </c>
      <c r="D3578">
        <v>3100865</v>
      </c>
      <c r="E3578">
        <v>3100869</v>
      </c>
      <c r="F3578" t="s">
        <v>2669</v>
      </c>
      <c r="G3578" t="s">
        <v>2672</v>
      </c>
      <c r="H3578" t="s">
        <v>54</v>
      </c>
      <c r="I3578">
        <v>6953887</v>
      </c>
      <c r="J3578" s="12">
        <v>46084</v>
      </c>
      <c r="K3578" s="12">
        <v>46084</v>
      </c>
      <c r="L3578" s="12">
        <v>46084</v>
      </c>
      <c r="M3578">
        <v>48</v>
      </c>
      <c r="N3578">
        <v>-4494057</v>
      </c>
      <c r="O3578">
        <v>-4494057</v>
      </c>
      <c r="P3578">
        <v>0</v>
      </c>
      <c r="Q3578">
        <v>0</v>
      </c>
      <c r="R3578">
        <v>-4494057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 t="s">
        <v>846</v>
      </c>
      <c r="AA3578" t="s">
        <v>501</v>
      </c>
      <c r="AB3578" t="s">
        <v>51</v>
      </c>
      <c r="AC3578" t="s">
        <v>51</v>
      </c>
      <c r="AD3578" t="s">
        <v>51</v>
      </c>
      <c r="AE3578" t="s">
        <v>51</v>
      </c>
      <c r="AF3578" t="s">
        <v>2673</v>
      </c>
    </row>
    <row r="3579" spans="1:32" ht="14.5" customHeight="1" x14ac:dyDescent="0.35">
      <c r="A3579" t="s">
        <v>84</v>
      </c>
      <c r="B3579" t="s">
        <v>1230</v>
      </c>
      <c r="C3579" t="s">
        <v>47</v>
      </c>
      <c r="D3579">
        <v>3100865</v>
      </c>
      <c r="E3579">
        <v>3100869</v>
      </c>
      <c r="F3579" t="s">
        <v>2669</v>
      </c>
      <c r="G3579" t="s">
        <v>2672</v>
      </c>
      <c r="H3579" t="s">
        <v>54</v>
      </c>
      <c r="I3579">
        <v>6953888</v>
      </c>
      <c r="J3579" s="12">
        <v>46084</v>
      </c>
      <c r="K3579" s="12">
        <v>46084</v>
      </c>
      <c r="L3579" s="12">
        <v>46084</v>
      </c>
      <c r="M3579">
        <v>48</v>
      </c>
      <c r="N3579">
        <v>-4494057</v>
      </c>
      <c r="O3579">
        <v>-4494057</v>
      </c>
      <c r="P3579">
        <v>0</v>
      </c>
      <c r="Q3579">
        <v>0</v>
      </c>
      <c r="R3579">
        <v>-4494057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 t="s">
        <v>846</v>
      </c>
      <c r="AA3579" t="s">
        <v>501</v>
      </c>
      <c r="AB3579" t="s">
        <v>51</v>
      </c>
      <c r="AC3579" t="s">
        <v>51</v>
      </c>
      <c r="AD3579" t="s">
        <v>51</v>
      </c>
      <c r="AE3579" t="s">
        <v>51</v>
      </c>
      <c r="AF3579" t="s">
        <v>2673</v>
      </c>
    </row>
    <row r="3580" spans="1:32" ht="14.5" customHeight="1" x14ac:dyDescent="0.35">
      <c r="A3580" t="s">
        <v>84</v>
      </c>
      <c r="B3580" t="s">
        <v>1230</v>
      </c>
      <c r="C3580" t="s">
        <v>47</v>
      </c>
      <c r="D3580">
        <v>3100865</v>
      </c>
      <c r="E3580">
        <v>3100869</v>
      </c>
      <c r="F3580" t="s">
        <v>2669</v>
      </c>
      <c r="G3580" t="s">
        <v>2672</v>
      </c>
      <c r="H3580" t="s">
        <v>54</v>
      </c>
      <c r="I3580">
        <v>6957034</v>
      </c>
      <c r="J3580" s="12">
        <v>46106</v>
      </c>
      <c r="K3580" s="12">
        <v>46106</v>
      </c>
      <c r="L3580" s="12">
        <v>46106</v>
      </c>
      <c r="M3580">
        <v>26</v>
      </c>
      <c r="N3580">
        <v>-4494057</v>
      </c>
      <c r="O3580">
        <v>-4494057</v>
      </c>
      <c r="P3580">
        <v>0</v>
      </c>
      <c r="Q3580">
        <v>-4494057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 t="s">
        <v>846</v>
      </c>
      <c r="AA3580" t="s">
        <v>501</v>
      </c>
      <c r="AB3580" t="s">
        <v>51</v>
      </c>
      <c r="AC3580" t="s">
        <v>51</v>
      </c>
      <c r="AD3580" t="s">
        <v>51</v>
      </c>
      <c r="AE3580" t="s">
        <v>51</v>
      </c>
      <c r="AF3580" t="s">
        <v>2674</v>
      </c>
    </row>
    <row r="3581" spans="1:32" ht="14.5" customHeight="1" x14ac:dyDescent="0.35">
      <c r="A3581" t="s">
        <v>84</v>
      </c>
      <c r="B3581" t="s">
        <v>1230</v>
      </c>
      <c r="C3581" t="s">
        <v>47</v>
      </c>
      <c r="D3581">
        <v>3100865</v>
      </c>
      <c r="E3581">
        <v>3100867</v>
      </c>
      <c r="F3581" t="s">
        <v>2669</v>
      </c>
      <c r="G3581" t="s">
        <v>2670</v>
      </c>
      <c r="H3581" t="s">
        <v>54</v>
      </c>
      <c r="I3581">
        <v>6957683</v>
      </c>
      <c r="J3581" s="12">
        <v>46111</v>
      </c>
      <c r="K3581" s="12">
        <v>46111</v>
      </c>
      <c r="L3581" s="12">
        <v>46111</v>
      </c>
      <c r="M3581">
        <v>21</v>
      </c>
      <c r="N3581">
        <v>-648484</v>
      </c>
      <c r="O3581">
        <v>-648484</v>
      </c>
      <c r="P3581">
        <v>0</v>
      </c>
      <c r="Q3581">
        <v>-648484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 t="s">
        <v>47</v>
      </c>
      <c r="AA3581" t="s">
        <v>501</v>
      </c>
      <c r="AB3581" t="s">
        <v>51</v>
      </c>
      <c r="AC3581" t="s">
        <v>51</v>
      </c>
      <c r="AD3581" t="s">
        <v>51</v>
      </c>
      <c r="AE3581" t="s">
        <v>51</v>
      </c>
      <c r="AF3581" t="s">
        <v>2675</v>
      </c>
    </row>
    <row r="3582" spans="1:32" ht="14.5" customHeight="1" x14ac:dyDescent="0.35">
      <c r="A3582" t="s">
        <v>84</v>
      </c>
      <c r="B3582" t="s">
        <v>1230</v>
      </c>
      <c r="C3582" t="s">
        <v>47</v>
      </c>
      <c r="D3582">
        <v>3100865</v>
      </c>
      <c r="E3582">
        <v>3100869</v>
      </c>
      <c r="F3582" t="s">
        <v>2669</v>
      </c>
      <c r="G3582" t="s">
        <v>2672</v>
      </c>
      <c r="H3582" t="s">
        <v>54</v>
      </c>
      <c r="I3582">
        <v>6957684</v>
      </c>
      <c r="J3582" s="12">
        <v>46111</v>
      </c>
      <c r="K3582" s="12">
        <v>46111</v>
      </c>
      <c r="L3582" s="12">
        <v>46111</v>
      </c>
      <c r="M3582">
        <v>21</v>
      </c>
      <c r="N3582">
        <v>-994443</v>
      </c>
      <c r="O3582">
        <v>-994443</v>
      </c>
      <c r="P3582">
        <v>0</v>
      </c>
      <c r="Q3582">
        <v>-994443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 t="s">
        <v>846</v>
      </c>
      <c r="AA3582" t="s">
        <v>501</v>
      </c>
      <c r="AB3582" t="s">
        <v>51</v>
      </c>
      <c r="AC3582" t="s">
        <v>51</v>
      </c>
      <c r="AD3582" t="s">
        <v>51</v>
      </c>
      <c r="AE3582" t="s">
        <v>51</v>
      </c>
      <c r="AF3582" t="s">
        <v>2676</v>
      </c>
    </row>
    <row r="3583" spans="1:32" ht="14.5" customHeight="1" x14ac:dyDescent="0.35">
      <c r="A3583" t="s">
        <v>84</v>
      </c>
      <c r="B3583" t="s">
        <v>1230</v>
      </c>
      <c r="C3583" t="s">
        <v>47</v>
      </c>
      <c r="D3583">
        <v>3100865</v>
      </c>
      <c r="E3583">
        <v>3100867</v>
      </c>
      <c r="F3583" t="s">
        <v>2669</v>
      </c>
      <c r="G3583" t="s">
        <v>2670</v>
      </c>
      <c r="H3583" t="s">
        <v>54</v>
      </c>
      <c r="I3583">
        <v>6958009</v>
      </c>
      <c r="J3583" s="12">
        <v>46118</v>
      </c>
      <c r="K3583" s="12">
        <v>46118</v>
      </c>
      <c r="L3583" s="12">
        <v>46118</v>
      </c>
      <c r="M3583">
        <v>14</v>
      </c>
      <c r="N3583">
        <v>-3425733</v>
      </c>
      <c r="O3583">
        <v>-3425733</v>
      </c>
      <c r="P3583">
        <v>0</v>
      </c>
      <c r="Q3583">
        <v>-3425733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 t="s">
        <v>47</v>
      </c>
      <c r="AA3583" t="s">
        <v>501</v>
      </c>
      <c r="AB3583" t="s">
        <v>51</v>
      </c>
      <c r="AC3583" t="s">
        <v>51</v>
      </c>
      <c r="AD3583" t="s">
        <v>51</v>
      </c>
      <c r="AE3583" t="s">
        <v>51</v>
      </c>
      <c r="AF3583" t="s">
        <v>461</v>
      </c>
    </row>
    <row r="3584" spans="1:32" ht="14.5" customHeight="1" x14ac:dyDescent="0.35">
      <c r="A3584" t="s">
        <v>84</v>
      </c>
      <c r="B3584" t="s">
        <v>1230</v>
      </c>
      <c r="C3584" t="s">
        <v>47</v>
      </c>
      <c r="D3584">
        <v>3100865</v>
      </c>
      <c r="E3584">
        <v>3100869</v>
      </c>
      <c r="F3584" t="s">
        <v>2669</v>
      </c>
      <c r="G3584" t="s">
        <v>2672</v>
      </c>
      <c r="H3584" t="s">
        <v>54</v>
      </c>
      <c r="I3584">
        <v>6958010</v>
      </c>
      <c r="J3584" s="12">
        <v>46118</v>
      </c>
      <c r="K3584" s="12">
        <v>46118</v>
      </c>
      <c r="L3584" s="12">
        <v>46118</v>
      </c>
      <c r="M3584">
        <v>14</v>
      </c>
      <c r="N3584">
        <v>-9466168</v>
      </c>
      <c r="O3584">
        <v>-9466168</v>
      </c>
      <c r="P3584">
        <v>0</v>
      </c>
      <c r="Q3584">
        <v>-9466168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 t="s">
        <v>846</v>
      </c>
      <c r="AA3584" t="s">
        <v>501</v>
      </c>
      <c r="AB3584" t="s">
        <v>51</v>
      </c>
      <c r="AC3584" t="s">
        <v>51</v>
      </c>
      <c r="AD3584" t="s">
        <v>51</v>
      </c>
      <c r="AE3584" t="s">
        <v>51</v>
      </c>
      <c r="AF3584" t="s">
        <v>787</v>
      </c>
    </row>
    <row r="3585" spans="1:32" ht="14.5" customHeight="1" x14ac:dyDescent="0.35">
      <c r="A3585" t="s">
        <v>84</v>
      </c>
      <c r="B3585" t="s">
        <v>1230</v>
      </c>
      <c r="C3585" t="s">
        <v>47</v>
      </c>
      <c r="D3585">
        <v>3100865</v>
      </c>
      <c r="E3585">
        <v>3100865</v>
      </c>
      <c r="F3585" t="s">
        <v>2669</v>
      </c>
      <c r="G3585" t="s">
        <v>2669</v>
      </c>
      <c r="H3585" t="s">
        <v>54</v>
      </c>
      <c r="I3585">
        <v>6958100</v>
      </c>
      <c r="J3585" s="12">
        <v>46119</v>
      </c>
      <c r="K3585" s="12">
        <v>46119</v>
      </c>
      <c r="L3585" s="12">
        <v>46119</v>
      </c>
      <c r="M3585">
        <v>13</v>
      </c>
      <c r="N3585">
        <v>-44407400</v>
      </c>
      <c r="O3585">
        <v>-44407400</v>
      </c>
      <c r="P3585">
        <v>0</v>
      </c>
      <c r="Q3585">
        <v>-44407400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 t="s">
        <v>47</v>
      </c>
      <c r="AA3585" t="s">
        <v>501</v>
      </c>
      <c r="AB3585" t="s">
        <v>51</v>
      </c>
      <c r="AC3585" t="s">
        <v>51</v>
      </c>
      <c r="AD3585" t="s">
        <v>51</v>
      </c>
      <c r="AE3585" t="s">
        <v>51</v>
      </c>
      <c r="AF3585" t="s">
        <v>106</v>
      </c>
    </row>
    <row r="3586" spans="1:32" ht="14.5" customHeight="1" x14ac:dyDescent="0.35">
      <c r="A3586" t="s">
        <v>84</v>
      </c>
      <c r="B3586" t="s">
        <v>1230</v>
      </c>
      <c r="C3586" t="s">
        <v>47</v>
      </c>
      <c r="D3586">
        <v>3100865</v>
      </c>
      <c r="E3586">
        <v>3100867</v>
      </c>
      <c r="F3586" t="s">
        <v>2669</v>
      </c>
      <c r="G3586" t="s">
        <v>2670</v>
      </c>
      <c r="H3586" t="s">
        <v>54</v>
      </c>
      <c r="I3586">
        <v>6958458</v>
      </c>
      <c r="J3586" s="12">
        <v>46121</v>
      </c>
      <c r="K3586" s="12">
        <v>46121</v>
      </c>
      <c r="L3586" s="12">
        <v>46121</v>
      </c>
      <c r="M3586">
        <v>11</v>
      </c>
      <c r="N3586">
        <v>-4326484</v>
      </c>
      <c r="O3586">
        <v>-4326484</v>
      </c>
      <c r="P3586">
        <v>0</v>
      </c>
      <c r="Q3586">
        <v>-4326484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 t="s">
        <v>47</v>
      </c>
      <c r="AA3586" t="s">
        <v>501</v>
      </c>
      <c r="AB3586" t="s">
        <v>51</v>
      </c>
      <c r="AC3586" t="s">
        <v>51</v>
      </c>
      <c r="AD3586" t="s">
        <v>51</v>
      </c>
      <c r="AE3586" t="s">
        <v>51</v>
      </c>
      <c r="AF3586" t="s">
        <v>2677</v>
      </c>
    </row>
    <row r="3587" spans="1:32" ht="14.5" customHeight="1" x14ac:dyDescent="0.35">
      <c r="A3587" t="s">
        <v>84</v>
      </c>
      <c r="B3587" t="s">
        <v>1230</v>
      </c>
      <c r="C3587" t="s">
        <v>47</v>
      </c>
      <c r="D3587">
        <v>3100865</v>
      </c>
      <c r="E3587">
        <v>3100865</v>
      </c>
      <c r="F3587" t="s">
        <v>2669</v>
      </c>
      <c r="G3587" t="s">
        <v>2669</v>
      </c>
      <c r="H3587" t="s">
        <v>54</v>
      </c>
      <c r="I3587">
        <v>6959547</v>
      </c>
      <c r="J3587" s="12">
        <v>46127</v>
      </c>
      <c r="K3587" s="12">
        <v>46127</v>
      </c>
      <c r="L3587" s="12">
        <v>46127</v>
      </c>
      <c r="M3587">
        <v>5</v>
      </c>
      <c r="N3587">
        <v>-10704208</v>
      </c>
      <c r="O3587">
        <v>-10704208</v>
      </c>
      <c r="P3587">
        <v>0</v>
      </c>
      <c r="Q3587">
        <v>-10704208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 t="s">
        <v>47</v>
      </c>
      <c r="AA3587" t="s">
        <v>501</v>
      </c>
      <c r="AB3587" t="s">
        <v>51</v>
      </c>
      <c r="AC3587" t="s">
        <v>51</v>
      </c>
      <c r="AD3587" t="s">
        <v>51</v>
      </c>
      <c r="AE3587" t="s">
        <v>51</v>
      </c>
      <c r="AF3587" t="s">
        <v>2674</v>
      </c>
    </row>
    <row r="3588" spans="1:32" ht="14.5" customHeight="1" x14ac:dyDescent="0.35">
      <c r="A3588" t="s">
        <v>84</v>
      </c>
      <c r="B3588" t="s">
        <v>1230</v>
      </c>
      <c r="C3588" t="s">
        <v>47</v>
      </c>
      <c r="D3588">
        <v>3100865</v>
      </c>
      <c r="E3588">
        <v>3100869</v>
      </c>
      <c r="F3588" t="s">
        <v>2669</v>
      </c>
      <c r="G3588" t="s">
        <v>2672</v>
      </c>
      <c r="H3588" t="s">
        <v>54</v>
      </c>
      <c r="I3588">
        <v>6959548</v>
      </c>
      <c r="J3588" s="12">
        <v>46127</v>
      </c>
      <c r="K3588" s="12">
        <v>46127</v>
      </c>
      <c r="L3588" s="12">
        <v>46127</v>
      </c>
      <c r="M3588">
        <v>5</v>
      </c>
      <c r="N3588">
        <v>-4521961</v>
      </c>
      <c r="O3588">
        <v>-4521961</v>
      </c>
      <c r="P3588">
        <v>0</v>
      </c>
      <c r="Q3588">
        <v>-4521961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 t="s">
        <v>846</v>
      </c>
      <c r="AA3588" t="s">
        <v>501</v>
      </c>
      <c r="AB3588" t="s">
        <v>51</v>
      </c>
      <c r="AC3588" t="s">
        <v>51</v>
      </c>
      <c r="AD3588" t="s">
        <v>51</v>
      </c>
      <c r="AE3588" t="s">
        <v>51</v>
      </c>
      <c r="AF3588" t="s">
        <v>2678</v>
      </c>
    </row>
    <row r="3589" spans="1:32" ht="14.5" customHeight="1" x14ac:dyDescent="0.35">
      <c r="A3589" t="s">
        <v>84</v>
      </c>
      <c r="B3589" t="s">
        <v>1230</v>
      </c>
      <c r="C3589" t="s">
        <v>47</v>
      </c>
      <c r="D3589">
        <v>3100865</v>
      </c>
      <c r="E3589">
        <v>3100865</v>
      </c>
      <c r="F3589" t="s">
        <v>2669</v>
      </c>
      <c r="G3589" t="s">
        <v>2669</v>
      </c>
      <c r="H3589" t="s">
        <v>54</v>
      </c>
      <c r="I3589">
        <v>6960030</v>
      </c>
      <c r="J3589" s="12">
        <v>46130</v>
      </c>
      <c r="K3589" s="12">
        <v>46130</v>
      </c>
      <c r="L3589" s="12">
        <v>46130</v>
      </c>
      <c r="M3589">
        <v>2</v>
      </c>
      <c r="N3589">
        <v>-8645034</v>
      </c>
      <c r="O3589">
        <v>-8645034</v>
      </c>
      <c r="P3589">
        <v>0</v>
      </c>
      <c r="Q3589">
        <v>-8645034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 t="s">
        <v>47</v>
      </c>
      <c r="AA3589" t="s">
        <v>501</v>
      </c>
      <c r="AB3589" t="s">
        <v>51</v>
      </c>
      <c r="AC3589" t="s">
        <v>51</v>
      </c>
      <c r="AD3589" t="s">
        <v>51</v>
      </c>
      <c r="AE3589" t="s">
        <v>51</v>
      </c>
      <c r="AF3589" t="s">
        <v>2679</v>
      </c>
    </row>
    <row r="3590" spans="1:32" ht="14.5" customHeight="1" x14ac:dyDescent="0.35">
      <c r="A3590" t="s">
        <v>84</v>
      </c>
      <c r="B3590" t="s">
        <v>1230</v>
      </c>
      <c r="C3590" t="s">
        <v>47</v>
      </c>
      <c r="D3590">
        <v>3100865</v>
      </c>
      <c r="E3590">
        <v>3100869</v>
      </c>
      <c r="F3590" t="s">
        <v>2669</v>
      </c>
      <c r="G3590" t="s">
        <v>2672</v>
      </c>
      <c r="H3590" t="s">
        <v>54</v>
      </c>
      <c r="I3590">
        <v>6960126</v>
      </c>
      <c r="J3590" s="12">
        <v>46130</v>
      </c>
      <c r="K3590" s="12">
        <v>46130</v>
      </c>
      <c r="L3590" s="12">
        <v>46130</v>
      </c>
      <c r="M3590">
        <v>2</v>
      </c>
      <c r="N3590">
        <v>-1127778</v>
      </c>
      <c r="O3590">
        <v>-1127778</v>
      </c>
      <c r="P3590">
        <v>0</v>
      </c>
      <c r="Q3590">
        <v>-1127778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 t="s">
        <v>846</v>
      </c>
      <c r="AA3590" t="s">
        <v>501</v>
      </c>
      <c r="AB3590" t="s">
        <v>51</v>
      </c>
      <c r="AC3590" t="s">
        <v>51</v>
      </c>
      <c r="AD3590" t="s">
        <v>51</v>
      </c>
      <c r="AE3590" t="s">
        <v>51</v>
      </c>
      <c r="AF3590" t="s">
        <v>202</v>
      </c>
    </row>
    <row r="3591" spans="1:32" ht="14.5" customHeight="1" x14ac:dyDescent="0.35">
      <c r="A3591" t="s">
        <v>84</v>
      </c>
      <c r="B3591" t="s">
        <v>1230</v>
      </c>
      <c r="C3591" t="s">
        <v>47</v>
      </c>
      <c r="D3591">
        <v>3100865</v>
      </c>
      <c r="E3591">
        <v>3100869</v>
      </c>
      <c r="F3591" t="s">
        <v>2669</v>
      </c>
      <c r="G3591" t="s">
        <v>2672</v>
      </c>
      <c r="H3591" t="s">
        <v>54</v>
      </c>
      <c r="I3591">
        <v>6960297</v>
      </c>
      <c r="J3591" s="12">
        <v>46130</v>
      </c>
      <c r="K3591" s="12">
        <v>46130</v>
      </c>
      <c r="L3591" s="12">
        <v>46130</v>
      </c>
      <c r="M3591">
        <v>2</v>
      </c>
      <c r="N3591">
        <v>-12692498</v>
      </c>
      <c r="O3591">
        <v>-12692498</v>
      </c>
      <c r="P3591">
        <v>0</v>
      </c>
      <c r="Q3591">
        <v>-12692498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 t="s">
        <v>846</v>
      </c>
      <c r="AA3591" t="s">
        <v>501</v>
      </c>
      <c r="AB3591" t="s">
        <v>51</v>
      </c>
      <c r="AC3591" t="s">
        <v>51</v>
      </c>
      <c r="AD3591" t="s">
        <v>51</v>
      </c>
      <c r="AE3591" t="s">
        <v>51</v>
      </c>
      <c r="AF3591" t="s">
        <v>461</v>
      </c>
    </row>
    <row r="3592" spans="1:32" ht="14.5" customHeight="1" x14ac:dyDescent="0.35">
      <c r="A3592" t="s">
        <v>84</v>
      </c>
      <c r="B3592" t="s">
        <v>1230</v>
      </c>
      <c r="C3592" t="s">
        <v>846</v>
      </c>
      <c r="D3592">
        <v>3100865</v>
      </c>
      <c r="E3592">
        <v>3100866</v>
      </c>
      <c r="F3592" t="s">
        <v>2669</v>
      </c>
      <c r="G3592" t="s">
        <v>2669</v>
      </c>
      <c r="H3592" t="s">
        <v>54</v>
      </c>
      <c r="I3592">
        <v>9915513</v>
      </c>
      <c r="J3592" s="12">
        <v>46095</v>
      </c>
      <c r="K3592" s="12">
        <v>46095</v>
      </c>
      <c r="L3592" s="12">
        <v>46130</v>
      </c>
      <c r="M3592">
        <v>2</v>
      </c>
      <c r="N3592">
        <v>339417351</v>
      </c>
      <c r="O3592">
        <v>0</v>
      </c>
      <c r="P3592">
        <v>0</v>
      </c>
      <c r="Q3592">
        <v>339417351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 t="s">
        <v>846</v>
      </c>
      <c r="AA3592" t="s">
        <v>501</v>
      </c>
      <c r="AB3592" t="s">
        <v>51</v>
      </c>
      <c r="AC3592" t="s">
        <v>51</v>
      </c>
      <c r="AD3592" t="s">
        <v>51</v>
      </c>
      <c r="AE3592" t="s">
        <v>51</v>
      </c>
      <c r="AF3592" t="s">
        <v>2680</v>
      </c>
    </row>
    <row r="3593" spans="1:32" ht="14.5" customHeight="1" x14ac:dyDescent="0.35">
      <c r="A3593" t="s">
        <v>84</v>
      </c>
      <c r="B3593" t="s">
        <v>1230</v>
      </c>
      <c r="C3593" t="s">
        <v>846</v>
      </c>
      <c r="D3593">
        <v>3100865</v>
      </c>
      <c r="E3593">
        <v>3100869</v>
      </c>
      <c r="F3593" t="s">
        <v>2669</v>
      </c>
      <c r="G3593" t="s">
        <v>2672</v>
      </c>
      <c r="H3593" t="s">
        <v>54</v>
      </c>
      <c r="I3593">
        <v>9918265</v>
      </c>
      <c r="J3593" s="12">
        <v>46107</v>
      </c>
      <c r="K3593" s="12">
        <v>46107</v>
      </c>
      <c r="L3593" s="12">
        <v>46144</v>
      </c>
      <c r="M3593">
        <v>-12</v>
      </c>
      <c r="N3593">
        <v>59780786</v>
      </c>
      <c r="O3593">
        <v>0</v>
      </c>
      <c r="P3593">
        <v>59780786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 t="s">
        <v>846</v>
      </c>
      <c r="AA3593" t="s">
        <v>501</v>
      </c>
      <c r="AB3593" t="s">
        <v>51</v>
      </c>
      <c r="AC3593" t="s">
        <v>51</v>
      </c>
      <c r="AD3593" t="s">
        <v>2681</v>
      </c>
      <c r="AE3593" t="s">
        <v>51</v>
      </c>
      <c r="AF3593" t="s">
        <v>393</v>
      </c>
    </row>
    <row r="3594" spans="1:32" ht="14.5" customHeight="1" x14ac:dyDescent="0.35">
      <c r="A3594" t="s">
        <v>84</v>
      </c>
      <c r="B3594" t="s">
        <v>1230</v>
      </c>
      <c r="C3594" t="s">
        <v>846</v>
      </c>
      <c r="D3594">
        <v>3100865</v>
      </c>
      <c r="E3594">
        <v>3100866</v>
      </c>
      <c r="F3594" t="s">
        <v>2669</v>
      </c>
      <c r="G3594" t="s">
        <v>2669</v>
      </c>
      <c r="H3594" t="s">
        <v>54</v>
      </c>
      <c r="I3594">
        <v>9921004</v>
      </c>
      <c r="J3594" s="12">
        <v>46112</v>
      </c>
      <c r="K3594" s="12">
        <v>46112</v>
      </c>
      <c r="L3594" s="12">
        <v>46147</v>
      </c>
      <c r="M3594">
        <v>-15</v>
      </c>
      <c r="N3594">
        <v>229510952</v>
      </c>
      <c r="O3594">
        <v>0</v>
      </c>
      <c r="P3594">
        <v>229510952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 t="s">
        <v>846</v>
      </c>
      <c r="AA3594" t="s">
        <v>501</v>
      </c>
      <c r="AB3594" t="s">
        <v>51</v>
      </c>
      <c r="AC3594" t="s">
        <v>51</v>
      </c>
      <c r="AD3594" t="s">
        <v>51</v>
      </c>
      <c r="AE3594" t="s">
        <v>2682</v>
      </c>
      <c r="AF3594" t="s">
        <v>2683</v>
      </c>
    </row>
    <row r="3595" spans="1:32" ht="14.5" customHeight="1" x14ac:dyDescent="0.35">
      <c r="A3595" t="s">
        <v>84</v>
      </c>
      <c r="B3595" t="s">
        <v>1230</v>
      </c>
      <c r="C3595" t="s">
        <v>846</v>
      </c>
      <c r="D3595">
        <v>3100865</v>
      </c>
      <c r="E3595">
        <v>3100868</v>
      </c>
      <c r="F3595" t="s">
        <v>2669</v>
      </c>
      <c r="G3595" t="s">
        <v>2670</v>
      </c>
      <c r="H3595" t="s">
        <v>54</v>
      </c>
      <c r="I3595">
        <v>9921008</v>
      </c>
      <c r="J3595" s="12">
        <v>46112</v>
      </c>
      <c r="K3595" s="12">
        <v>46112</v>
      </c>
      <c r="L3595" s="12">
        <v>46147</v>
      </c>
      <c r="M3595">
        <v>-15</v>
      </c>
      <c r="N3595">
        <v>36337058</v>
      </c>
      <c r="O3595">
        <v>0</v>
      </c>
      <c r="P3595">
        <v>36337058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 t="s">
        <v>846</v>
      </c>
      <c r="AA3595" t="s">
        <v>501</v>
      </c>
      <c r="AB3595" t="s">
        <v>51</v>
      </c>
      <c r="AC3595" t="s">
        <v>51</v>
      </c>
      <c r="AD3595" t="s">
        <v>51</v>
      </c>
      <c r="AE3595" t="s">
        <v>2684</v>
      </c>
      <c r="AF3595" t="s">
        <v>528</v>
      </c>
    </row>
    <row r="3596" spans="1:32" ht="14.5" customHeight="1" x14ac:dyDescent="0.35">
      <c r="A3596" t="s">
        <v>84</v>
      </c>
      <c r="B3596" t="s">
        <v>1230</v>
      </c>
      <c r="C3596" t="s">
        <v>47</v>
      </c>
      <c r="D3596">
        <v>3100865</v>
      </c>
      <c r="E3596">
        <v>3100865</v>
      </c>
      <c r="F3596" t="s">
        <v>2669</v>
      </c>
      <c r="G3596" t="s">
        <v>2669</v>
      </c>
      <c r="H3596" t="s">
        <v>140</v>
      </c>
      <c r="I3596">
        <v>9922619</v>
      </c>
      <c r="J3596" s="12">
        <v>46119</v>
      </c>
      <c r="K3596" s="12">
        <v>46119</v>
      </c>
      <c r="L3596" s="12">
        <v>46149</v>
      </c>
      <c r="M3596">
        <v>-17</v>
      </c>
      <c r="N3596">
        <v>346014</v>
      </c>
      <c r="O3596">
        <v>0</v>
      </c>
      <c r="P3596">
        <v>346014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 t="s">
        <v>47</v>
      </c>
      <c r="AA3596" t="s">
        <v>501</v>
      </c>
      <c r="AB3596" t="s">
        <v>51</v>
      </c>
      <c r="AC3596" t="s">
        <v>51</v>
      </c>
      <c r="AD3596" t="s">
        <v>51</v>
      </c>
      <c r="AE3596" t="s">
        <v>2685</v>
      </c>
      <c r="AF3596" t="s">
        <v>287</v>
      </c>
    </row>
    <row r="3597" spans="1:32" ht="14.5" customHeight="1" x14ac:dyDescent="0.35">
      <c r="A3597" t="s">
        <v>84</v>
      </c>
      <c r="B3597" t="s">
        <v>1230</v>
      </c>
      <c r="C3597" t="s">
        <v>846</v>
      </c>
      <c r="D3597">
        <v>3100865</v>
      </c>
      <c r="E3597">
        <v>3100869</v>
      </c>
      <c r="F3597" t="s">
        <v>2669</v>
      </c>
      <c r="G3597" t="s">
        <v>2672</v>
      </c>
      <c r="H3597" t="s">
        <v>54</v>
      </c>
      <c r="I3597">
        <v>9925439</v>
      </c>
      <c r="J3597" s="12">
        <v>46126</v>
      </c>
      <c r="K3597" s="12">
        <v>46126</v>
      </c>
      <c r="L3597" s="12">
        <v>46163</v>
      </c>
      <c r="M3597">
        <v>-31</v>
      </c>
      <c r="N3597">
        <v>210172333</v>
      </c>
      <c r="O3597">
        <v>0</v>
      </c>
      <c r="P3597">
        <v>210172333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 t="s">
        <v>846</v>
      </c>
      <c r="AA3597" t="s">
        <v>501</v>
      </c>
      <c r="AB3597" t="s">
        <v>51</v>
      </c>
      <c r="AC3597" t="s">
        <v>51</v>
      </c>
      <c r="AD3597" t="s">
        <v>51</v>
      </c>
      <c r="AE3597" t="s">
        <v>2686</v>
      </c>
      <c r="AF3597" t="s">
        <v>508</v>
      </c>
    </row>
    <row r="3598" spans="1:32" ht="14.5" customHeight="1" x14ac:dyDescent="0.35">
      <c r="A3598" t="s">
        <v>84</v>
      </c>
      <c r="B3598" t="s">
        <v>1230</v>
      </c>
      <c r="C3598" t="s">
        <v>846</v>
      </c>
      <c r="D3598">
        <v>3100865</v>
      </c>
      <c r="E3598">
        <v>3100865</v>
      </c>
      <c r="F3598" t="s">
        <v>2669</v>
      </c>
      <c r="G3598" t="s">
        <v>2669</v>
      </c>
      <c r="H3598" t="s">
        <v>49</v>
      </c>
      <c r="I3598">
        <v>9102074311</v>
      </c>
      <c r="J3598" s="12">
        <v>46112</v>
      </c>
      <c r="K3598" s="12">
        <v>46112</v>
      </c>
      <c r="L3598" s="12">
        <v>46112</v>
      </c>
      <c r="M3598">
        <v>20</v>
      </c>
      <c r="N3598">
        <v>-3382578</v>
      </c>
      <c r="O3598">
        <v>-3382578</v>
      </c>
      <c r="P3598">
        <v>0</v>
      </c>
      <c r="Q3598">
        <v>-3382578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 t="s">
        <v>47</v>
      </c>
      <c r="AA3598" t="s">
        <v>50</v>
      </c>
      <c r="AB3598" t="s">
        <v>51</v>
      </c>
      <c r="AC3598" t="s">
        <v>51</v>
      </c>
      <c r="AD3598" t="s">
        <v>51</v>
      </c>
      <c r="AE3598" t="s">
        <v>51</v>
      </c>
      <c r="AF3598" t="s">
        <v>2687</v>
      </c>
    </row>
    <row r="3599" spans="1:32" ht="14.5" customHeight="1" x14ac:dyDescent="0.35">
      <c r="A3599" t="s">
        <v>498</v>
      </c>
      <c r="B3599" t="s">
        <v>2644</v>
      </c>
      <c r="C3599" t="s">
        <v>47</v>
      </c>
      <c r="D3599">
        <v>3100874</v>
      </c>
      <c r="E3599">
        <v>3100874</v>
      </c>
      <c r="F3599" t="s">
        <v>2688</v>
      </c>
      <c r="G3599" t="s">
        <v>2688</v>
      </c>
      <c r="H3599" t="s">
        <v>54</v>
      </c>
      <c r="I3599">
        <v>6959455</v>
      </c>
      <c r="J3599" s="12">
        <v>46127</v>
      </c>
      <c r="K3599" s="12">
        <v>46127</v>
      </c>
      <c r="L3599" s="12">
        <v>46127</v>
      </c>
      <c r="M3599">
        <v>5</v>
      </c>
      <c r="N3599">
        <v>-4857525</v>
      </c>
      <c r="O3599">
        <v>-4857525</v>
      </c>
      <c r="P3599">
        <v>0</v>
      </c>
      <c r="Q3599">
        <v>-4857525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 t="s">
        <v>47</v>
      </c>
      <c r="AA3599" t="s">
        <v>501</v>
      </c>
      <c r="AB3599" t="s">
        <v>51</v>
      </c>
      <c r="AC3599" t="s">
        <v>51</v>
      </c>
      <c r="AD3599" t="s">
        <v>51</v>
      </c>
      <c r="AE3599" t="s">
        <v>51</v>
      </c>
      <c r="AF3599" t="s">
        <v>2689</v>
      </c>
    </row>
    <row r="3600" spans="1:32" ht="14.5" customHeight="1" x14ac:dyDescent="0.35">
      <c r="A3600" t="s">
        <v>498</v>
      </c>
      <c r="B3600" t="s">
        <v>2644</v>
      </c>
      <c r="C3600" t="s">
        <v>47</v>
      </c>
      <c r="D3600">
        <v>3100874</v>
      </c>
      <c r="E3600">
        <v>3100874</v>
      </c>
      <c r="F3600" t="s">
        <v>2688</v>
      </c>
      <c r="G3600" t="s">
        <v>2688</v>
      </c>
      <c r="H3600" t="s">
        <v>54</v>
      </c>
      <c r="I3600">
        <v>6959681</v>
      </c>
      <c r="J3600" s="12">
        <v>46128</v>
      </c>
      <c r="K3600" s="12">
        <v>46128</v>
      </c>
      <c r="L3600" s="12">
        <v>46128</v>
      </c>
      <c r="M3600">
        <v>4</v>
      </c>
      <c r="N3600">
        <v>-13500520</v>
      </c>
      <c r="O3600">
        <v>-13500520</v>
      </c>
      <c r="P3600">
        <v>0</v>
      </c>
      <c r="Q3600">
        <v>-13500520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 t="s">
        <v>47</v>
      </c>
      <c r="AA3600" t="s">
        <v>501</v>
      </c>
      <c r="AB3600" t="s">
        <v>51</v>
      </c>
      <c r="AC3600" t="s">
        <v>51</v>
      </c>
      <c r="AD3600" t="s">
        <v>51</v>
      </c>
      <c r="AE3600" t="s">
        <v>51</v>
      </c>
      <c r="AF3600" t="s">
        <v>312</v>
      </c>
    </row>
    <row r="3601" spans="1:32" ht="14.5" customHeight="1" x14ac:dyDescent="0.35">
      <c r="A3601" t="s">
        <v>498</v>
      </c>
      <c r="B3601" t="s">
        <v>2644</v>
      </c>
      <c r="C3601" t="s">
        <v>596</v>
      </c>
      <c r="D3601">
        <v>3100874</v>
      </c>
      <c r="E3601">
        <v>3100876</v>
      </c>
      <c r="F3601" t="s">
        <v>2688</v>
      </c>
      <c r="G3601" t="s">
        <v>2688</v>
      </c>
      <c r="H3601" t="s">
        <v>54</v>
      </c>
      <c r="I3601">
        <v>9922054</v>
      </c>
      <c r="J3601" s="12">
        <v>46116</v>
      </c>
      <c r="K3601" s="12">
        <v>46116</v>
      </c>
      <c r="L3601" s="12">
        <v>46151</v>
      </c>
      <c r="M3601">
        <v>-19</v>
      </c>
      <c r="N3601">
        <v>142145486</v>
      </c>
      <c r="O3601">
        <v>0</v>
      </c>
      <c r="P3601">
        <v>142145486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 t="s">
        <v>596</v>
      </c>
      <c r="AA3601" t="s">
        <v>501</v>
      </c>
      <c r="AB3601" t="s">
        <v>51</v>
      </c>
      <c r="AC3601" t="s">
        <v>51</v>
      </c>
      <c r="AD3601" t="s">
        <v>51</v>
      </c>
      <c r="AE3601" t="s">
        <v>2690</v>
      </c>
      <c r="AF3601" t="s">
        <v>167</v>
      </c>
    </row>
    <row r="3602" spans="1:32" ht="14.5" customHeight="1" x14ac:dyDescent="0.35">
      <c r="A3602" t="s">
        <v>498</v>
      </c>
      <c r="B3602" t="s">
        <v>2644</v>
      </c>
      <c r="C3602" t="s">
        <v>47</v>
      </c>
      <c r="D3602">
        <v>3100874</v>
      </c>
      <c r="E3602">
        <v>3100874</v>
      </c>
      <c r="F3602" t="s">
        <v>2688</v>
      </c>
      <c r="G3602" t="s">
        <v>2688</v>
      </c>
      <c r="H3602" t="s">
        <v>140</v>
      </c>
      <c r="I3602">
        <v>9926154</v>
      </c>
      <c r="J3602" s="12">
        <v>46128</v>
      </c>
      <c r="K3602" s="12">
        <v>46128</v>
      </c>
      <c r="L3602" s="12">
        <v>46158</v>
      </c>
      <c r="M3602">
        <v>-26</v>
      </c>
      <c r="N3602">
        <v>404261</v>
      </c>
      <c r="O3602">
        <v>0</v>
      </c>
      <c r="P3602">
        <v>404261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 t="s">
        <v>47</v>
      </c>
      <c r="AA3602" t="s">
        <v>501</v>
      </c>
      <c r="AB3602" t="s">
        <v>51</v>
      </c>
      <c r="AC3602" t="s">
        <v>51</v>
      </c>
      <c r="AD3602" t="s">
        <v>51</v>
      </c>
      <c r="AE3602" t="s">
        <v>2691</v>
      </c>
      <c r="AF3602" t="s">
        <v>161</v>
      </c>
    </row>
    <row r="3603" spans="1:32" ht="14.5" customHeight="1" x14ac:dyDescent="0.35">
      <c r="A3603" t="s">
        <v>175</v>
      </c>
      <c r="B3603" t="s">
        <v>176</v>
      </c>
      <c r="C3603" t="s">
        <v>47</v>
      </c>
      <c r="D3603">
        <v>3100884</v>
      </c>
      <c r="E3603">
        <v>3100884</v>
      </c>
      <c r="F3603" t="s">
        <v>2692</v>
      </c>
      <c r="G3603" t="s">
        <v>2692</v>
      </c>
      <c r="H3603" t="s">
        <v>54</v>
      </c>
      <c r="I3603">
        <v>6959246</v>
      </c>
      <c r="J3603" s="12">
        <v>46126</v>
      </c>
      <c r="K3603" s="12">
        <v>46126</v>
      </c>
      <c r="L3603" s="12">
        <v>46126</v>
      </c>
      <c r="M3603">
        <v>6</v>
      </c>
      <c r="N3603">
        <v>-4883958</v>
      </c>
      <c r="O3603">
        <v>-4883958</v>
      </c>
      <c r="P3603">
        <v>0</v>
      </c>
      <c r="Q3603">
        <v>-4883958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 t="s">
        <v>47</v>
      </c>
      <c r="AA3603" t="s">
        <v>501</v>
      </c>
      <c r="AB3603" t="s">
        <v>51</v>
      </c>
      <c r="AC3603" t="s">
        <v>51</v>
      </c>
      <c r="AD3603" t="s">
        <v>51</v>
      </c>
      <c r="AE3603" t="s">
        <v>51</v>
      </c>
      <c r="AF3603" t="s">
        <v>2693</v>
      </c>
    </row>
    <row r="3604" spans="1:32" ht="14.5" customHeight="1" x14ac:dyDescent="0.35">
      <c r="A3604" t="s">
        <v>175</v>
      </c>
      <c r="B3604" t="s">
        <v>176</v>
      </c>
      <c r="C3604" t="s">
        <v>47</v>
      </c>
      <c r="D3604">
        <v>3100884</v>
      </c>
      <c r="E3604">
        <v>3100884</v>
      </c>
      <c r="F3604" t="s">
        <v>2692</v>
      </c>
      <c r="G3604" t="s">
        <v>2692</v>
      </c>
      <c r="H3604" t="s">
        <v>54</v>
      </c>
      <c r="I3604">
        <v>6959335</v>
      </c>
      <c r="J3604" s="12">
        <v>46126</v>
      </c>
      <c r="K3604" s="12">
        <v>46126</v>
      </c>
      <c r="L3604" s="12">
        <v>46126</v>
      </c>
      <c r="M3604">
        <v>6</v>
      </c>
      <c r="N3604">
        <v>-1521500</v>
      </c>
      <c r="O3604">
        <v>-1521500</v>
      </c>
      <c r="P3604">
        <v>0</v>
      </c>
      <c r="Q3604">
        <v>-1521500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 t="s">
        <v>47</v>
      </c>
      <c r="AA3604" t="s">
        <v>501</v>
      </c>
      <c r="AB3604" t="s">
        <v>51</v>
      </c>
      <c r="AC3604" t="s">
        <v>51</v>
      </c>
      <c r="AD3604" t="s">
        <v>51</v>
      </c>
      <c r="AE3604" t="s">
        <v>51</v>
      </c>
      <c r="AF3604" t="s">
        <v>2694</v>
      </c>
    </row>
    <row r="3605" spans="1:32" ht="14.5" customHeight="1" x14ac:dyDescent="0.35">
      <c r="A3605" t="s">
        <v>175</v>
      </c>
      <c r="B3605" t="s">
        <v>176</v>
      </c>
      <c r="C3605" t="s">
        <v>47</v>
      </c>
      <c r="D3605">
        <v>3100884</v>
      </c>
      <c r="E3605">
        <v>3100884</v>
      </c>
      <c r="F3605" t="s">
        <v>2692</v>
      </c>
      <c r="G3605" t="s">
        <v>2692</v>
      </c>
      <c r="H3605" t="s">
        <v>54</v>
      </c>
      <c r="I3605">
        <v>6959466</v>
      </c>
      <c r="J3605" s="12">
        <v>46127</v>
      </c>
      <c r="K3605" s="12">
        <v>46127</v>
      </c>
      <c r="L3605" s="12">
        <v>46127</v>
      </c>
      <c r="M3605">
        <v>5</v>
      </c>
      <c r="N3605">
        <v>-4749996</v>
      </c>
      <c r="O3605">
        <v>-4749996</v>
      </c>
      <c r="P3605">
        <v>0</v>
      </c>
      <c r="Q3605">
        <v>-4749996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 t="s">
        <v>47</v>
      </c>
      <c r="AA3605" t="s">
        <v>501</v>
      </c>
      <c r="AB3605" t="s">
        <v>51</v>
      </c>
      <c r="AC3605" t="s">
        <v>51</v>
      </c>
      <c r="AD3605" t="s">
        <v>51</v>
      </c>
      <c r="AE3605" t="s">
        <v>51</v>
      </c>
      <c r="AF3605" t="s">
        <v>2695</v>
      </c>
    </row>
    <row r="3606" spans="1:32" ht="14.5" customHeight="1" x14ac:dyDescent="0.35">
      <c r="A3606" t="s">
        <v>175</v>
      </c>
      <c r="B3606" t="s">
        <v>176</v>
      </c>
      <c r="C3606" t="s">
        <v>47</v>
      </c>
      <c r="D3606">
        <v>3100884</v>
      </c>
      <c r="E3606">
        <v>3100884</v>
      </c>
      <c r="F3606" t="s">
        <v>2692</v>
      </c>
      <c r="G3606" t="s">
        <v>2692</v>
      </c>
      <c r="H3606" t="s">
        <v>54</v>
      </c>
      <c r="I3606">
        <v>6960160</v>
      </c>
      <c r="J3606" s="12">
        <v>46130</v>
      </c>
      <c r="K3606" s="12">
        <v>46130</v>
      </c>
      <c r="L3606" s="12">
        <v>46130</v>
      </c>
      <c r="M3606">
        <v>2</v>
      </c>
      <c r="N3606">
        <v>-20005881</v>
      </c>
      <c r="O3606">
        <v>-20005881</v>
      </c>
      <c r="P3606">
        <v>0</v>
      </c>
      <c r="Q3606">
        <v>-20005881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 t="s">
        <v>47</v>
      </c>
      <c r="AA3606" t="s">
        <v>501</v>
      </c>
      <c r="AB3606" t="s">
        <v>51</v>
      </c>
      <c r="AC3606" t="s">
        <v>51</v>
      </c>
      <c r="AD3606" t="s">
        <v>51</v>
      </c>
      <c r="AE3606" t="s">
        <v>51</v>
      </c>
      <c r="AF3606" t="s">
        <v>106</v>
      </c>
    </row>
    <row r="3607" spans="1:32" ht="14.5" customHeight="1" x14ac:dyDescent="0.35">
      <c r="A3607" t="s">
        <v>175</v>
      </c>
      <c r="B3607" t="s">
        <v>176</v>
      </c>
      <c r="C3607" t="s">
        <v>187</v>
      </c>
      <c r="D3607">
        <v>3100884</v>
      </c>
      <c r="E3607">
        <v>3100886</v>
      </c>
      <c r="F3607" t="s">
        <v>2692</v>
      </c>
      <c r="G3607" t="s">
        <v>2692</v>
      </c>
      <c r="H3607" t="s">
        <v>54</v>
      </c>
      <c r="I3607">
        <v>9917602</v>
      </c>
      <c r="J3607" s="12">
        <v>46107</v>
      </c>
      <c r="K3607" s="12">
        <v>46107</v>
      </c>
      <c r="L3607" s="12">
        <v>46142</v>
      </c>
      <c r="M3607">
        <v>-10</v>
      </c>
      <c r="N3607">
        <v>94537854</v>
      </c>
      <c r="O3607">
        <v>0</v>
      </c>
      <c r="P3607">
        <v>94537854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 t="s">
        <v>187</v>
      </c>
      <c r="AA3607" t="s">
        <v>501</v>
      </c>
      <c r="AB3607" t="s">
        <v>51</v>
      </c>
      <c r="AC3607" t="s">
        <v>51</v>
      </c>
      <c r="AD3607" t="s">
        <v>2696</v>
      </c>
      <c r="AE3607" t="s">
        <v>51</v>
      </c>
      <c r="AF3607" t="s">
        <v>281</v>
      </c>
    </row>
    <row r="3608" spans="1:32" ht="14.5" customHeight="1" x14ac:dyDescent="0.35">
      <c r="A3608" t="s">
        <v>175</v>
      </c>
      <c r="B3608" t="s">
        <v>176</v>
      </c>
      <c r="C3608" t="s">
        <v>187</v>
      </c>
      <c r="D3608">
        <v>3100884</v>
      </c>
      <c r="E3608">
        <v>3100886</v>
      </c>
      <c r="F3608" t="s">
        <v>2692</v>
      </c>
      <c r="G3608" t="s">
        <v>2692</v>
      </c>
      <c r="H3608" t="s">
        <v>54</v>
      </c>
      <c r="I3608">
        <v>9917604</v>
      </c>
      <c r="J3608" s="12">
        <v>46107</v>
      </c>
      <c r="K3608" s="12">
        <v>46107</v>
      </c>
      <c r="L3608" s="12">
        <v>46142</v>
      </c>
      <c r="M3608">
        <v>-10</v>
      </c>
      <c r="N3608">
        <v>1614384</v>
      </c>
      <c r="O3608">
        <v>0</v>
      </c>
      <c r="P3608">
        <v>1614384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 t="s">
        <v>187</v>
      </c>
      <c r="AA3608" t="s">
        <v>501</v>
      </c>
      <c r="AB3608" t="s">
        <v>51</v>
      </c>
      <c r="AC3608" t="s">
        <v>51</v>
      </c>
      <c r="AD3608" t="s">
        <v>2697</v>
      </c>
      <c r="AE3608" t="s">
        <v>51</v>
      </c>
      <c r="AF3608" t="s">
        <v>320</v>
      </c>
    </row>
    <row r="3609" spans="1:32" ht="14.5" customHeight="1" x14ac:dyDescent="0.35">
      <c r="A3609" t="s">
        <v>175</v>
      </c>
      <c r="B3609" t="s">
        <v>176</v>
      </c>
      <c r="C3609" t="s">
        <v>187</v>
      </c>
      <c r="D3609">
        <v>3100884</v>
      </c>
      <c r="E3609">
        <v>3100886</v>
      </c>
      <c r="F3609" t="s">
        <v>2692</v>
      </c>
      <c r="G3609" t="s">
        <v>2692</v>
      </c>
      <c r="H3609" t="s">
        <v>54</v>
      </c>
      <c r="I3609">
        <v>9920126</v>
      </c>
      <c r="J3609" s="12">
        <v>46111</v>
      </c>
      <c r="K3609" s="12">
        <v>46111</v>
      </c>
      <c r="L3609" s="12">
        <v>46146</v>
      </c>
      <c r="M3609">
        <v>-14</v>
      </c>
      <c r="N3609">
        <v>81466412</v>
      </c>
      <c r="O3609">
        <v>0</v>
      </c>
      <c r="P3609">
        <v>81466412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 t="s">
        <v>187</v>
      </c>
      <c r="AA3609" t="s">
        <v>501</v>
      </c>
      <c r="AB3609" t="s">
        <v>51</v>
      </c>
      <c r="AC3609" t="s">
        <v>51</v>
      </c>
      <c r="AD3609" t="s">
        <v>2698</v>
      </c>
      <c r="AE3609" t="s">
        <v>51</v>
      </c>
      <c r="AF3609" t="s">
        <v>279</v>
      </c>
    </row>
    <row r="3610" spans="1:32" ht="14.5" customHeight="1" x14ac:dyDescent="0.35">
      <c r="A3610" t="s">
        <v>175</v>
      </c>
      <c r="B3610" t="s">
        <v>176</v>
      </c>
      <c r="C3610" t="s">
        <v>187</v>
      </c>
      <c r="D3610">
        <v>3100884</v>
      </c>
      <c r="E3610">
        <v>3100886</v>
      </c>
      <c r="F3610" t="s">
        <v>2692</v>
      </c>
      <c r="G3610" t="s">
        <v>2692</v>
      </c>
      <c r="H3610" t="s">
        <v>54</v>
      </c>
      <c r="I3610">
        <v>9926304</v>
      </c>
      <c r="J3610" s="12">
        <v>46128</v>
      </c>
      <c r="K3610" s="12">
        <v>46128</v>
      </c>
      <c r="L3610" s="12">
        <v>46163</v>
      </c>
      <c r="M3610">
        <v>-31</v>
      </c>
      <c r="N3610">
        <v>86086094</v>
      </c>
      <c r="O3610">
        <v>0</v>
      </c>
      <c r="P3610">
        <v>86086094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 t="s">
        <v>187</v>
      </c>
      <c r="AA3610" t="s">
        <v>501</v>
      </c>
      <c r="AB3610" t="s">
        <v>51</v>
      </c>
      <c r="AC3610" t="s">
        <v>51</v>
      </c>
      <c r="AD3610" t="s">
        <v>51</v>
      </c>
      <c r="AE3610" t="s">
        <v>2699</v>
      </c>
      <c r="AF3610" t="s">
        <v>285</v>
      </c>
    </row>
    <row r="3611" spans="1:32" ht="14.5" customHeight="1" x14ac:dyDescent="0.35">
      <c r="A3611" t="s">
        <v>498</v>
      </c>
      <c r="B3611" t="s">
        <v>546</v>
      </c>
      <c r="C3611" t="s">
        <v>47</v>
      </c>
      <c r="D3611">
        <v>3100892</v>
      </c>
      <c r="E3611">
        <v>3100892</v>
      </c>
      <c r="F3611" t="s">
        <v>2700</v>
      </c>
      <c r="G3611" t="s">
        <v>2700</v>
      </c>
      <c r="H3611" t="s">
        <v>54</v>
      </c>
      <c r="I3611">
        <v>6957686</v>
      </c>
      <c r="J3611" s="12">
        <v>46111</v>
      </c>
      <c r="K3611" s="12">
        <v>46111</v>
      </c>
      <c r="L3611" s="12">
        <v>46111</v>
      </c>
      <c r="M3611">
        <v>21</v>
      </c>
      <c r="N3611">
        <v>-285158</v>
      </c>
      <c r="O3611">
        <v>-285158</v>
      </c>
      <c r="P3611">
        <v>0</v>
      </c>
      <c r="Q3611">
        <v>-285158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 t="s">
        <v>47</v>
      </c>
      <c r="AA3611" t="s">
        <v>501</v>
      </c>
      <c r="AB3611" t="s">
        <v>51</v>
      </c>
      <c r="AC3611" t="s">
        <v>51</v>
      </c>
      <c r="AD3611" t="s">
        <v>51</v>
      </c>
      <c r="AE3611" t="s">
        <v>51</v>
      </c>
      <c r="AF3611" t="s">
        <v>2701</v>
      </c>
    </row>
    <row r="3612" spans="1:32" ht="14.5" customHeight="1" x14ac:dyDescent="0.35">
      <c r="A3612" t="s">
        <v>498</v>
      </c>
      <c r="B3612" t="s">
        <v>546</v>
      </c>
      <c r="C3612" t="s">
        <v>47</v>
      </c>
      <c r="D3612">
        <v>3100892</v>
      </c>
      <c r="E3612">
        <v>3100892</v>
      </c>
      <c r="F3612" t="s">
        <v>2700</v>
      </c>
      <c r="G3612" t="s">
        <v>2700</v>
      </c>
      <c r="H3612" t="s">
        <v>54</v>
      </c>
      <c r="I3612">
        <v>6960161</v>
      </c>
      <c r="J3612" s="12">
        <v>46130</v>
      </c>
      <c r="K3612" s="12">
        <v>46130</v>
      </c>
      <c r="L3612" s="12">
        <v>46130</v>
      </c>
      <c r="M3612">
        <v>2</v>
      </c>
      <c r="N3612">
        <v>-6830722</v>
      </c>
      <c r="O3612">
        <v>-6830722</v>
      </c>
      <c r="P3612">
        <v>0</v>
      </c>
      <c r="Q3612">
        <v>-6830722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 t="s">
        <v>47</v>
      </c>
      <c r="AA3612" t="s">
        <v>501</v>
      </c>
      <c r="AB3612" t="s">
        <v>51</v>
      </c>
      <c r="AC3612" t="s">
        <v>51</v>
      </c>
      <c r="AD3612" t="s">
        <v>51</v>
      </c>
      <c r="AE3612" t="s">
        <v>51</v>
      </c>
      <c r="AF3612" t="s">
        <v>56</v>
      </c>
    </row>
    <row r="3613" spans="1:32" ht="14.5" customHeight="1" x14ac:dyDescent="0.35">
      <c r="A3613" t="s">
        <v>498</v>
      </c>
      <c r="B3613" t="s">
        <v>546</v>
      </c>
      <c r="C3613" t="s">
        <v>929</v>
      </c>
      <c r="D3613">
        <v>3100892</v>
      </c>
      <c r="E3613">
        <v>3100894</v>
      </c>
      <c r="F3613" t="s">
        <v>2700</v>
      </c>
      <c r="G3613" t="s">
        <v>2700</v>
      </c>
      <c r="H3613" t="s">
        <v>54</v>
      </c>
      <c r="I3613">
        <v>9923504</v>
      </c>
      <c r="J3613" s="12">
        <v>46122</v>
      </c>
      <c r="K3613" s="12">
        <v>46122</v>
      </c>
      <c r="L3613" s="12">
        <v>46157</v>
      </c>
      <c r="M3613">
        <v>-25</v>
      </c>
      <c r="N3613">
        <v>245675647</v>
      </c>
      <c r="O3613">
        <v>0</v>
      </c>
      <c r="P3613">
        <v>245675647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 t="s">
        <v>929</v>
      </c>
      <c r="AA3613" t="s">
        <v>501</v>
      </c>
      <c r="AB3613" t="s">
        <v>51</v>
      </c>
      <c r="AC3613" t="s">
        <v>51</v>
      </c>
      <c r="AD3613" t="s">
        <v>51</v>
      </c>
      <c r="AE3613" t="s">
        <v>2702</v>
      </c>
      <c r="AF3613" t="s">
        <v>195</v>
      </c>
    </row>
    <row r="3614" spans="1:32" ht="14.5" customHeight="1" x14ac:dyDescent="0.35">
      <c r="A3614" t="s">
        <v>498</v>
      </c>
      <c r="B3614" t="s">
        <v>546</v>
      </c>
      <c r="C3614" t="s">
        <v>929</v>
      </c>
      <c r="D3614">
        <v>3100892</v>
      </c>
      <c r="E3614">
        <v>3101052</v>
      </c>
      <c r="F3614" t="s">
        <v>2700</v>
      </c>
      <c r="G3614" t="s">
        <v>2703</v>
      </c>
      <c r="H3614" t="s">
        <v>54</v>
      </c>
      <c r="I3614">
        <v>9927308</v>
      </c>
      <c r="J3614" s="12">
        <v>46130</v>
      </c>
      <c r="K3614" s="12">
        <v>46130</v>
      </c>
      <c r="L3614" s="12">
        <v>46161</v>
      </c>
      <c r="M3614">
        <v>-29</v>
      </c>
      <c r="N3614">
        <v>133496170</v>
      </c>
      <c r="O3614">
        <v>0</v>
      </c>
      <c r="P3614">
        <v>133496170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 t="s">
        <v>929</v>
      </c>
      <c r="AA3614" t="s">
        <v>501</v>
      </c>
      <c r="AB3614" t="s">
        <v>51</v>
      </c>
      <c r="AC3614" t="s">
        <v>51</v>
      </c>
      <c r="AD3614" t="s">
        <v>51</v>
      </c>
      <c r="AE3614" t="s">
        <v>2704</v>
      </c>
      <c r="AF3614" t="s">
        <v>320</v>
      </c>
    </row>
    <row r="3615" spans="1:32" ht="14.5" customHeight="1" x14ac:dyDescent="0.35">
      <c r="A3615" t="s">
        <v>498</v>
      </c>
      <c r="B3615" t="s">
        <v>1070</v>
      </c>
      <c r="C3615" t="s">
        <v>47</v>
      </c>
      <c r="D3615">
        <v>3100899</v>
      </c>
      <c r="E3615">
        <v>3100899</v>
      </c>
      <c r="F3615" t="s">
        <v>2705</v>
      </c>
      <c r="G3615" t="s">
        <v>2705</v>
      </c>
      <c r="H3615" t="s">
        <v>54</v>
      </c>
      <c r="I3615">
        <v>6959187</v>
      </c>
      <c r="J3615" s="12">
        <v>46126</v>
      </c>
      <c r="K3615" s="12">
        <v>46126</v>
      </c>
      <c r="L3615" s="12">
        <v>46126</v>
      </c>
      <c r="M3615">
        <v>6</v>
      </c>
      <c r="N3615">
        <v>-9810000</v>
      </c>
      <c r="O3615">
        <v>-9810000</v>
      </c>
      <c r="P3615">
        <v>0</v>
      </c>
      <c r="Q3615">
        <v>-9810000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 t="s">
        <v>47</v>
      </c>
      <c r="AA3615" t="s">
        <v>501</v>
      </c>
      <c r="AB3615" t="s">
        <v>51</v>
      </c>
      <c r="AC3615" t="s">
        <v>51</v>
      </c>
      <c r="AD3615" t="s">
        <v>51</v>
      </c>
      <c r="AE3615" t="s">
        <v>51</v>
      </c>
      <c r="AF3615" t="s">
        <v>2706</v>
      </c>
    </row>
    <row r="3616" spans="1:32" ht="14.5" customHeight="1" x14ac:dyDescent="0.35">
      <c r="A3616" t="s">
        <v>498</v>
      </c>
      <c r="B3616" t="s">
        <v>1070</v>
      </c>
      <c r="C3616" t="s">
        <v>47</v>
      </c>
      <c r="D3616">
        <v>3100899</v>
      </c>
      <c r="E3616">
        <v>3100899</v>
      </c>
      <c r="F3616" t="s">
        <v>2705</v>
      </c>
      <c r="G3616" t="s">
        <v>2705</v>
      </c>
      <c r="H3616" t="s">
        <v>54</v>
      </c>
      <c r="I3616">
        <v>6959456</v>
      </c>
      <c r="J3616" s="12">
        <v>46127</v>
      </c>
      <c r="K3616" s="12">
        <v>46127</v>
      </c>
      <c r="L3616" s="12">
        <v>46127</v>
      </c>
      <c r="M3616">
        <v>5</v>
      </c>
      <c r="N3616">
        <v>-9814116</v>
      </c>
      <c r="O3616">
        <v>-9814116</v>
      </c>
      <c r="P3616">
        <v>0</v>
      </c>
      <c r="Q3616">
        <v>-9814116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 t="s">
        <v>47</v>
      </c>
      <c r="AA3616" t="s">
        <v>501</v>
      </c>
      <c r="AB3616" t="s">
        <v>51</v>
      </c>
      <c r="AC3616" t="s">
        <v>51</v>
      </c>
      <c r="AD3616" t="s">
        <v>51</v>
      </c>
      <c r="AE3616" t="s">
        <v>51</v>
      </c>
      <c r="AF3616" t="s">
        <v>2707</v>
      </c>
    </row>
    <row r="3617" spans="1:32" ht="14.5" customHeight="1" x14ac:dyDescent="0.35">
      <c r="A3617" t="s">
        <v>498</v>
      </c>
      <c r="B3617" t="s">
        <v>1070</v>
      </c>
      <c r="C3617" t="s">
        <v>47</v>
      </c>
      <c r="D3617">
        <v>3100899</v>
      </c>
      <c r="E3617">
        <v>3100899</v>
      </c>
      <c r="F3617" t="s">
        <v>2705</v>
      </c>
      <c r="G3617" t="s">
        <v>2705</v>
      </c>
      <c r="H3617" t="s">
        <v>54</v>
      </c>
      <c r="I3617">
        <v>6959461</v>
      </c>
      <c r="J3617" s="12">
        <v>46127</v>
      </c>
      <c r="K3617" s="12">
        <v>46127</v>
      </c>
      <c r="L3617" s="12">
        <v>46127</v>
      </c>
      <c r="M3617">
        <v>5</v>
      </c>
      <c r="N3617">
        <v>-10325217</v>
      </c>
      <c r="O3617">
        <v>-10325217</v>
      </c>
      <c r="P3617">
        <v>0</v>
      </c>
      <c r="Q3617">
        <v>-10325217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 t="s">
        <v>47</v>
      </c>
      <c r="AA3617" t="s">
        <v>501</v>
      </c>
      <c r="AB3617" t="s">
        <v>51</v>
      </c>
      <c r="AC3617" t="s">
        <v>51</v>
      </c>
      <c r="AD3617" t="s">
        <v>51</v>
      </c>
      <c r="AE3617" t="s">
        <v>51</v>
      </c>
      <c r="AF3617" t="s">
        <v>2708</v>
      </c>
    </row>
    <row r="3618" spans="1:32" ht="14.5" customHeight="1" x14ac:dyDescent="0.35">
      <c r="A3618" t="s">
        <v>498</v>
      </c>
      <c r="B3618" t="s">
        <v>1070</v>
      </c>
      <c r="C3618" t="s">
        <v>596</v>
      </c>
      <c r="D3618">
        <v>3100899</v>
      </c>
      <c r="E3618">
        <v>3100901</v>
      </c>
      <c r="F3618" t="s">
        <v>2705</v>
      </c>
      <c r="G3618" t="s">
        <v>2705</v>
      </c>
      <c r="H3618" t="s">
        <v>54</v>
      </c>
      <c r="I3618">
        <v>9923227</v>
      </c>
      <c r="J3618" s="12">
        <v>46121</v>
      </c>
      <c r="K3618" s="12">
        <v>46121</v>
      </c>
      <c r="L3618" s="12">
        <v>46156</v>
      </c>
      <c r="M3618">
        <v>-24</v>
      </c>
      <c r="N3618">
        <v>299105702</v>
      </c>
      <c r="O3618">
        <v>0</v>
      </c>
      <c r="P3618">
        <v>299105702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 t="s">
        <v>596</v>
      </c>
      <c r="AA3618" t="s">
        <v>501</v>
      </c>
      <c r="AB3618" t="s">
        <v>51</v>
      </c>
      <c r="AC3618" t="s">
        <v>51</v>
      </c>
      <c r="AD3618" t="s">
        <v>51</v>
      </c>
      <c r="AE3618" t="s">
        <v>2709</v>
      </c>
      <c r="AF3618" t="s">
        <v>62</v>
      </c>
    </row>
    <row r="3619" spans="1:32" ht="14.5" customHeight="1" x14ac:dyDescent="0.35">
      <c r="A3619" t="s">
        <v>498</v>
      </c>
      <c r="B3619" t="s">
        <v>1070</v>
      </c>
      <c r="C3619" t="s">
        <v>596</v>
      </c>
      <c r="D3619">
        <v>3100899</v>
      </c>
      <c r="E3619">
        <v>3100901</v>
      </c>
      <c r="F3619" t="s">
        <v>2705</v>
      </c>
      <c r="G3619" t="s">
        <v>2705</v>
      </c>
      <c r="H3619" t="s">
        <v>54</v>
      </c>
      <c r="I3619">
        <v>9923228</v>
      </c>
      <c r="J3619" s="12">
        <v>46121</v>
      </c>
      <c r="K3619" s="12">
        <v>46121</v>
      </c>
      <c r="L3619" s="12">
        <v>46156</v>
      </c>
      <c r="M3619">
        <v>-24</v>
      </c>
      <c r="N3619">
        <v>2331200</v>
      </c>
      <c r="O3619">
        <v>0</v>
      </c>
      <c r="P3619">
        <v>2331200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 t="s">
        <v>596</v>
      </c>
      <c r="AA3619" t="s">
        <v>501</v>
      </c>
      <c r="AB3619" t="s">
        <v>51</v>
      </c>
      <c r="AC3619" t="s">
        <v>51</v>
      </c>
      <c r="AD3619" t="s">
        <v>51</v>
      </c>
      <c r="AE3619" t="s">
        <v>2710</v>
      </c>
      <c r="AF3619" t="s">
        <v>64</v>
      </c>
    </row>
    <row r="3620" spans="1:32" ht="14.5" customHeight="1" x14ac:dyDescent="0.35">
      <c r="A3620" t="s">
        <v>498</v>
      </c>
      <c r="B3620"/>
      <c r="C3620" t="s">
        <v>846</v>
      </c>
      <c r="D3620">
        <v>3100905</v>
      </c>
      <c r="E3620">
        <v>3100910</v>
      </c>
      <c r="F3620" t="s">
        <v>2711</v>
      </c>
      <c r="G3620" t="s">
        <v>2712</v>
      </c>
      <c r="H3620" t="s">
        <v>54</v>
      </c>
      <c r="I3620">
        <v>9923026</v>
      </c>
      <c r="J3620" s="12">
        <v>46120</v>
      </c>
      <c r="K3620" s="12">
        <v>46120</v>
      </c>
      <c r="L3620" s="12">
        <v>46171</v>
      </c>
      <c r="M3620">
        <v>-39</v>
      </c>
      <c r="N3620">
        <v>54308395</v>
      </c>
      <c r="O3620">
        <v>0</v>
      </c>
      <c r="P3620">
        <v>54308395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 t="s">
        <v>846</v>
      </c>
      <c r="AA3620" t="s">
        <v>501</v>
      </c>
      <c r="AB3620" t="s">
        <v>51</v>
      </c>
      <c r="AC3620" t="s">
        <v>51</v>
      </c>
      <c r="AD3620" t="s">
        <v>51</v>
      </c>
      <c r="AE3620" t="s">
        <v>2713</v>
      </c>
      <c r="AF3620" t="s">
        <v>781</v>
      </c>
    </row>
    <row r="3621" spans="1:32" ht="14.5" customHeight="1" x14ac:dyDescent="0.35">
      <c r="A3621" t="s">
        <v>45</v>
      </c>
      <c r="B3621" t="s">
        <v>46</v>
      </c>
      <c r="C3621" t="s">
        <v>47</v>
      </c>
      <c r="D3621">
        <v>3100925</v>
      </c>
      <c r="E3621">
        <v>3100925</v>
      </c>
      <c r="F3621" t="s">
        <v>2714</v>
      </c>
      <c r="G3621" t="s">
        <v>2714</v>
      </c>
      <c r="H3621" t="s">
        <v>54</v>
      </c>
      <c r="I3621">
        <v>6953594</v>
      </c>
      <c r="J3621" s="12">
        <v>46084</v>
      </c>
      <c r="K3621" s="12">
        <v>46084</v>
      </c>
      <c r="L3621" s="12">
        <v>46084</v>
      </c>
      <c r="M3621">
        <v>48</v>
      </c>
      <c r="N3621">
        <v>-17625027</v>
      </c>
      <c r="O3621">
        <v>-17625027</v>
      </c>
      <c r="P3621">
        <v>0</v>
      </c>
      <c r="Q3621">
        <v>0</v>
      </c>
      <c r="R3621">
        <v>-17625027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 t="s">
        <v>47</v>
      </c>
      <c r="AA3621" t="s">
        <v>55</v>
      </c>
      <c r="AB3621" t="s">
        <v>51</v>
      </c>
      <c r="AC3621" t="s">
        <v>51</v>
      </c>
      <c r="AD3621" t="s">
        <v>51</v>
      </c>
      <c r="AE3621" t="s">
        <v>51</v>
      </c>
      <c r="AF3621" t="s">
        <v>2715</v>
      </c>
    </row>
    <row r="3622" spans="1:32" ht="14.5" customHeight="1" x14ac:dyDescent="0.35">
      <c r="A3622" t="s">
        <v>45</v>
      </c>
      <c r="B3622" t="s">
        <v>46</v>
      </c>
      <c r="C3622" t="s">
        <v>47</v>
      </c>
      <c r="D3622">
        <v>3100925</v>
      </c>
      <c r="E3622">
        <v>3100925</v>
      </c>
      <c r="F3622" t="s">
        <v>2714</v>
      </c>
      <c r="G3622" t="s">
        <v>2714</v>
      </c>
      <c r="H3622" t="s">
        <v>54</v>
      </c>
      <c r="I3622">
        <v>6953597</v>
      </c>
      <c r="J3622" s="12">
        <v>46084</v>
      </c>
      <c r="K3622" s="12">
        <v>46084</v>
      </c>
      <c r="L3622" s="12">
        <v>46084</v>
      </c>
      <c r="M3622">
        <v>48</v>
      </c>
      <c r="N3622">
        <v>-19497248</v>
      </c>
      <c r="O3622">
        <v>-19497248</v>
      </c>
      <c r="P3622">
        <v>0</v>
      </c>
      <c r="Q3622">
        <v>0</v>
      </c>
      <c r="R3622">
        <v>-19497248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 t="s">
        <v>47</v>
      </c>
      <c r="AA3622" t="s">
        <v>55</v>
      </c>
      <c r="AB3622" t="s">
        <v>51</v>
      </c>
      <c r="AC3622" t="s">
        <v>51</v>
      </c>
      <c r="AD3622" t="s">
        <v>51</v>
      </c>
      <c r="AE3622" t="s">
        <v>51</v>
      </c>
      <c r="AF3622" t="s">
        <v>2716</v>
      </c>
    </row>
    <row r="3623" spans="1:32" ht="14.5" customHeight="1" x14ac:dyDescent="0.35">
      <c r="A3623" t="s">
        <v>45</v>
      </c>
      <c r="B3623" t="s">
        <v>46</v>
      </c>
      <c r="C3623" t="s">
        <v>47</v>
      </c>
      <c r="D3623">
        <v>3100925</v>
      </c>
      <c r="E3623">
        <v>3100925</v>
      </c>
      <c r="F3623" t="s">
        <v>2714</v>
      </c>
      <c r="G3623" t="s">
        <v>2714</v>
      </c>
      <c r="H3623" t="s">
        <v>54</v>
      </c>
      <c r="I3623">
        <v>6954166</v>
      </c>
      <c r="J3623" s="12">
        <v>46087</v>
      </c>
      <c r="K3623" s="12">
        <v>46087</v>
      </c>
      <c r="L3623" s="12">
        <v>46087</v>
      </c>
      <c r="M3623">
        <v>45</v>
      </c>
      <c r="N3623">
        <v>-10614375</v>
      </c>
      <c r="O3623">
        <v>-10614375</v>
      </c>
      <c r="P3623">
        <v>0</v>
      </c>
      <c r="Q3623">
        <v>0</v>
      </c>
      <c r="R3623">
        <v>-10614375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 t="s">
        <v>47</v>
      </c>
      <c r="AA3623" t="s">
        <v>55</v>
      </c>
      <c r="AB3623" t="s">
        <v>51</v>
      </c>
      <c r="AC3623" t="s">
        <v>51</v>
      </c>
      <c r="AD3623" t="s">
        <v>51</v>
      </c>
      <c r="AE3623" t="s">
        <v>51</v>
      </c>
      <c r="AF3623" t="s">
        <v>2717</v>
      </c>
    </row>
    <row r="3624" spans="1:32" ht="14.5" customHeight="1" x14ac:dyDescent="0.35">
      <c r="A3624" t="s">
        <v>45</v>
      </c>
      <c r="B3624" t="s">
        <v>46</v>
      </c>
      <c r="C3624" t="s">
        <v>47</v>
      </c>
      <c r="D3624">
        <v>3100925</v>
      </c>
      <c r="E3624">
        <v>3100925</v>
      </c>
      <c r="F3624" t="s">
        <v>2714</v>
      </c>
      <c r="G3624" t="s">
        <v>2714</v>
      </c>
      <c r="H3624" t="s">
        <v>54</v>
      </c>
      <c r="I3624">
        <v>6954167</v>
      </c>
      <c r="J3624" s="12">
        <v>46087</v>
      </c>
      <c r="K3624" s="12">
        <v>46087</v>
      </c>
      <c r="L3624" s="12">
        <v>46087</v>
      </c>
      <c r="M3624">
        <v>45</v>
      </c>
      <c r="N3624">
        <v>-900000</v>
      </c>
      <c r="O3624">
        <v>-900000</v>
      </c>
      <c r="P3624">
        <v>0</v>
      </c>
      <c r="Q3624">
        <v>0</v>
      </c>
      <c r="R3624">
        <v>-900000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 t="s">
        <v>47</v>
      </c>
      <c r="AA3624" t="s">
        <v>55</v>
      </c>
      <c r="AB3624" t="s">
        <v>51</v>
      </c>
      <c r="AC3624" t="s">
        <v>51</v>
      </c>
      <c r="AD3624" t="s">
        <v>51</v>
      </c>
      <c r="AE3624" t="s">
        <v>51</v>
      </c>
      <c r="AF3624" t="s">
        <v>2718</v>
      </c>
    </row>
    <row r="3625" spans="1:32" ht="14.5" customHeight="1" x14ac:dyDescent="0.35">
      <c r="A3625" t="s">
        <v>45</v>
      </c>
      <c r="B3625" t="s">
        <v>46</v>
      </c>
      <c r="C3625" t="s">
        <v>47</v>
      </c>
      <c r="D3625">
        <v>3100925</v>
      </c>
      <c r="E3625">
        <v>3100925</v>
      </c>
      <c r="F3625" t="s">
        <v>2714</v>
      </c>
      <c r="G3625" t="s">
        <v>2714</v>
      </c>
      <c r="H3625" t="s">
        <v>54</v>
      </c>
      <c r="I3625">
        <v>6954193</v>
      </c>
      <c r="J3625" s="12">
        <v>46087</v>
      </c>
      <c r="K3625" s="12">
        <v>46087</v>
      </c>
      <c r="L3625" s="12">
        <v>46087</v>
      </c>
      <c r="M3625">
        <v>45</v>
      </c>
      <c r="N3625">
        <v>-70491326</v>
      </c>
      <c r="O3625">
        <v>-70491326</v>
      </c>
      <c r="P3625">
        <v>0</v>
      </c>
      <c r="Q3625">
        <v>0</v>
      </c>
      <c r="R3625">
        <v>-70491326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 t="s">
        <v>47</v>
      </c>
      <c r="AA3625" t="s">
        <v>55</v>
      </c>
      <c r="AB3625" t="s">
        <v>51</v>
      </c>
      <c r="AC3625" t="s">
        <v>51</v>
      </c>
      <c r="AD3625" t="s">
        <v>51</v>
      </c>
      <c r="AE3625" t="s">
        <v>51</v>
      </c>
      <c r="AF3625" t="s">
        <v>106</v>
      </c>
    </row>
    <row r="3626" spans="1:32" ht="14.5" customHeight="1" x14ac:dyDescent="0.35">
      <c r="A3626" t="s">
        <v>45</v>
      </c>
      <c r="B3626" t="s">
        <v>46</v>
      </c>
      <c r="C3626" t="s">
        <v>47</v>
      </c>
      <c r="D3626">
        <v>3100925</v>
      </c>
      <c r="E3626">
        <v>3100925</v>
      </c>
      <c r="F3626" t="s">
        <v>2714</v>
      </c>
      <c r="G3626" t="s">
        <v>2714</v>
      </c>
      <c r="H3626" t="s">
        <v>54</v>
      </c>
      <c r="I3626">
        <v>6954691</v>
      </c>
      <c r="J3626" s="12">
        <v>46090</v>
      </c>
      <c r="K3626" s="12">
        <v>46090</v>
      </c>
      <c r="L3626" s="12">
        <v>46090</v>
      </c>
      <c r="M3626">
        <v>42</v>
      </c>
      <c r="N3626">
        <v>-19319558</v>
      </c>
      <c r="O3626">
        <v>-19319558</v>
      </c>
      <c r="P3626">
        <v>0</v>
      </c>
      <c r="Q3626">
        <v>0</v>
      </c>
      <c r="R3626">
        <v>-19319558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 t="s">
        <v>47</v>
      </c>
      <c r="AA3626" t="s">
        <v>55</v>
      </c>
      <c r="AB3626" t="s">
        <v>51</v>
      </c>
      <c r="AC3626" t="s">
        <v>51</v>
      </c>
      <c r="AD3626" t="s">
        <v>51</v>
      </c>
      <c r="AE3626" t="s">
        <v>51</v>
      </c>
      <c r="AF3626" t="s">
        <v>2719</v>
      </c>
    </row>
    <row r="3627" spans="1:32" ht="14.5" customHeight="1" x14ac:dyDescent="0.35">
      <c r="A3627" t="s">
        <v>45</v>
      </c>
      <c r="B3627" t="s">
        <v>46</v>
      </c>
      <c r="C3627" t="s">
        <v>47</v>
      </c>
      <c r="D3627">
        <v>3100925</v>
      </c>
      <c r="E3627">
        <v>3100925</v>
      </c>
      <c r="F3627" t="s">
        <v>2714</v>
      </c>
      <c r="G3627" t="s">
        <v>2714</v>
      </c>
      <c r="H3627" t="s">
        <v>54</v>
      </c>
      <c r="I3627">
        <v>6954692</v>
      </c>
      <c r="J3627" s="12">
        <v>46090</v>
      </c>
      <c r="K3627" s="12">
        <v>46090</v>
      </c>
      <c r="L3627" s="12">
        <v>46090</v>
      </c>
      <c r="M3627">
        <v>42</v>
      </c>
      <c r="N3627">
        <v>-18358649</v>
      </c>
      <c r="O3627">
        <v>-18358649</v>
      </c>
      <c r="P3627">
        <v>0</v>
      </c>
      <c r="Q3627">
        <v>0</v>
      </c>
      <c r="R3627">
        <v>-18358649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 t="s">
        <v>47</v>
      </c>
      <c r="AA3627" t="s">
        <v>55</v>
      </c>
      <c r="AB3627" t="s">
        <v>51</v>
      </c>
      <c r="AC3627" t="s">
        <v>51</v>
      </c>
      <c r="AD3627" t="s">
        <v>51</v>
      </c>
      <c r="AE3627" t="s">
        <v>51</v>
      </c>
      <c r="AF3627" t="s">
        <v>2720</v>
      </c>
    </row>
    <row r="3628" spans="1:32" ht="14.5" customHeight="1" x14ac:dyDescent="0.35">
      <c r="A3628" t="s">
        <v>45</v>
      </c>
      <c r="B3628" t="s">
        <v>46</v>
      </c>
      <c r="C3628" t="s">
        <v>47</v>
      </c>
      <c r="D3628">
        <v>3100925</v>
      </c>
      <c r="E3628">
        <v>3100925</v>
      </c>
      <c r="F3628" t="s">
        <v>2714</v>
      </c>
      <c r="G3628" t="s">
        <v>2714</v>
      </c>
      <c r="H3628" t="s">
        <v>54</v>
      </c>
      <c r="I3628">
        <v>6954693</v>
      </c>
      <c r="J3628" s="12">
        <v>46090</v>
      </c>
      <c r="K3628" s="12">
        <v>46090</v>
      </c>
      <c r="L3628" s="12">
        <v>46090</v>
      </c>
      <c r="M3628">
        <v>42</v>
      </c>
      <c r="N3628">
        <v>-242829</v>
      </c>
      <c r="O3628">
        <v>-242829</v>
      </c>
      <c r="P3628">
        <v>0</v>
      </c>
      <c r="Q3628">
        <v>0</v>
      </c>
      <c r="R3628">
        <v>-242829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 t="s">
        <v>47</v>
      </c>
      <c r="AA3628" t="s">
        <v>55</v>
      </c>
      <c r="AB3628" t="s">
        <v>51</v>
      </c>
      <c r="AC3628" t="s">
        <v>51</v>
      </c>
      <c r="AD3628" t="s">
        <v>51</v>
      </c>
      <c r="AE3628" t="s">
        <v>51</v>
      </c>
      <c r="AF3628" t="s">
        <v>2721</v>
      </c>
    </row>
    <row r="3629" spans="1:32" ht="14.5" customHeight="1" x14ac:dyDescent="0.35">
      <c r="A3629" t="s">
        <v>45</v>
      </c>
      <c r="B3629" t="s">
        <v>46</v>
      </c>
      <c r="C3629" t="s">
        <v>47</v>
      </c>
      <c r="D3629">
        <v>3100925</v>
      </c>
      <c r="E3629">
        <v>3100925</v>
      </c>
      <c r="F3629" t="s">
        <v>2714</v>
      </c>
      <c r="G3629" t="s">
        <v>2714</v>
      </c>
      <c r="H3629" t="s">
        <v>54</v>
      </c>
      <c r="I3629">
        <v>6954724</v>
      </c>
      <c r="J3629" s="12">
        <v>46090</v>
      </c>
      <c r="K3629" s="12">
        <v>46090</v>
      </c>
      <c r="L3629" s="12">
        <v>46090</v>
      </c>
      <c r="M3629">
        <v>42</v>
      </c>
      <c r="N3629">
        <v>-257125</v>
      </c>
      <c r="O3629">
        <v>-257125</v>
      </c>
      <c r="P3629">
        <v>0</v>
      </c>
      <c r="Q3629">
        <v>0</v>
      </c>
      <c r="R3629">
        <v>-257125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 t="s">
        <v>47</v>
      </c>
      <c r="AA3629" t="s">
        <v>55</v>
      </c>
      <c r="AB3629" t="s">
        <v>51</v>
      </c>
      <c r="AC3629" t="s">
        <v>51</v>
      </c>
      <c r="AD3629" t="s">
        <v>51</v>
      </c>
      <c r="AE3629" t="s">
        <v>51</v>
      </c>
      <c r="AF3629" t="s">
        <v>2721</v>
      </c>
    </row>
    <row r="3630" spans="1:32" ht="14.5" customHeight="1" x14ac:dyDescent="0.35">
      <c r="A3630" t="s">
        <v>45</v>
      </c>
      <c r="B3630" t="s">
        <v>46</v>
      </c>
      <c r="C3630" t="s">
        <v>47</v>
      </c>
      <c r="D3630">
        <v>3100925</v>
      </c>
      <c r="E3630">
        <v>3100925</v>
      </c>
      <c r="F3630" t="s">
        <v>2714</v>
      </c>
      <c r="G3630" t="s">
        <v>2714</v>
      </c>
      <c r="H3630" t="s">
        <v>54</v>
      </c>
      <c r="I3630">
        <v>6954825</v>
      </c>
      <c r="J3630" s="12">
        <v>46090</v>
      </c>
      <c r="K3630" s="12">
        <v>46090</v>
      </c>
      <c r="L3630" s="12">
        <v>46090</v>
      </c>
      <c r="M3630">
        <v>42</v>
      </c>
      <c r="N3630">
        <v>-131153</v>
      </c>
      <c r="O3630">
        <v>-131153</v>
      </c>
      <c r="P3630">
        <v>0</v>
      </c>
      <c r="Q3630">
        <v>0</v>
      </c>
      <c r="R3630">
        <v>-131153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 t="s">
        <v>47</v>
      </c>
      <c r="AA3630" t="s">
        <v>55</v>
      </c>
      <c r="AB3630" t="s">
        <v>51</v>
      </c>
      <c r="AC3630" t="s">
        <v>51</v>
      </c>
      <c r="AD3630" t="s">
        <v>51</v>
      </c>
      <c r="AE3630" t="s">
        <v>51</v>
      </c>
      <c r="AF3630" t="s">
        <v>2722</v>
      </c>
    </row>
    <row r="3631" spans="1:32" ht="14.5" customHeight="1" x14ac:dyDescent="0.35">
      <c r="A3631" t="s">
        <v>45</v>
      </c>
      <c r="B3631" t="s">
        <v>46</v>
      </c>
      <c r="C3631" t="s">
        <v>47</v>
      </c>
      <c r="D3631">
        <v>3100925</v>
      </c>
      <c r="E3631">
        <v>3100925</v>
      </c>
      <c r="F3631" t="s">
        <v>2714</v>
      </c>
      <c r="G3631" t="s">
        <v>2714</v>
      </c>
      <c r="H3631" t="s">
        <v>54</v>
      </c>
      <c r="I3631">
        <v>6955075</v>
      </c>
      <c r="J3631" s="12">
        <v>46092</v>
      </c>
      <c r="K3631" s="12">
        <v>46092</v>
      </c>
      <c r="L3631" s="12">
        <v>46092</v>
      </c>
      <c r="M3631">
        <v>40</v>
      </c>
      <c r="N3631">
        <v>-1377604</v>
      </c>
      <c r="O3631">
        <v>-1377604</v>
      </c>
      <c r="P3631">
        <v>0</v>
      </c>
      <c r="Q3631">
        <v>0</v>
      </c>
      <c r="R3631">
        <v>-1377604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 t="s">
        <v>47</v>
      </c>
      <c r="AA3631" t="s">
        <v>55</v>
      </c>
      <c r="AB3631" t="s">
        <v>51</v>
      </c>
      <c r="AC3631" t="s">
        <v>51</v>
      </c>
      <c r="AD3631" t="s">
        <v>51</v>
      </c>
      <c r="AE3631" t="s">
        <v>51</v>
      </c>
      <c r="AF3631" t="s">
        <v>77</v>
      </c>
    </row>
    <row r="3632" spans="1:32" ht="14.5" customHeight="1" x14ac:dyDescent="0.35">
      <c r="A3632" t="s">
        <v>45</v>
      </c>
      <c r="B3632" t="s">
        <v>46</v>
      </c>
      <c r="C3632" t="s">
        <v>47</v>
      </c>
      <c r="D3632">
        <v>3100925</v>
      </c>
      <c r="E3632">
        <v>3100925</v>
      </c>
      <c r="F3632" t="s">
        <v>2714</v>
      </c>
      <c r="G3632" t="s">
        <v>2714</v>
      </c>
      <c r="H3632" t="s">
        <v>54</v>
      </c>
      <c r="I3632">
        <v>6955413</v>
      </c>
      <c r="J3632" s="12">
        <v>46093</v>
      </c>
      <c r="K3632" s="12">
        <v>46093</v>
      </c>
      <c r="L3632" s="12">
        <v>46093</v>
      </c>
      <c r="M3632">
        <v>39</v>
      </c>
      <c r="N3632">
        <v>-83666858</v>
      </c>
      <c r="O3632">
        <v>-83666858</v>
      </c>
      <c r="P3632">
        <v>0</v>
      </c>
      <c r="Q3632">
        <v>0</v>
      </c>
      <c r="R3632">
        <v>-83666858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 t="s">
        <v>47</v>
      </c>
      <c r="AA3632" t="s">
        <v>55</v>
      </c>
      <c r="AB3632" t="s">
        <v>51</v>
      </c>
      <c r="AC3632" t="s">
        <v>51</v>
      </c>
      <c r="AD3632" t="s">
        <v>51</v>
      </c>
      <c r="AE3632" t="s">
        <v>51</v>
      </c>
      <c r="AF3632" t="s">
        <v>183</v>
      </c>
    </row>
    <row r="3633" spans="1:32" ht="14.5" customHeight="1" x14ac:dyDescent="0.35">
      <c r="A3633" t="s">
        <v>45</v>
      </c>
      <c r="B3633" t="s">
        <v>46</v>
      </c>
      <c r="C3633" t="s">
        <v>47</v>
      </c>
      <c r="D3633">
        <v>3100925</v>
      </c>
      <c r="E3633">
        <v>3100925</v>
      </c>
      <c r="F3633" t="s">
        <v>2714</v>
      </c>
      <c r="G3633" t="s">
        <v>2714</v>
      </c>
      <c r="H3633" t="s">
        <v>54</v>
      </c>
      <c r="I3633">
        <v>6957124</v>
      </c>
      <c r="J3633" s="12">
        <v>46106</v>
      </c>
      <c r="K3633" s="12">
        <v>46106</v>
      </c>
      <c r="L3633" s="12">
        <v>46106</v>
      </c>
      <c r="M3633">
        <v>26</v>
      </c>
      <c r="N3633">
        <v>-1045523</v>
      </c>
      <c r="O3633">
        <v>-1045523</v>
      </c>
      <c r="P3633">
        <v>0</v>
      </c>
      <c r="Q3633">
        <v>-1045523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 t="s">
        <v>47</v>
      </c>
      <c r="AA3633" t="s">
        <v>55</v>
      </c>
      <c r="AB3633" t="s">
        <v>51</v>
      </c>
      <c r="AC3633" t="s">
        <v>51</v>
      </c>
      <c r="AD3633" t="s">
        <v>51</v>
      </c>
      <c r="AE3633" t="s">
        <v>51</v>
      </c>
      <c r="AF3633" t="s">
        <v>2723</v>
      </c>
    </row>
    <row r="3634" spans="1:32" ht="14.5" customHeight="1" x14ac:dyDescent="0.35">
      <c r="A3634" t="s">
        <v>45</v>
      </c>
      <c r="B3634" t="s">
        <v>46</v>
      </c>
      <c r="C3634" t="s">
        <v>47</v>
      </c>
      <c r="D3634">
        <v>3100925</v>
      </c>
      <c r="E3634">
        <v>3100925</v>
      </c>
      <c r="F3634" t="s">
        <v>2714</v>
      </c>
      <c r="G3634" t="s">
        <v>2714</v>
      </c>
      <c r="H3634" t="s">
        <v>54</v>
      </c>
      <c r="I3634">
        <v>6957178</v>
      </c>
      <c r="J3634" s="12">
        <v>46106</v>
      </c>
      <c r="K3634" s="12">
        <v>46106</v>
      </c>
      <c r="L3634" s="12">
        <v>46106</v>
      </c>
      <c r="M3634">
        <v>26</v>
      </c>
      <c r="N3634">
        <v>-1778241</v>
      </c>
      <c r="O3634">
        <v>-1778241</v>
      </c>
      <c r="P3634">
        <v>0</v>
      </c>
      <c r="Q3634">
        <v>-1778241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 t="s">
        <v>47</v>
      </c>
      <c r="AA3634" t="s">
        <v>55</v>
      </c>
      <c r="AB3634" t="s">
        <v>51</v>
      </c>
      <c r="AC3634" t="s">
        <v>51</v>
      </c>
      <c r="AD3634" t="s">
        <v>51</v>
      </c>
      <c r="AE3634" t="s">
        <v>51</v>
      </c>
      <c r="AF3634" t="s">
        <v>2724</v>
      </c>
    </row>
    <row r="3635" spans="1:32" ht="14.5" customHeight="1" x14ac:dyDescent="0.35">
      <c r="A3635" t="s">
        <v>45</v>
      </c>
      <c r="B3635" t="s">
        <v>46</v>
      </c>
      <c r="C3635" t="s">
        <v>47</v>
      </c>
      <c r="D3635">
        <v>3100925</v>
      </c>
      <c r="E3635">
        <v>3100925</v>
      </c>
      <c r="F3635" t="s">
        <v>2714</v>
      </c>
      <c r="G3635" t="s">
        <v>2714</v>
      </c>
      <c r="H3635" t="s">
        <v>54</v>
      </c>
      <c r="I3635">
        <v>6959183</v>
      </c>
      <c r="J3635" s="12">
        <v>46126</v>
      </c>
      <c r="K3635" s="12">
        <v>46126</v>
      </c>
      <c r="L3635" s="12">
        <v>46126</v>
      </c>
      <c r="M3635">
        <v>6</v>
      </c>
      <c r="N3635">
        <v>-69672578</v>
      </c>
      <c r="O3635">
        <v>-69672578</v>
      </c>
      <c r="P3635">
        <v>0</v>
      </c>
      <c r="Q3635">
        <v>-69672578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 t="s">
        <v>47</v>
      </c>
      <c r="AA3635" t="s">
        <v>55</v>
      </c>
      <c r="AB3635" t="s">
        <v>51</v>
      </c>
      <c r="AC3635" t="s">
        <v>51</v>
      </c>
      <c r="AD3635" t="s">
        <v>51</v>
      </c>
      <c r="AE3635" t="s">
        <v>51</v>
      </c>
      <c r="AF3635" t="s">
        <v>330</v>
      </c>
    </row>
    <row r="3636" spans="1:32" ht="14.5" customHeight="1" x14ac:dyDescent="0.35">
      <c r="A3636" t="s">
        <v>45</v>
      </c>
      <c r="B3636" t="s">
        <v>46</v>
      </c>
      <c r="C3636" t="s">
        <v>47</v>
      </c>
      <c r="D3636">
        <v>3100925</v>
      </c>
      <c r="E3636">
        <v>3100925</v>
      </c>
      <c r="F3636" t="s">
        <v>2714</v>
      </c>
      <c r="G3636" t="s">
        <v>2714</v>
      </c>
      <c r="H3636" t="s">
        <v>54</v>
      </c>
      <c r="I3636">
        <v>6959311</v>
      </c>
      <c r="J3636" s="12">
        <v>46126</v>
      </c>
      <c r="K3636" s="12">
        <v>46126</v>
      </c>
      <c r="L3636" s="12">
        <v>46126</v>
      </c>
      <c r="M3636">
        <v>6</v>
      </c>
      <c r="N3636">
        <v>-20944249</v>
      </c>
      <c r="O3636">
        <v>-20944249</v>
      </c>
      <c r="P3636">
        <v>0</v>
      </c>
      <c r="Q3636">
        <v>-20944249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 t="s">
        <v>47</v>
      </c>
      <c r="AA3636" t="s">
        <v>55</v>
      </c>
      <c r="AB3636" t="s">
        <v>51</v>
      </c>
      <c r="AC3636" t="s">
        <v>51</v>
      </c>
      <c r="AD3636" t="s">
        <v>51</v>
      </c>
      <c r="AE3636" t="s">
        <v>51</v>
      </c>
      <c r="AF3636" t="s">
        <v>2725</v>
      </c>
    </row>
    <row r="3637" spans="1:32" ht="14.5" customHeight="1" x14ac:dyDescent="0.35">
      <c r="A3637" t="s">
        <v>45</v>
      </c>
      <c r="B3637" t="s">
        <v>46</v>
      </c>
      <c r="C3637" t="s">
        <v>47</v>
      </c>
      <c r="D3637">
        <v>3100925</v>
      </c>
      <c r="E3637">
        <v>3100925</v>
      </c>
      <c r="F3637" t="s">
        <v>2714</v>
      </c>
      <c r="G3637" t="s">
        <v>2714</v>
      </c>
      <c r="H3637" t="s">
        <v>54</v>
      </c>
      <c r="I3637">
        <v>6960031</v>
      </c>
      <c r="J3637" s="12">
        <v>46130</v>
      </c>
      <c r="K3637" s="12">
        <v>46130</v>
      </c>
      <c r="L3637" s="12">
        <v>46130</v>
      </c>
      <c r="M3637">
        <v>2</v>
      </c>
      <c r="N3637">
        <v>-256236</v>
      </c>
      <c r="O3637">
        <v>-256236</v>
      </c>
      <c r="P3637">
        <v>0</v>
      </c>
      <c r="Q3637">
        <v>-256236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 t="s">
        <v>47</v>
      </c>
      <c r="AA3637" t="s">
        <v>55</v>
      </c>
      <c r="AB3637" t="s">
        <v>51</v>
      </c>
      <c r="AC3637" t="s">
        <v>51</v>
      </c>
      <c r="AD3637" t="s">
        <v>51</v>
      </c>
      <c r="AE3637" t="s">
        <v>51</v>
      </c>
      <c r="AF3637" t="s">
        <v>2721</v>
      </c>
    </row>
    <row r="3638" spans="1:32" ht="14.5" customHeight="1" x14ac:dyDescent="0.35">
      <c r="A3638" t="s">
        <v>45</v>
      </c>
      <c r="B3638" t="s">
        <v>46</v>
      </c>
      <c r="C3638" t="s">
        <v>47</v>
      </c>
      <c r="D3638">
        <v>3100925</v>
      </c>
      <c r="E3638">
        <v>3100925</v>
      </c>
      <c r="F3638" t="s">
        <v>2714</v>
      </c>
      <c r="G3638" t="s">
        <v>2714</v>
      </c>
      <c r="H3638" t="s">
        <v>54</v>
      </c>
      <c r="I3638">
        <v>6960032</v>
      </c>
      <c r="J3638" s="12">
        <v>46130</v>
      </c>
      <c r="K3638" s="12">
        <v>46130</v>
      </c>
      <c r="L3638" s="12">
        <v>46130</v>
      </c>
      <c r="M3638">
        <v>2</v>
      </c>
      <c r="N3638">
        <v>-282024</v>
      </c>
      <c r="O3638">
        <v>-282024</v>
      </c>
      <c r="P3638">
        <v>0</v>
      </c>
      <c r="Q3638">
        <v>-282024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 t="s">
        <v>47</v>
      </c>
      <c r="AA3638" t="s">
        <v>55</v>
      </c>
      <c r="AB3638" t="s">
        <v>51</v>
      </c>
      <c r="AC3638" t="s">
        <v>51</v>
      </c>
      <c r="AD3638" t="s">
        <v>51</v>
      </c>
      <c r="AE3638" t="s">
        <v>51</v>
      </c>
      <c r="AF3638" t="s">
        <v>2721</v>
      </c>
    </row>
    <row r="3639" spans="1:32" ht="14.5" customHeight="1" x14ac:dyDescent="0.35">
      <c r="A3639" t="s">
        <v>45</v>
      </c>
      <c r="B3639" t="s">
        <v>46</v>
      </c>
      <c r="C3639" t="s">
        <v>47</v>
      </c>
      <c r="D3639">
        <v>3100925</v>
      </c>
      <c r="E3639">
        <v>3100925</v>
      </c>
      <c r="F3639" t="s">
        <v>2714</v>
      </c>
      <c r="G3639" t="s">
        <v>2714</v>
      </c>
      <c r="H3639" t="s">
        <v>54</v>
      </c>
      <c r="I3639">
        <v>6960033</v>
      </c>
      <c r="J3639" s="12">
        <v>46130</v>
      </c>
      <c r="K3639" s="12">
        <v>46130</v>
      </c>
      <c r="L3639" s="12">
        <v>46130</v>
      </c>
      <c r="M3639">
        <v>2</v>
      </c>
      <c r="N3639">
        <v>-1268029</v>
      </c>
      <c r="O3639">
        <v>-1268029</v>
      </c>
      <c r="P3639">
        <v>0</v>
      </c>
      <c r="Q3639">
        <v>-1268029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 t="s">
        <v>47</v>
      </c>
      <c r="AA3639" t="s">
        <v>55</v>
      </c>
      <c r="AB3639" t="s">
        <v>51</v>
      </c>
      <c r="AC3639" t="s">
        <v>51</v>
      </c>
      <c r="AD3639" t="s">
        <v>51</v>
      </c>
      <c r="AE3639" t="s">
        <v>51</v>
      </c>
      <c r="AF3639" t="s">
        <v>2726</v>
      </c>
    </row>
    <row r="3640" spans="1:32" ht="14.5" customHeight="1" x14ac:dyDescent="0.35">
      <c r="A3640" t="s">
        <v>45</v>
      </c>
      <c r="B3640" t="s">
        <v>46</v>
      </c>
      <c r="C3640" t="s">
        <v>47</v>
      </c>
      <c r="D3640">
        <v>3100925</v>
      </c>
      <c r="E3640">
        <v>3100925</v>
      </c>
      <c r="F3640" t="s">
        <v>2714</v>
      </c>
      <c r="G3640" t="s">
        <v>2714</v>
      </c>
      <c r="H3640" t="s">
        <v>54</v>
      </c>
      <c r="I3640">
        <v>6960058</v>
      </c>
      <c r="J3640" s="12">
        <v>46130</v>
      </c>
      <c r="K3640" s="12">
        <v>46130</v>
      </c>
      <c r="L3640" s="12">
        <v>46130</v>
      </c>
      <c r="M3640">
        <v>2</v>
      </c>
      <c r="N3640">
        <v>-138127</v>
      </c>
      <c r="O3640">
        <v>-138127</v>
      </c>
      <c r="P3640">
        <v>0</v>
      </c>
      <c r="Q3640">
        <v>-138127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 t="s">
        <v>47</v>
      </c>
      <c r="AA3640" t="s">
        <v>55</v>
      </c>
      <c r="AB3640" t="s">
        <v>51</v>
      </c>
      <c r="AC3640" t="s">
        <v>51</v>
      </c>
      <c r="AD3640" t="s">
        <v>51</v>
      </c>
      <c r="AE3640" t="s">
        <v>51</v>
      </c>
      <c r="AF3640" t="s">
        <v>2727</v>
      </c>
    </row>
    <row r="3641" spans="1:32" ht="14.5" customHeight="1" x14ac:dyDescent="0.35">
      <c r="A3641" t="s">
        <v>45</v>
      </c>
      <c r="B3641" t="s">
        <v>46</v>
      </c>
      <c r="C3641" t="s">
        <v>47</v>
      </c>
      <c r="D3641">
        <v>3100925</v>
      </c>
      <c r="E3641">
        <v>3100925</v>
      </c>
      <c r="F3641" t="s">
        <v>2714</v>
      </c>
      <c r="G3641" t="s">
        <v>2714</v>
      </c>
      <c r="H3641" t="s">
        <v>54</v>
      </c>
      <c r="I3641">
        <v>6960059</v>
      </c>
      <c r="J3641" s="12">
        <v>46130</v>
      </c>
      <c r="K3641" s="12">
        <v>46130</v>
      </c>
      <c r="L3641" s="12">
        <v>46130</v>
      </c>
      <c r="M3641">
        <v>2</v>
      </c>
      <c r="N3641">
        <v>-156339</v>
      </c>
      <c r="O3641">
        <v>-156339</v>
      </c>
      <c r="P3641">
        <v>0</v>
      </c>
      <c r="Q3641">
        <v>-156339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 t="s">
        <v>47</v>
      </c>
      <c r="AA3641" t="s">
        <v>55</v>
      </c>
      <c r="AB3641" t="s">
        <v>51</v>
      </c>
      <c r="AC3641" t="s">
        <v>51</v>
      </c>
      <c r="AD3641" t="s">
        <v>51</v>
      </c>
      <c r="AE3641" t="s">
        <v>51</v>
      </c>
      <c r="AF3641" t="s">
        <v>2728</v>
      </c>
    </row>
    <row r="3642" spans="1:32" ht="14.5" customHeight="1" x14ac:dyDescent="0.35">
      <c r="A3642" t="s">
        <v>45</v>
      </c>
      <c r="B3642" t="s">
        <v>46</v>
      </c>
      <c r="C3642" t="s">
        <v>47</v>
      </c>
      <c r="D3642">
        <v>3100925</v>
      </c>
      <c r="E3642">
        <v>3100925</v>
      </c>
      <c r="F3642" t="s">
        <v>2714</v>
      </c>
      <c r="G3642" t="s">
        <v>2714</v>
      </c>
      <c r="H3642" t="s">
        <v>54</v>
      </c>
      <c r="I3642">
        <v>6960081</v>
      </c>
      <c r="J3642" s="12">
        <v>46130</v>
      </c>
      <c r="K3642" s="12">
        <v>46130</v>
      </c>
      <c r="L3642" s="12">
        <v>46130</v>
      </c>
      <c r="M3642">
        <v>2</v>
      </c>
      <c r="N3642">
        <v>-174985</v>
      </c>
      <c r="O3642">
        <v>-174985</v>
      </c>
      <c r="P3642">
        <v>0</v>
      </c>
      <c r="Q3642">
        <v>-174985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 t="s">
        <v>47</v>
      </c>
      <c r="AA3642" t="s">
        <v>55</v>
      </c>
      <c r="AB3642" t="s">
        <v>51</v>
      </c>
      <c r="AC3642" t="s">
        <v>51</v>
      </c>
      <c r="AD3642" t="s">
        <v>51</v>
      </c>
      <c r="AE3642" t="s">
        <v>51</v>
      </c>
      <c r="AF3642" t="s">
        <v>2728</v>
      </c>
    </row>
    <row r="3643" spans="1:32" ht="14.5" customHeight="1" x14ac:dyDescent="0.35">
      <c r="A3643" t="s">
        <v>45</v>
      </c>
      <c r="B3643" t="s">
        <v>46</v>
      </c>
      <c r="C3643" t="s">
        <v>47</v>
      </c>
      <c r="D3643">
        <v>3100925</v>
      </c>
      <c r="E3643">
        <v>3100925</v>
      </c>
      <c r="F3643" t="s">
        <v>2714</v>
      </c>
      <c r="G3643" t="s">
        <v>2714</v>
      </c>
      <c r="H3643" t="s">
        <v>54</v>
      </c>
      <c r="I3643">
        <v>6960082</v>
      </c>
      <c r="J3643" s="12">
        <v>46130</v>
      </c>
      <c r="K3643" s="12">
        <v>46130</v>
      </c>
      <c r="L3643" s="12">
        <v>46130</v>
      </c>
      <c r="M3643">
        <v>2</v>
      </c>
      <c r="N3643">
        <v>-200869</v>
      </c>
      <c r="O3643">
        <v>-200869</v>
      </c>
      <c r="P3643">
        <v>0</v>
      </c>
      <c r="Q3643">
        <v>-200869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 t="s">
        <v>47</v>
      </c>
      <c r="AA3643" t="s">
        <v>55</v>
      </c>
      <c r="AB3643" t="s">
        <v>51</v>
      </c>
      <c r="AC3643" t="s">
        <v>51</v>
      </c>
      <c r="AD3643" t="s">
        <v>51</v>
      </c>
      <c r="AE3643" t="s">
        <v>51</v>
      </c>
      <c r="AF3643" t="s">
        <v>2729</v>
      </c>
    </row>
    <row r="3644" spans="1:32" ht="14.5" customHeight="1" x14ac:dyDescent="0.35">
      <c r="A3644" t="s">
        <v>45</v>
      </c>
      <c r="B3644" t="s">
        <v>46</v>
      </c>
      <c r="C3644" t="s">
        <v>47</v>
      </c>
      <c r="D3644">
        <v>3100925</v>
      </c>
      <c r="E3644">
        <v>3100925</v>
      </c>
      <c r="F3644" t="s">
        <v>2714</v>
      </c>
      <c r="G3644" t="s">
        <v>2714</v>
      </c>
      <c r="H3644" t="s">
        <v>54</v>
      </c>
      <c r="I3644">
        <v>6960083</v>
      </c>
      <c r="J3644" s="12">
        <v>46130</v>
      </c>
      <c r="K3644" s="12">
        <v>46130</v>
      </c>
      <c r="L3644" s="12">
        <v>46130</v>
      </c>
      <c r="M3644">
        <v>2</v>
      </c>
      <c r="N3644">
        <v>-1068980</v>
      </c>
      <c r="O3644">
        <v>-1068980</v>
      </c>
      <c r="P3644">
        <v>0</v>
      </c>
      <c r="Q3644">
        <v>-1068980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 t="s">
        <v>47</v>
      </c>
      <c r="AA3644" t="s">
        <v>55</v>
      </c>
      <c r="AB3644" t="s">
        <v>51</v>
      </c>
      <c r="AC3644" t="s">
        <v>51</v>
      </c>
      <c r="AD3644" t="s">
        <v>51</v>
      </c>
      <c r="AE3644" t="s">
        <v>51</v>
      </c>
      <c r="AF3644" t="s">
        <v>2723</v>
      </c>
    </row>
    <row r="3645" spans="1:32" ht="14.5" customHeight="1" x14ac:dyDescent="0.35">
      <c r="A3645" t="s">
        <v>45</v>
      </c>
      <c r="B3645" t="s">
        <v>46</v>
      </c>
      <c r="C3645" t="s">
        <v>47</v>
      </c>
      <c r="D3645">
        <v>3100925</v>
      </c>
      <c r="E3645">
        <v>3100925</v>
      </c>
      <c r="F3645" t="s">
        <v>2714</v>
      </c>
      <c r="G3645" t="s">
        <v>2714</v>
      </c>
      <c r="H3645" t="s">
        <v>54</v>
      </c>
      <c r="I3645">
        <v>6960084</v>
      </c>
      <c r="J3645" s="12">
        <v>46130</v>
      </c>
      <c r="K3645" s="12">
        <v>46130</v>
      </c>
      <c r="L3645" s="12">
        <v>46130</v>
      </c>
      <c r="M3645">
        <v>2</v>
      </c>
      <c r="N3645">
        <v>-218554</v>
      </c>
      <c r="O3645">
        <v>-218554</v>
      </c>
      <c r="P3645">
        <v>0</v>
      </c>
      <c r="Q3645">
        <v>-218554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 t="s">
        <v>47</v>
      </c>
      <c r="AA3645" t="s">
        <v>55</v>
      </c>
      <c r="AB3645" t="s">
        <v>51</v>
      </c>
      <c r="AC3645" t="s">
        <v>51</v>
      </c>
      <c r="AD3645" t="s">
        <v>51</v>
      </c>
      <c r="AE3645" t="s">
        <v>51</v>
      </c>
      <c r="AF3645" t="s">
        <v>2729</v>
      </c>
    </row>
    <row r="3646" spans="1:32" ht="14.5" customHeight="1" x14ac:dyDescent="0.35">
      <c r="A3646" t="s">
        <v>45</v>
      </c>
      <c r="B3646" t="s">
        <v>46</v>
      </c>
      <c r="C3646" t="s">
        <v>47</v>
      </c>
      <c r="D3646">
        <v>3100925</v>
      </c>
      <c r="E3646">
        <v>3100925</v>
      </c>
      <c r="F3646" t="s">
        <v>2714</v>
      </c>
      <c r="G3646" t="s">
        <v>2714</v>
      </c>
      <c r="H3646" t="s">
        <v>54</v>
      </c>
      <c r="I3646">
        <v>6960085</v>
      </c>
      <c r="J3646" s="12">
        <v>46130</v>
      </c>
      <c r="K3646" s="12">
        <v>46130</v>
      </c>
      <c r="L3646" s="12">
        <v>46130</v>
      </c>
      <c r="M3646">
        <v>2</v>
      </c>
      <c r="N3646">
        <v>-133200</v>
      </c>
      <c r="O3646">
        <v>-133200</v>
      </c>
      <c r="P3646">
        <v>0</v>
      </c>
      <c r="Q3646">
        <v>-133200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 t="s">
        <v>47</v>
      </c>
      <c r="AA3646" t="s">
        <v>55</v>
      </c>
      <c r="AB3646" t="s">
        <v>51</v>
      </c>
      <c r="AC3646" t="s">
        <v>51</v>
      </c>
      <c r="AD3646" t="s">
        <v>51</v>
      </c>
      <c r="AE3646" t="s">
        <v>51</v>
      </c>
      <c r="AF3646" t="s">
        <v>2727</v>
      </c>
    </row>
    <row r="3647" spans="1:32" ht="14.5" customHeight="1" x14ac:dyDescent="0.35">
      <c r="A3647" t="s">
        <v>45</v>
      </c>
      <c r="B3647" t="s">
        <v>46</v>
      </c>
      <c r="C3647" t="s">
        <v>47</v>
      </c>
      <c r="D3647">
        <v>3100925</v>
      </c>
      <c r="E3647">
        <v>3100925</v>
      </c>
      <c r="F3647" t="s">
        <v>2714</v>
      </c>
      <c r="G3647" t="s">
        <v>2714</v>
      </c>
      <c r="H3647" t="s">
        <v>54</v>
      </c>
      <c r="I3647">
        <v>6960086</v>
      </c>
      <c r="J3647" s="12">
        <v>46130</v>
      </c>
      <c r="K3647" s="12">
        <v>46130</v>
      </c>
      <c r="L3647" s="12">
        <v>46130</v>
      </c>
      <c r="M3647">
        <v>2</v>
      </c>
      <c r="N3647">
        <v>-253993</v>
      </c>
      <c r="O3647">
        <v>-253993</v>
      </c>
      <c r="P3647">
        <v>0</v>
      </c>
      <c r="Q3647">
        <v>-253993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 t="s">
        <v>47</v>
      </c>
      <c r="AA3647" t="s">
        <v>55</v>
      </c>
      <c r="AB3647" t="s">
        <v>51</v>
      </c>
      <c r="AC3647" t="s">
        <v>51</v>
      </c>
      <c r="AD3647" t="s">
        <v>51</v>
      </c>
      <c r="AE3647" t="s">
        <v>51</v>
      </c>
      <c r="AF3647" t="s">
        <v>2729</v>
      </c>
    </row>
    <row r="3648" spans="1:32" ht="14.5" customHeight="1" x14ac:dyDescent="0.35">
      <c r="A3648" t="s">
        <v>45</v>
      </c>
      <c r="B3648" t="s">
        <v>46</v>
      </c>
      <c r="C3648" t="s">
        <v>47</v>
      </c>
      <c r="D3648">
        <v>3100925</v>
      </c>
      <c r="E3648">
        <v>3100925</v>
      </c>
      <c r="F3648" t="s">
        <v>2714</v>
      </c>
      <c r="G3648" t="s">
        <v>2714</v>
      </c>
      <c r="H3648" t="s">
        <v>54</v>
      </c>
      <c r="I3648">
        <v>9909236</v>
      </c>
      <c r="J3648" s="12">
        <v>46080</v>
      </c>
      <c r="K3648" s="12">
        <v>46080</v>
      </c>
      <c r="L3648" s="12">
        <v>46139</v>
      </c>
      <c r="M3648">
        <v>-7</v>
      </c>
      <c r="N3648">
        <v>408155922</v>
      </c>
      <c r="O3648">
        <v>0</v>
      </c>
      <c r="P3648">
        <v>408155922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 t="s">
        <v>47</v>
      </c>
      <c r="AA3648" t="s">
        <v>55</v>
      </c>
      <c r="AB3648" t="s">
        <v>51</v>
      </c>
      <c r="AC3648" t="s">
        <v>2730</v>
      </c>
      <c r="AD3648" t="s">
        <v>51</v>
      </c>
      <c r="AE3648" t="s">
        <v>51</v>
      </c>
      <c r="AF3648" t="s">
        <v>195</v>
      </c>
    </row>
    <row r="3649" spans="1:32" ht="14.5" customHeight="1" x14ac:dyDescent="0.35">
      <c r="A3649" t="s">
        <v>45</v>
      </c>
      <c r="B3649" t="s">
        <v>46</v>
      </c>
      <c r="C3649" t="s">
        <v>47</v>
      </c>
      <c r="D3649">
        <v>3100925</v>
      </c>
      <c r="E3649">
        <v>3100925</v>
      </c>
      <c r="F3649" t="s">
        <v>2714</v>
      </c>
      <c r="G3649" t="s">
        <v>2714</v>
      </c>
      <c r="H3649" t="s">
        <v>54</v>
      </c>
      <c r="I3649">
        <v>9909237</v>
      </c>
      <c r="J3649" s="12">
        <v>46080</v>
      </c>
      <c r="K3649" s="12">
        <v>46080</v>
      </c>
      <c r="L3649" s="12">
        <v>46139</v>
      </c>
      <c r="M3649">
        <v>-7</v>
      </c>
      <c r="N3649">
        <v>14356496</v>
      </c>
      <c r="O3649">
        <v>0</v>
      </c>
      <c r="P3649">
        <v>14356496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 t="s">
        <v>47</v>
      </c>
      <c r="AA3649" t="s">
        <v>55</v>
      </c>
      <c r="AB3649" t="s">
        <v>51</v>
      </c>
      <c r="AC3649" t="s">
        <v>2731</v>
      </c>
      <c r="AD3649" t="s">
        <v>51</v>
      </c>
      <c r="AE3649" t="s">
        <v>51</v>
      </c>
      <c r="AF3649" t="s">
        <v>459</v>
      </c>
    </row>
    <row r="3650" spans="1:32" ht="14.5" customHeight="1" x14ac:dyDescent="0.35">
      <c r="A3650" t="s">
        <v>45</v>
      </c>
      <c r="B3650" t="s">
        <v>46</v>
      </c>
      <c r="C3650" t="s">
        <v>47</v>
      </c>
      <c r="D3650">
        <v>3100925</v>
      </c>
      <c r="E3650">
        <v>3100925</v>
      </c>
      <c r="F3650" t="s">
        <v>2714</v>
      </c>
      <c r="G3650" t="s">
        <v>2714</v>
      </c>
      <c r="H3650" t="s">
        <v>54</v>
      </c>
      <c r="I3650">
        <v>9910629</v>
      </c>
      <c r="J3650" s="12">
        <v>46081</v>
      </c>
      <c r="K3650" s="12">
        <v>46081</v>
      </c>
      <c r="L3650" s="12">
        <v>46140</v>
      </c>
      <c r="M3650">
        <v>-8</v>
      </c>
      <c r="N3650">
        <v>454345673</v>
      </c>
      <c r="O3650">
        <v>0</v>
      </c>
      <c r="P3650">
        <v>454345673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 t="s">
        <v>47</v>
      </c>
      <c r="AA3650" t="s">
        <v>55</v>
      </c>
      <c r="AB3650" t="s">
        <v>51</v>
      </c>
      <c r="AC3650" t="s">
        <v>51</v>
      </c>
      <c r="AD3650" t="s">
        <v>2732</v>
      </c>
      <c r="AE3650" t="s">
        <v>51</v>
      </c>
      <c r="AF3650" t="s">
        <v>2680</v>
      </c>
    </row>
    <row r="3651" spans="1:32" ht="14.5" customHeight="1" x14ac:dyDescent="0.35">
      <c r="A3651" t="s">
        <v>45</v>
      </c>
      <c r="B3651" t="s">
        <v>46</v>
      </c>
      <c r="C3651" t="s">
        <v>47</v>
      </c>
      <c r="D3651">
        <v>3100925</v>
      </c>
      <c r="E3651">
        <v>3100925</v>
      </c>
      <c r="F3651" t="s">
        <v>2714</v>
      </c>
      <c r="G3651" t="s">
        <v>2714</v>
      </c>
      <c r="H3651" t="s">
        <v>54</v>
      </c>
      <c r="I3651">
        <v>9910630</v>
      </c>
      <c r="J3651" s="12">
        <v>46081</v>
      </c>
      <c r="K3651" s="12">
        <v>46081</v>
      </c>
      <c r="L3651" s="12">
        <v>46140</v>
      </c>
      <c r="M3651">
        <v>-8</v>
      </c>
      <c r="N3651">
        <v>2421576</v>
      </c>
      <c r="O3651">
        <v>0</v>
      </c>
      <c r="P3651">
        <v>2421576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 t="s">
        <v>47</v>
      </c>
      <c r="AA3651" t="s">
        <v>55</v>
      </c>
      <c r="AB3651" t="s">
        <v>51</v>
      </c>
      <c r="AC3651" t="s">
        <v>51</v>
      </c>
      <c r="AD3651" t="s">
        <v>2733</v>
      </c>
      <c r="AE3651" t="s">
        <v>51</v>
      </c>
      <c r="AF3651" t="s">
        <v>320</v>
      </c>
    </row>
    <row r="3652" spans="1:32" ht="14.5" customHeight="1" x14ac:dyDescent="0.35">
      <c r="A3652" t="s">
        <v>45</v>
      </c>
      <c r="B3652" t="s">
        <v>46</v>
      </c>
      <c r="C3652" t="s">
        <v>47</v>
      </c>
      <c r="D3652">
        <v>3100925</v>
      </c>
      <c r="E3652">
        <v>3100925</v>
      </c>
      <c r="F3652" t="s">
        <v>2714</v>
      </c>
      <c r="G3652" t="s">
        <v>2714</v>
      </c>
      <c r="H3652" t="s">
        <v>140</v>
      </c>
      <c r="I3652">
        <v>9911930</v>
      </c>
      <c r="J3652" s="12">
        <v>46087</v>
      </c>
      <c r="K3652" s="12">
        <v>46087</v>
      </c>
      <c r="L3652" s="12">
        <v>46132</v>
      </c>
      <c r="M3652">
        <v>0</v>
      </c>
      <c r="N3652">
        <v>497721</v>
      </c>
      <c r="O3652">
        <v>0</v>
      </c>
      <c r="P3652">
        <v>497721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 t="s">
        <v>47</v>
      </c>
      <c r="AA3652" t="s">
        <v>55</v>
      </c>
      <c r="AB3652" t="s">
        <v>2734</v>
      </c>
      <c r="AC3652" t="s">
        <v>51</v>
      </c>
      <c r="AD3652" t="s">
        <v>51</v>
      </c>
      <c r="AE3652" t="s">
        <v>51</v>
      </c>
      <c r="AF3652" t="s">
        <v>493</v>
      </c>
    </row>
    <row r="3653" spans="1:32" ht="14.5" customHeight="1" x14ac:dyDescent="0.35">
      <c r="A3653" t="s">
        <v>45</v>
      </c>
      <c r="B3653" t="s">
        <v>46</v>
      </c>
      <c r="C3653" t="s">
        <v>47</v>
      </c>
      <c r="D3653">
        <v>3100925</v>
      </c>
      <c r="E3653">
        <v>3100925</v>
      </c>
      <c r="F3653" t="s">
        <v>2714</v>
      </c>
      <c r="G3653" t="s">
        <v>2714</v>
      </c>
      <c r="H3653" t="s">
        <v>140</v>
      </c>
      <c r="I3653">
        <v>9914256</v>
      </c>
      <c r="J3653" s="12">
        <v>46093</v>
      </c>
      <c r="K3653" s="12">
        <v>46093</v>
      </c>
      <c r="L3653" s="12">
        <v>46138</v>
      </c>
      <c r="M3653">
        <v>-6</v>
      </c>
      <c r="N3653">
        <v>584169</v>
      </c>
      <c r="O3653">
        <v>0</v>
      </c>
      <c r="P3653">
        <v>584169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 t="s">
        <v>47</v>
      </c>
      <c r="AA3653" t="s">
        <v>55</v>
      </c>
      <c r="AB3653" t="s">
        <v>51</v>
      </c>
      <c r="AC3653" t="s">
        <v>2735</v>
      </c>
      <c r="AD3653" t="s">
        <v>51</v>
      </c>
      <c r="AE3653" t="s">
        <v>51</v>
      </c>
      <c r="AF3653" t="s">
        <v>144</v>
      </c>
    </row>
    <row r="3654" spans="1:32" ht="14.5" customHeight="1" x14ac:dyDescent="0.35">
      <c r="A3654" t="s">
        <v>45</v>
      </c>
      <c r="B3654" t="s">
        <v>46</v>
      </c>
      <c r="C3654" t="s">
        <v>47</v>
      </c>
      <c r="D3654">
        <v>3100925</v>
      </c>
      <c r="E3654">
        <v>3100925</v>
      </c>
      <c r="F3654" t="s">
        <v>2714</v>
      </c>
      <c r="G3654" t="s">
        <v>2714</v>
      </c>
      <c r="H3654" t="s">
        <v>54</v>
      </c>
      <c r="I3654">
        <v>9918774</v>
      </c>
      <c r="J3654" s="12">
        <v>46108</v>
      </c>
      <c r="K3654" s="12">
        <v>46108</v>
      </c>
      <c r="L3654" s="12">
        <v>46167</v>
      </c>
      <c r="M3654">
        <v>-35</v>
      </c>
      <c r="N3654">
        <v>417083432</v>
      </c>
      <c r="O3654">
        <v>0</v>
      </c>
      <c r="P3654">
        <v>417083432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 t="s">
        <v>47</v>
      </c>
      <c r="AA3654" t="s">
        <v>55</v>
      </c>
      <c r="AB3654" t="s">
        <v>51</v>
      </c>
      <c r="AC3654" t="s">
        <v>51</v>
      </c>
      <c r="AD3654" t="s">
        <v>51</v>
      </c>
      <c r="AE3654" t="s">
        <v>2736</v>
      </c>
      <c r="AF3654" t="s">
        <v>866</v>
      </c>
    </row>
    <row r="3655" spans="1:32" ht="14.5" customHeight="1" x14ac:dyDescent="0.35">
      <c r="A3655" t="s">
        <v>45</v>
      </c>
      <c r="B3655" t="s">
        <v>46</v>
      </c>
      <c r="C3655" t="s">
        <v>47</v>
      </c>
      <c r="D3655">
        <v>3100925</v>
      </c>
      <c r="E3655">
        <v>3100925</v>
      </c>
      <c r="F3655" t="s">
        <v>2714</v>
      </c>
      <c r="G3655" t="s">
        <v>2714</v>
      </c>
      <c r="H3655" t="s">
        <v>54</v>
      </c>
      <c r="I3655">
        <v>9918775</v>
      </c>
      <c r="J3655" s="12">
        <v>46108</v>
      </c>
      <c r="K3655" s="12">
        <v>46108</v>
      </c>
      <c r="L3655" s="12">
        <v>46167</v>
      </c>
      <c r="M3655">
        <v>-35</v>
      </c>
      <c r="N3655">
        <v>5449430</v>
      </c>
      <c r="O3655">
        <v>0</v>
      </c>
      <c r="P3655">
        <v>5449430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 t="s">
        <v>47</v>
      </c>
      <c r="AA3655" t="s">
        <v>55</v>
      </c>
      <c r="AB3655" t="s">
        <v>51</v>
      </c>
      <c r="AC3655" t="s">
        <v>51</v>
      </c>
      <c r="AD3655" t="s">
        <v>51</v>
      </c>
      <c r="AE3655" t="s">
        <v>2737</v>
      </c>
      <c r="AF3655" t="s">
        <v>155</v>
      </c>
    </row>
    <row r="3656" spans="1:32" ht="14.5" customHeight="1" x14ac:dyDescent="0.35">
      <c r="A3656" t="s">
        <v>45</v>
      </c>
      <c r="B3656" t="s">
        <v>46</v>
      </c>
      <c r="C3656" t="s">
        <v>47</v>
      </c>
      <c r="D3656">
        <v>3100925</v>
      </c>
      <c r="E3656">
        <v>3100925</v>
      </c>
      <c r="F3656" t="s">
        <v>2714</v>
      </c>
      <c r="G3656" t="s">
        <v>2714</v>
      </c>
      <c r="H3656" t="s">
        <v>54</v>
      </c>
      <c r="I3656">
        <v>9918796</v>
      </c>
      <c r="J3656" s="12">
        <v>46108</v>
      </c>
      <c r="K3656" s="12">
        <v>46108</v>
      </c>
      <c r="L3656" s="12">
        <v>46167</v>
      </c>
      <c r="M3656">
        <v>-35</v>
      </c>
      <c r="N3656">
        <v>334071021</v>
      </c>
      <c r="O3656">
        <v>0</v>
      </c>
      <c r="P3656">
        <v>334071021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 t="s">
        <v>47</v>
      </c>
      <c r="AA3656" t="s">
        <v>55</v>
      </c>
      <c r="AB3656" t="s">
        <v>51</v>
      </c>
      <c r="AC3656" t="s">
        <v>51</v>
      </c>
      <c r="AD3656" t="s">
        <v>51</v>
      </c>
      <c r="AE3656" t="s">
        <v>2738</v>
      </c>
      <c r="AF3656" t="s">
        <v>147</v>
      </c>
    </row>
    <row r="3657" spans="1:32" ht="14.5" customHeight="1" x14ac:dyDescent="0.35">
      <c r="A3657" t="s">
        <v>45</v>
      </c>
      <c r="B3657" t="s">
        <v>46</v>
      </c>
      <c r="C3657" t="s">
        <v>47</v>
      </c>
      <c r="D3657">
        <v>3100925</v>
      </c>
      <c r="E3657">
        <v>3100925</v>
      </c>
      <c r="F3657" t="s">
        <v>2714</v>
      </c>
      <c r="G3657" t="s">
        <v>2714</v>
      </c>
      <c r="H3657" t="s">
        <v>54</v>
      </c>
      <c r="I3657">
        <v>9921531</v>
      </c>
      <c r="J3657" s="12">
        <v>46112</v>
      </c>
      <c r="K3657" s="12">
        <v>46112</v>
      </c>
      <c r="L3657" s="12">
        <v>46171</v>
      </c>
      <c r="M3657">
        <v>-39</v>
      </c>
      <c r="N3657">
        <v>397407754</v>
      </c>
      <c r="O3657">
        <v>0</v>
      </c>
      <c r="P3657">
        <v>397407754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 t="s">
        <v>47</v>
      </c>
      <c r="AA3657" t="s">
        <v>55</v>
      </c>
      <c r="AB3657" t="s">
        <v>51</v>
      </c>
      <c r="AC3657" t="s">
        <v>51</v>
      </c>
      <c r="AD3657" t="s">
        <v>51</v>
      </c>
      <c r="AE3657" t="s">
        <v>2739</v>
      </c>
      <c r="AF3657" t="s">
        <v>489</v>
      </c>
    </row>
    <row r="3658" spans="1:32" ht="14.5" customHeight="1" x14ac:dyDescent="0.35">
      <c r="A3658" t="s">
        <v>45</v>
      </c>
      <c r="B3658" t="s">
        <v>46</v>
      </c>
      <c r="C3658" t="s">
        <v>47</v>
      </c>
      <c r="D3658">
        <v>3100925</v>
      </c>
      <c r="E3658">
        <v>3100925</v>
      </c>
      <c r="F3658" t="s">
        <v>2714</v>
      </c>
      <c r="G3658" t="s">
        <v>2714</v>
      </c>
      <c r="H3658" t="s">
        <v>140</v>
      </c>
      <c r="I3658">
        <v>9925712</v>
      </c>
      <c r="J3658" s="12">
        <v>46127</v>
      </c>
      <c r="K3658" s="12">
        <v>46127</v>
      </c>
      <c r="L3658" s="12">
        <v>46172</v>
      </c>
      <c r="M3658">
        <v>-40</v>
      </c>
      <c r="N3658">
        <v>849285</v>
      </c>
      <c r="O3658">
        <v>0</v>
      </c>
      <c r="P3658">
        <v>849285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 t="s">
        <v>47</v>
      </c>
      <c r="AA3658" t="s">
        <v>55</v>
      </c>
      <c r="AB3658" t="s">
        <v>51</v>
      </c>
      <c r="AC3658" t="s">
        <v>51</v>
      </c>
      <c r="AD3658" t="s">
        <v>51</v>
      </c>
      <c r="AE3658" t="s">
        <v>2740</v>
      </c>
      <c r="AF3658" t="s">
        <v>183</v>
      </c>
    </row>
    <row r="3659" spans="1:32" ht="14.5" customHeight="1" x14ac:dyDescent="0.35">
      <c r="A3659" t="s">
        <v>45</v>
      </c>
      <c r="B3659" t="s">
        <v>46</v>
      </c>
      <c r="C3659" t="s">
        <v>47</v>
      </c>
      <c r="D3659">
        <v>3100925</v>
      </c>
      <c r="E3659">
        <v>3100925</v>
      </c>
      <c r="F3659" t="s">
        <v>2714</v>
      </c>
      <c r="G3659" t="s">
        <v>2714</v>
      </c>
      <c r="H3659" t="s">
        <v>49</v>
      </c>
      <c r="I3659">
        <v>9102073805</v>
      </c>
      <c r="J3659" s="12">
        <v>46112</v>
      </c>
      <c r="K3659" s="12">
        <v>46112</v>
      </c>
      <c r="L3659" s="12">
        <v>46112</v>
      </c>
      <c r="M3659">
        <v>20</v>
      </c>
      <c r="N3659">
        <v>-144932212</v>
      </c>
      <c r="O3659">
        <v>-144932212</v>
      </c>
      <c r="P3659">
        <v>0</v>
      </c>
      <c r="Q3659">
        <v>-144932212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 t="s">
        <v>47</v>
      </c>
      <c r="AA3659" t="s">
        <v>50</v>
      </c>
      <c r="AB3659" t="s">
        <v>51</v>
      </c>
      <c r="AC3659" t="s">
        <v>51</v>
      </c>
      <c r="AD3659" t="s">
        <v>51</v>
      </c>
      <c r="AE3659" t="s">
        <v>51</v>
      </c>
      <c r="AF3659" t="s">
        <v>2741</v>
      </c>
    </row>
    <row r="3660" spans="1:32" ht="14.5" customHeight="1" x14ac:dyDescent="0.35">
      <c r="A3660" t="s">
        <v>45</v>
      </c>
      <c r="B3660" t="s">
        <v>46</v>
      </c>
      <c r="C3660" t="s">
        <v>430</v>
      </c>
      <c r="D3660">
        <v>3100928</v>
      </c>
      <c r="E3660">
        <v>3100930</v>
      </c>
      <c r="F3660" t="s">
        <v>2742</v>
      </c>
      <c r="G3660" t="s">
        <v>2742</v>
      </c>
      <c r="H3660" t="s">
        <v>111</v>
      </c>
      <c r="I3660">
        <v>6954502</v>
      </c>
      <c r="J3660" s="12">
        <v>46090</v>
      </c>
      <c r="K3660" s="12">
        <v>46090</v>
      </c>
      <c r="L3660" s="12">
        <v>46090</v>
      </c>
      <c r="M3660">
        <v>42</v>
      </c>
      <c r="N3660">
        <v>-878028</v>
      </c>
      <c r="O3660">
        <v>-878028</v>
      </c>
      <c r="P3660">
        <v>0</v>
      </c>
      <c r="Q3660">
        <v>0</v>
      </c>
      <c r="R3660">
        <v>-878028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 t="s">
        <v>430</v>
      </c>
      <c r="AA3660" t="s">
        <v>501</v>
      </c>
      <c r="AB3660" t="s">
        <v>51</v>
      </c>
      <c r="AC3660" t="s">
        <v>51</v>
      </c>
      <c r="AD3660" t="s">
        <v>51</v>
      </c>
      <c r="AE3660" t="s">
        <v>51</v>
      </c>
      <c r="AF3660" t="s">
        <v>487</v>
      </c>
    </row>
    <row r="3661" spans="1:32" ht="14.5" customHeight="1" x14ac:dyDescent="0.35">
      <c r="A3661" t="s">
        <v>45</v>
      </c>
      <c r="B3661" t="s">
        <v>46</v>
      </c>
      <c r="C3661" t="s">
        <v>47</v>
      </c>
      <c r="D3661">
        <v>3100928</v>
      </c>
      <c r="E3661">
        <v>3100931</v>
      </c>
      <c r="F3661" t="s">
        <v>2742</v>
      </c>
      <c r="G3661" t="s">
        <v>2743</v>
      </c>
      <c r="H3661" t="s">
        <v>54</v>
      </c>
      <c r="I3661">
        <v>6957297</v>
      </c>
      <c r="J3661" s="12">
        <v>46106</v>
      </c>
      <c r="K3661" s="12">
        <v>46106</v>
      </c>
      <c r="L3661" s="12">
        <v>46106</v>
      </c>
      <c r="M3661">
        <v>26</v>
      </c>
      <c r="N3661">
        <v>-2213272</v>
      </c>
      <c r="O3661">
        <v>-2213272</v>
      </c>
      <c r="P3661">
        <v>0</v>
      </c>
      <c r="Q3661">
        <v>-2213272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 t="s">
        <v>47</v>
      </c>
      <c r="AA3661" t="s">
        <v>501</v>
      </c>
      <c r="AB3661" t="s">
        <v>51</v>
      </c>
      <c r="AC3661" t="s">
        <v>51</v>
      </c>
      <c r="AD3661" t="s">
        <v>51</v>
      </c>
      <c r="AE3661" t="s">
        <v>51</v>
      </c>
      <c r="AF3661" t="s">
        <v>2744</v>
      </c>
    </row>
    <row r="3662" spans="1:32" ht="14.5" customHeight="1" x14ac:dyDescent="0.35">
      <c r="A3662" t="s">
        <v>45</v>
      </c>
      <c r="B3662" t="s">
        <v>46</v>
      </c>
      <c r="C3662" t="s">
        <v>47</v>
      </c>
      <c r="D3662">
        <v>3100928</v>
      </c>
      <c r="E3662">
        <v>3100928</v>
      </c>
      <c r="F3662" t="s">
        <v>2742</v>
      </c>
      <c r="G3662" t="s">
        <v>2742</v>
      </c>
      <c r="H3662" t="s">
        <v>54</v>
      </c>
      <c r="I3662">
        <v>6957592</v>
      </c>
      <c r="J3662" s="12">
        <v>46109</v>
      </c>
      <c r="K3662" s="12">
        <v>46109</v>
      </c>
      <c r="L3662" s="12">
        <v>46109</v>
      </c>
      <c r="M3662">
        <v>23</v>
      </c>
      <c r="N3662">
        <v>-2950426</v>
      </c>
      <c r="O3662">
        <v>-2950426</v>
      </c>
      <c r="P3662">
        <v>0</v>
      </c>
      <c r="Q3662">
        <v>-2950426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 t="s">
        <v>47</v>
      </c>
      <c r="AA3662" t="s">
        <v>501</v>
      </c>
      <c r="AB3662" t="s">
        <v>51</v>
      </c>
      <c r="AC3662" t="s">
        <v>51</v>
      </c>
      <c r="AD3662" t="s">
        <v>51</v>
      </c>
      <c r="AE3662" t="s">
        <v>51</v>
      </c>
      <c r="AF3662" t="s">
        <v>2744</v>
      </c>
    </row>
    <row r="3663" spans="1:32" ht="14.5" customHeight="1" x14ac:dyDescent="0.35">
      <c r="A3663" t="s">
        <v>45</v>
      </c>
      <c r="B3663" t="s">
        <v>46</v>
      </c>
      <c r="C3663" t="s">
        <v>47</v>
      </c>
      <c r="D3663">
        <v>3100928</v>
      </c>
      <c r="E3663">
        <v>3100931</v>
      </c>
      <c r="F3663" t="s">
        <v>2742</v>
      </c>
      <c r="G3663" t="s">
        <v>2743</v>
      </c>
      <c r="H3663" t="s">
        <v>54</v>
      </c>
      <c r="I3663">
        <v>6957997</v>
      </c>
      <c r="J3663" s="12">
        <v>46118</v>
      </c>
      <c r="K3663" s="12">
        <v>46118</v>
      </c>
      <c r="L3663" s="12">
        <v>46118</v>
      </c>
      <c r="M3663">
        <v>14</v>
      </c>
      <c r="N3663">
        <v>-10255620</v>
      </c>
      <c r="O3663">
        <v>-10255620</v>
      </c>
      <c r="P3663">
        <v>0</v>
      </c>
      <c r="Q3663">
        <v>-10255620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 t="s">
        <v>47</v>
      </c>
      <c r="AA3663" t="s">
        <v>501</v>
      </c>
      <c r="AB3663" t="s">
        <v>51</v>
      </c>
      <c r="AC3663" t="s">
        <v>51</v>
      </c>
      <c r="AD3663" t="s">
        <v>51</v>
      </c>
      <c r="AE3663" t="s">
        <v>51</v>
      </c>
      <c r="AF3663" t="s">
        <v>660</v>
      </c>
    </row>
    <row r="3664" spans="1:32" ht="14.5" customHeight="1" x14ac:dyDescent="0.35">
      <c r="A3664" t="s">
        <v>45</v>
      </c>
      <c r="B3664" t="s">
        <v>46</v>
      </c>
      <c r="C3664" t="s">
        <v>47</v>
      </c>
      <c r="D3664">
        <v>3100928</v>
      </c>
      <c r="E3664">
        <v>3100928</v>
      </c>
      <c r="F3664" t="s">
        <v>2742</v>
      </c>
      <c r="G3664" t="s">
        <v>2742</v>
      </c>
      <c r="H3664" t="s">
        <v>54</v>
      </c>
      <c r="I3664">
        <v>6958487</v>
      </c>
      <c r="J3664" s="12">
        <v>46121</v>
      </c>
      <c r="K3664" s="12">
        <v>46121</v>
      </c>
      <c r="L3664" s="12">
        <v>46121</v>
      </c>
      <c r="M3664">
        <v>11</v>
      </c>
      <c r="N3664">
        <v>-18571063</v>
      </c>
      <c r="O3664">
        <v>-18571063</v>
      </c>
      <c r="P3664">
        <v>0</v>
      </c>
      <c r="Q3664">
        <v>-18571063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 t="s">
        <v>47</v>
      </c>
      <c r="AA3664" t="s">
        <v>501</v>
      </c>
      <c r="AB3664" t="s">
        <v>51</v>
      </c>
      <c r="AC3664" t="s">
        <v>51</v>
      </c>
      <c r="AD3664" t="s">
        <v>51</v>
      </c>
      <c r="AE3664" t="s">
        <v>51</v>
      </c>
      <c r="AF3664" t="s">
        <v>155</v>
      </c>
    </row>
    <row r="3665" spans="1:32" ht="14.5" customHeight="1" x14ac:dyDescent="0.35">
      <c r="A3665" t="s">
        <v>45</v>
      </c>
      <c r="B3665" t="s">
        <v>46</v>
      </c>
      <c r="C3665" t="s">
        <v>47</v>
      </c>
      <c r="D3665">
        <v>3100928</v>
      </c>
      <c r="E3665">
        <v>3100931</v>
      </c>
      <c r="F3665" t="s">
        <v>2742</v>
      </c>
      <c r="G3665" t="s">
        <v>2743</v>
      </c>
      <c r="H3665" t="s">
        <v>54</v>
      </c>
      <c r="I3665">
        <v>6959165</v>
      </c>
      <c r="J3665" s="12">
        <v>46125</v>
      </c>
      <c r="K3665" s="12">
        <v>46125</v>
      </c>
      <c r="L3665" s="12">
        <v>46125</v>
      </c>
      <c r="M3665">
        <v>7</v>
      </c>
      <c r="N3665">
        <v>-15653885</v>
      </c>
      <c r="O3665">
        <v>-15653885</v>
      </c>
      <c r="P3665">
        <v>0</v>
      </c>
      <c r="Q3665">
        <v>-15653885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 t="s">
        <v>47</v>
      </c>
      <c r="AA3665" t="s">
        <v>501</v>
      </c>
      <c r="AB3665" t="s">
        <v>51</v>
      </c>
      <c r="AC3665" t="s">
        <v>51</v>
      </c>
      <c r="AD3665" t="s">
        <v>51</v>
      </c>
      <c r="AE3665" t="s">
        <v>51</v>
      </c>
      <c r="AF3665" t="s">
        <v>660</v>
      </c>
    </row>
    <row r="3666" spans="1:32" ht="14.5" customHeight="1" x14ac:dyDescent="0.35">
      <c r="A3666" t="s">
        <v>45</v>
      </c>
      <c r="B3666" t="s">
        <v>46</v>
      </c>
      <c r="C3666" t="s">
        <v>47</v>
      </c>
      <c r="D3666">
        <v>3100928</v>
      </c>
      <c r="E3666">
        <v>3100928</v>
      </c>
      <c r="F3666" t="s">
        <v>2742</v>
      </c>
      <c r="G3666" t="s">
        <v>2742</v>
      </c>
      <c r="H3666" t="s">
        <v>54</v>
      </c>
      <c r="I3666">
        <v>6959184</v>
      </c>
      <c r="J3666" s="12">
        <v>46126</v>
      </c>
      <c r="K3666" s="12">
        <v>46126</v>
      </c>
      <c r="L3666" s="12">
        <v>46126</v>
      </c>
      <c r="M3666">
        <v>6</v>
      </c>
      <c r="N3666">
        <v>-31799084</v>
      </c>
      <c r="O3666">
        <v>-31799084</v>
      </c>
      <c r="P3666">
        <v>0</v>
      </c>
      <c r="Q3666">
        <v>-31799084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 t="s">
        <v>47</v>
      </c>
      <c r="AA3666" t="s">
        <v>501</v>
      </c>
      <c r="AB3666" t="s">
        <v>51</v>
      </c>
      <c r="AC3666" t="s">
        <v>51</v>
      </c>
      <c r="AD3666" t="s">
        <v>51</v>
      </c>
      <c r="AE3666" t="s">
        <v>51</v>
      </c>
      <c r="AF3666" t="s">
        <v>312</v>
      </c>
    </row>
    <row r="3667" spans="1:32" ht="14.5" customHeight="1" x14ac:dyDescent="0.35">
      <c r="A3667" t="s">
        <v>45</v>
      </c>
      <c r="B3667" t="s">
        <v>46</v>
      </c>
      <c r="C3667" t="s">
        <v>47</v>
      </c>
      <c r="D3667">
        <v>3100928</v>
      </c>
      <c r="E3667">
        <v>3100931</v>
      </c>
      <c r="F3667" t="s">
        <v>2742</v>
      </c>
      <c r="G3667" t="s">
        <v>2743</v>
      </c>
      <c r="H3667" t="s">
        <v>54</v>
      </c>
      <c r="I3667">
        <v>6959312</v>
      </c>
      <c r="J3667" s="12">
        <v>46126</v>
      </c>
      <c r="K3667" s="12">
        <v>46126</v>
      </c>
      <c r="L3667" s="12">
        <v>46126</v>
      </c>
      <c r="M3667">
        <v>6</v>
      </c>
      <c r="N3667">
        <v>-4270970</v>
      </c>
      <c r="O3667">
        <v>-4270970</v>
      </c>
      <c r="P3667">
        <v>0</v>
      </c>
      <c r="Q3667">
        <v>-4270970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 t="s">
        <v>47</v>
      </c>
      <c r="AA3667" t="s">
        <v>501</v>
      </c>
      <c r="AB3667" t="s">
        <v>51</v>
      </c>
      <c r="AC3667" t="s">
        <v>51</v>
      </c>
      <c r="AD3667" t="s">
        <v>51</v>
      </c>
      <c r="AE3667" t="s">
        <v>51</v>
      </c>
      <c r="AF3667" t="s">
        <v>2745</v>
      </c>
    </row>
    <row r="3668" spans="1:32" ht="14.5" customHeight="1" x14ac:dyDescent="0.35">
      <c r="A3668" t="s">
        <v>45</v>
      </c>
      <c r="B3668" t="s">
        <v>46</v>
      </c>
      <c r="C3668" t="s">
        <v>47</v>
      </c>
      <c r="D3668">
        <v>3100928</v>
      </c>
      <c r="E3668">
        <v>3100928</v>
      </c>
      <c r="F3668" t="s">
        <v>2742</v>
      </c>
      <c r="G3668" t="s">
        <v>2742</v>
      </c>
      <c r="H3668" t="s">
        <v>54</v>
      </c>
      <c r="I3668">
        <v>6959977</v>
      </c>
      <c r="J3668" s="12">
        <v>46130</v>
      </c>
      <c r="K3668" s="12">
        <v>46130</v>
      </c>
      <c r="L3668" s="12">
        <v>46130</v>
      </c>
      <c r="M3668">
        <v>2</v>
      </c>
      <c r="N3668">
        <v>-223371</v>
      </c>
      <c r="O3668">
        <v>-223371</v>
      </c>
      <c r="P3668">
        <v>0</v>
      </c>
      <c r="Q3668">
        <v>-223371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 t="s">
        <v>47</v>
      </c>
      <c r="AA3668" t="s">
        <v>501</v>
      </c>
      <c r="AB3668" t="s">
        <v>51</v>
      </c>
      <c r="AC3668" t="s">
        <v>51</v>
      </c>
      <c r="AD3668" t="s">
        <v>51</v>
      </c>
      <c r="AE3668" t="s">
        <v>51</v>
      </c>
      <c r="AF3668" t="s">
        <v>2746</v>
      </c>
    </row>
    <row r="3669" spans="1:32" ht="14.5" customHeight="1" x14ac:dyDescent="0.35">
      <c r="A3669" t="s">
        <v>45</v>
      </c>
      <c r="B3669" t="s">
        <v>46</v>
      </c>
      <c r="C3669" t="s">
        <v>47</v>
      </c>
      <c r="D3669">
        <v>3100928</v>
      </c>
      <c r="E3669">
        <v>3100928</v>
      </c>
      <c r="F3669" t="s">
        <v>2742</v>
      </c>
      <c r="G3669" t="s">
        <v>2742</v>
      </c>
      <c r="H3669" t="s">
        <v>54</v>
      </c>
      <c r="I3669">
        <v>6960060</v>
      </c>
      <c r="J3669" s="12">
        <v>46130</v>
      </c>
      <c r="K3669" s="12">
        <v>46130</v>
      </c>
      <c r="L3669" s="12">
        <v>46130</v>
      </c>
      <c r="M3669">
        <v>2</v>
      </c>
      <c r="N3669">
        <v>-239187</v>
      </c>
      <c r="O3669">
        <v>-239187</v>
      </c>
      <c r="P3669">
        <v>0</v>
      </c>
      <c r="Q3669">
        <v>-239187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 t="s">
        <v>47</v>
      </c>
      <c r="AA3669" t="s">
        <v>501</v>
      </c>
      <c r="AB3669" t="s">
        <v>51</v>
      </c>
      <c r="AC3669" t="s">
        <v>51</v>
      </c>
      <c r="AD3669" t="s">
        <v>51</v>
      </c>
      <c r="AE3669" t="s">
        <v>51</v>
      </c>
      <c r="AF3669" t="s">
        <v>2747</v>
      </c>
    </row>
    <row r="3670" spans="1:32" ht="14.5" customHeight="1" x14ac:dyDescent="0.35">
      <c r="A3670" t="s">
        <v>45</v>
      </c>
      <c r="B3670" t="s">
        <v>46</v>
      </c>
      <c r="C3670" t="s">
        <v>47</v>
      </c>
      <c r="D3670">
        <v>3100928</v>
      </c>
      <c r="E3670">
        <v>3100928</v>
      </c>
      <c r="F3670" t="s">
        <v>2742</v>
      </c>
      <c r="G3670" t="s">
        <v>2742</v>
      </c>
      <c r="H3670" t="s">
        <v>54</v>
      </c>
      <c r="I3670">
        <v>6960061</v>
      </c>
      <c r="J3670" s="12">
        <v>46130</v>
      </c>
      <c r="K3670" s="12">
        <v>46130</v>
      </c>
      <c r="L3670" s="12">
        <v>46130</v>
      </c>
      <c r="M3670">
        <v>2</v>
      </c>
      <c r="N3670">
        <v>-345573</v>
      </c>
      <c r="O3670">
        <v>-345573</v>
      </c>
      <c r="P3670">
        <v>0</v>
      </c>
      <c r="Q3670">
        <v>-345573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 t="s">
        <v>47</v>
      </c>
      <c r="AA3670" t="s">
        <v>501</v>
      </c>
      <c r="AB3670" t="s">
        <v>51</v>
      </c>
      <c r="AC3670" t="s">
        <v>51</v>
      </c>
      <c r="AD3670" t="s">
        <v>51</v>
      </c>
      <c r="AE3670" t="s">
        <v>51</v>
      </c>
      <c r="AF3670" t="s">
        <v>2748</v>
      </c>
    </row>
    <row r="3671" spans="1:32" ht="14.5" customHeight="1" x14ac:dyDescent="0.35">
      <c r="A3671" t="s">
        <v>45</v>
      </c>
      <c r="B3671" t="s">
        <v>46</v>
      </c>
      <c r="C3671" t="s">
        <v>47</v>
      </c>
      <c r="D3671">
        <v>3100928</v>
      </c>
      <c r="E3671">
        <v>3100928</v>
      </c>
      <c r="F3671" t="s">
        <v>2742</v>
      </c>
      <c r="G3671" t="s">
        <v>2742</v>
      </c>
      <c r="H3671" t="s">
        <v>54</v>
      </c>
      <c r="I3671">
        <v>6960062</v>
      </c>
      <c r="J3671" s="12">
        <v>46130</v>
      </c>
      <c r="K3671" s="12">
        <v>46130</v>
      </c>
      <c r="L3671" s="12">
        <v>46130</v>
      </c>
      <c r="M3671">
        <v>2</v>
      </c>
      <c r="N3671">
        <v>-354156</v>
      </c>
      <c r="O3671">
        <v>-354156</v>
      </c>
      <c r="P3671">
        <v>0</v>
      </c>
      <c r="Q3671">
        <v>-354156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 t="s">
        <v>47</v>
      </c>
      <c r="AA3671" t="s">
        <v>501</v>
      </c>
      <c r="AB3671" t="s">
        <v>51</v>
      </c>
      <c r="AC3671" t="s">
        <v>51</v>
      </c>
      <c r="AD3671" t="s">
        <v>51</v>
      </c>
      <c r="AE3671" t="s">
        <v>51</v>
      </c>
      <c r="AF3671" t="s">
        <v>2749</v>
      </c>
    </row>
    <row r="3672" spans="1:32" ht="14.5" customHeight="1" x14ac:dyDescent="0.35">
      <c r="A3672" t="s">
        <v>45</v>
      </c>
      <c r="B3672" t="s">
        <v>46</v>
      </c>
      <c r="C3672" t="s">
        <v>47</v>
      </c>
      <c r="D3672">
        <v>3100928</v>
      </c>
      <c r="E3672">
        <v>3100928</v>
      </c>
      <c r="F3672" t="s">
        <v>2742</v>
      </c>
      <c r="G3672" t="s">
        <v>2742</v>
      </c>
      <c r="H3672" t="s">
        <v>54</v>
      </c>
      <c r="I3672">
        <v>6960063</v>
      </c>
      <c r="J3672" s="12">
        <v>46130</v>
      </c>
      <c r="K3672" s="12">
        <v>46130</v>
      </c>
      <c r="L3672" s="12">
        <v>46130</v>
      </c>
      <c r="M3672">
        <v>2</v>
      </c>
      <c r="N3672">
        <v>-231936</v>
      </c>
      <c r="O3672">
        <v>-231936</v>
      </c>
      <c r="P3672">
        <v>0</v>
      </c>
      <c r="Q3672">
        <v>-231936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 t="s">
        <v>47</v>
      </c>
      <c r="AA3672" t="s">
        <v>501</v>
      </c>
      <c r="AB3672" t="s">
        <v>51</v>
      </c>
      <c r="AC3672" t="s">
        <v>51</v>
      </c>
      <c r="AD3672" t="s">
        <v>51</v>
      </c>
      <c r="AE3672" t="s">
        <v>51</v>
      </c>
      <c r="AF3672" t="s">
        <v>2747</v>
      </c>
    </row>
    <row r="3673" spans="1:32" ht="14.5" customHeight="1" x14ac:dyDescent="0.35">
      <c r="A3673" t="s">
        <v>45</v>
      </c>
      <c r="B3673" t="s">
        <v>46</v>
      </c>
      <c r="C3673" t="s">
        <v>47</v>
      </c>
      <c r="D3673">
        <v>3100928</v>
      </c>
      <c r="E3673">
        <v>3100928</v>
      </c>
      <c r="F3673" t="s">
        <v>2742</v>
      </c>
      <c r="G3673" t="s">
        <v>2742</v>
      </c>
      <c r="H3673" t="s">
        <v>54</v>
      </c>
      <c r="I3673">
        <v>6960064</v>
      </c>
      <c r="J3673" s="12">
        <v>46130</v>
      </c>
      <c r="K3673" s="12">
        <v>46130</v>
      </c>
      <c r="L3673" s="12">
        <v>46130</v>
      </c>
      <c r="M3673">
        <v>2</v>
      </c>
      <c r="N3673">
        <v>-217331</v>
      </c>
      <c r="O3673">
        <v>-217331</v>
      </c>
      <c r="P3673">
        <v>0</v>
      </c>
      <c r="Q3673">
        <v>-217331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 t="s">
        <v>47</v>
      </c>
      <c r="AA3673" t="s">
        <v>501</v>
      </c>
      <c r="AB3673" t="s">
        <v>51</v>
      </c>
      <c r="AC3673" t="s">
        <v>51</v>
      </c>
      <c r="AD3673" t="s">
        <v>51</v>
      </c>
      <c r="AE3673" t="s">
        <v>51</v>
      </c>
      <c r="AF3673" t="s">
        <v>2750</v>
      </c>
    </row>
    <row r="3674" spans="1:32" ht="14.5" customHeight="1" x14ac:dyDescent="0.35">
      <c r="A3674" t="s">
        <v>45</v>
      </c>
      <c r="B3674" t="s">
        <v>46</v>
      </c>
      <c r="C3674" t="s">
        <v>47</v>
      </c>
      <c r="D3674">
        <v>3100928</v>
      </c>
      <c r="E3674">
        <v>3100928</v>
      </c>
      <c r="F3674" t="s">
        <v>2742</v>
      </c>
      <c r="G3674" t="s">
        <v>2742</v>
      </c>
      <c r="H3674" t="s">
        <v>54</v>
      </c>
      <c r="I3674">
        <v>6960065</v>
      </c>
      <c r="J3674" s="12">
        <v>46130</v>
      </c>
      <c r="K3674" s="12">
        <v>46130</v>
      </c>
      <c r="L3674" s="12">
        <v>46130</v>
      </c>
      <c r="M3674">
        <v>2</v>
      </c>
      <c r="N3674">
        <v>-370943</v>
      </c>
      <c r="O3674">
        <v>-370943</v>
      </c>
      <c r="P3674">
        <v>0</v>
      </c>
      <c r="Q3674">
        <v>-370943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 t="s">
        <v>47</v>
      </c>
      <c r="AA3674" t="s">
        <v>501</v>
      </c>
      <c r="AB3674" t="s">
        <v>51</v>
      </c>
      <c r="AC3674" t="s">
        <v>51</v>
      </c>
      <c r="AD3674" t="s">
        <v>51</v>
      </c>
      <c r="AE3674" t="s">
        <v>51</v>
      </c>
      <c r="AF3674" t="s">
        <v>2749</v>
      </c>
    </row>
    <row r="3675" spans="1:32" ht="14.5" customHeight="1" x14ac:dyDescent="0.35">
      <c r="A3675" t="s">
        <v>45</v>
      </c>
      <c r="B3675" t="s">
        <v>46</v>
      </c>
      <c r="C3675" t="s">
        <v>47</v>
      </c>
      <c r="D3675">
        <v>3100928</v>
      </c>
      <c r="E3675">
        <v>3100928</v>
      </c>
      <c r="F3675" t="s">
        <v>2742</v>
      </c>
      <c r="G3675" t="s">
        <v>2742</v>
      </c>
      <c r="H3675" t="s">
        <v>54</v>
      </c>
      <c r="I3675">
        <v>6960066</v>
      </c>
      <c r="J3675" s="12">
        <v>46130</v>
      </c>
      <c r="K3675" s="12">
        <v>46130</v>
      </c>
      <c r="L3675" s="12">
        <v>46130</v>
      </c>
      <c r="M3675">
        <v>2</v>
      </c>
      <c r="N3675">
        <v>-228602</v>
      </c>
      <c r="O3675">
        <v>-228602</v>
      </c>
      <c r="P3675">
        <v>0</v>
      </c>
      <c r="Q3675">
        <v>-228602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 t="s">
        <v>47</v>
      </c>
      <c r="AA3675" t="s">
        <v>501</v>
      </c>
      <c r="AB3675" t="s">
        <v>51</v>
      </c>
      <c r="AC3675" t="s">
        <v>51</v>
      </c>
      <c r="AD3675" t="s">
        <v>51</v>
      </c>
      <c r="AE3675" t="s">
        <v>51</v>
      </c>
      <c r="AF3675" t="s">
        <v>2751</v>
      </c>
    </row>
    <row r="3676" spans="1:32" ht="14.5" customHeight="1" x14ac:dyDescent="0.35">
      <c r="A3676" t="s">
        <v>45</v>
      </c>
      <c r="B3676" t="s">
        <v>46</v>
      </c>
      <c r="C3676" t="s">
        <v>47</v>
      </c>
      <c r="D3676">
        <v>3100928</v>
      </c>
      <c r="E3676">
        <v>3100928</v>
      </c>
      <c r="F3676" t="s">
        <v>2742</v>
      </c>
      <c r="G3676" t="s">
        <v>2742</v>
      </c>
      <c r="H3676" t="s">
        <v>54</v>
      </c>
      <c r="I3676">
        <v>6960067</v>
      </c>
      <c r="J3676" s="12">
        <v>46130</v>
      </c>
      <c r="K3676" s="12">
        <v>46130</v>
      </c>
      <c r="L3676" s="12">
        <v>46130</v>
      </c>
      <c r="M3676">
        <v>2</v>
      </c>
      <c r="N3676">
        <v>-216127</v>
      </c>
      <c r="O3676">
        <v>-216127</v>
      </c>
      <c r="P3676">
        <v>0</v>
      </c>
      <c r="Q3676">
        <v>-216127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 t="s">
        <v>47</v>
      </c>
      <c r="AA3676" t="s">
        <v>501</v>
      </c>
      <c r="AB3676" t="s">
        <v>51</v>
      </c>
      <c r="AC3676" t="s">
        <v>51</v>
      </c>
      <c r="AD3676" t="s">
        <v>51</v>
      </c>
      <c r="AE3676" t="s">
        <v>51</v>
      </c>
      <c r="AF3676" t="s">
        <v>2752</v>
      </c>
    </row>
    <row r="3677" spans="1:32" ht="14.5" customHeight="1" x14ac:dyDescent="0.35">
      <c r="A3677" t="s">
        <v>45</v>
      </c>
      <c r="B3677" t="s">
        <v>46</v>
      </c>
      <c r="C3677" t="s">
        <v>47</v>
      </c>
      <c r="D3677">
        <v>3100928</v>
      </c>
      <c r="E3677">
        <v>3100928</v>
      </c>
      <c r="F3677" t="s">
        <v>2742</v>
      </c>
      <c r="G3677" t="s">
        <v>2742</v>
      </c>
      <c r="H3677" t="s">
        <v>54</v>
      </c>
      <c r="I3677">
        <v>6960068</v>
      </c>
      <c r="J3677" s="12">
        <v>46130</v>
      </c>
      <c r="K3677" s="12">
        <v>46130</v>
      </c>
      <c r="L3677" s="12">
        <v>46130</v>
      </c>
      <c r="M3677">
        <v>2</v>
      </c>
      <c r="N3677">
        <v>-245858</v>
      </c>
      <c r="O3677">
        <v>-245858</v>
      </c>
      <c r="P3677">
        <v>0</v>
      </c>
      <c r="Q3677">
        <v>-245858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 t="s">
        <v>47</v>
      </c>
      <c r="AA3677" t="s">
        <v>501</v>
      </c>
      <c r="AB3677" t="s">
        <v>51</v>
      </c>
      <c r="AC3677" t="s">
        <v>51</v>
      </c>
      <c r="AD3677" t="s">
        <v>51</v>
      </c>
      <c r="AE3677" t="s">
        <v>51</v>
      </c>
      <c r="AF3677" t="s">
        <v>2751</v>
      </c>
    </row>
    <row r="3678" spans="1:32" ht="14.5" customHeight="1" x14ac:dyDescent="0.35">
      <c r="A3678" t="s">
        <v>45</v>
      </c>
      <c r="B3678" t="s">
        <v>46</v>
      </c>
      <c r="C3678" t="s">
        <v>47</v>
      </c>
      <c r="D3678">
        <v>3100928</v>
      </c>
      <c r="E3678">
        <v>3100928</v>
      </c>
      <c r="F3678" t="s">
        <v>2742</v>
      </c>
      <c r="G3678" t="s">
        <v>2742</v>
      </c>
      <c r="H3678" t="s">
        <v>54</v>
      </c>
      <c r="I3678">
        <v>6960088</v>
      </c>
      <c r="J3678" s="12">
        <v>46130</v>
      </c>
      <c r="K3678" s="12">
        <v>46130</v>
      </c>
      <c r="L3678" s="12">
        <v>46130</v>
      </c>
      <c r="M3678">
        <v>2</v>
      </c>
      <c r="N3678">
        <v>-223371</v>
      </c>
      <c r="O3678">
        <v>-223371</v>
      </c>
      <c r="P3678">
        <v>0</v>
      </c>
      <c r="Q3678">
        <v>-223371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 t="s">
        <v>47</v>
      </c>
      <c r="AA3678" t="s">
        <v>501</v>
      </c>
      <c r="AB3678" t="s">
        <v>51</v>
      </c>
      <c r="AC3678" t="s">
        <v>51</v>
      </c>
      <c r="AD3678" t="s">
        <v>51</v>
      </c>
      <c r="AE3678" t="s">
        <v>51</v>
      </c>
      <c r="AF3678" t="s">
        <v>2750</v>
      </c>
    </row>
    <row r="3679" spans="1:32" ht="14.5" customHeight="1" x14ac:dyDescent="0.35">
      <c r="A3679" t="s">
        <v>45</v>
      </c>
      <c r="B3679" t="s">
        <v>46</v>
      </c>
      <c r="C3679" t="s">
        <v>47</v>
      </c>
      <c r="D3679">
        <v>3100928</v>
      </c>
      <c r="E3679">
        <v>3100928</v>
      </c>
      <c r="F3679" t="s">
        <v>2742</v>
      </c>
      <c r="G3679" t="s">
        <v>2742</v>
      </c>
      <c r="H3679" t="s">
        <v>54</v>
      </c>
      <c r="I3679">
        <v>6960127</v>
      </c>
      <c r="J3679" s="12">
        <v>46130</v>
      </c>
      <c r="K3679" s="12">
        <v>46130</v>
      </c>
      <c r="L3679" s="12">
        <v>46130</v>
      </c>
      <c r="M3679">
        <v>2</v>
      </c>
      <c r="N3679">
        <v>-143887</v>
      </c>
      <c r="O3679">
        <v>-143887</v>
      </c>
      <c r="P3679">
        <v>0</v>
      </c>
      <c r="Q3679">
        <v>-143887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 t="s">
        <v>47</v>
      </c>
      <c r="AA3679" t="s">
        <v>501</v>
      </c>
      <c r="AB3679" t="s">
        <v>51</v>
      </c>
      <c r="AC3679" t="s">
        <v>51</v>
      </c>
      <c r="AD3679" t="s">
        <v>51</v>
      </c>
      <c r="AE3679" t="s">
        <v>51</v>
      </c>
      <c r="AF3679" t="s">
        <v>2753</v>
      </c>
    </row>
    <row r="3680" spans="1:32" ht="14.5" customHeight="1" x14ac:dyDescent="0.35">
      <c r="A3680" t="s">
        <v>45</v>
      </c>
      <c r="B3680" t="s">
        <v>46</v>
      </c>
      <c r="C3680" t="s">
        <v>430</v>
      </c>
      <c r="D3680">
        <v>3100928</v>
      </c>
      <c r="E3680">
        <v>3100930</v>
      </c>
      <c r="F3680" t="s">
        <v>2742</v>
      </c>
      <c r="G3680" t="s">
        <v>2742</v>
      </c>
      <c r="H3680" t="s">
        <v>54</v>
      </c>
      <c r="I3680">
        <v>9923229</v>
      </c>
      <c r="J3680" s="12">
        <v>46121</v>
      </c>
      <c r="K3680" s="12">
        <v>46121</v>
      </c>
      <c r="L3680" s="12">
        <v>46157</v>
      </c>
      <c r="M3680">
        <v>-25</v>
      </c>
      <c r="N3680">
        <v>512612947</v>
      </c>
      <c r="O3680">
        <v>0</v>
      </c>
      <c r="P3680">
        <v>512612947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 t="s">
        <v>430</v>
      </c>
      <c r="AA3680" t="s">
        <v>501</v>
      </c>
      <c r="AB3680" t="s">
        <v>51</v>
      </c>
      <c r="AC3680" t="s">
        <v>51</v>
      </c>
      <c r="AD3680" t="s">
        <v>51</v>
      </c>
      <c r="AE3680" t="s">
        <v>2754</v>
      </c>
      <c r="AF3680" t="s">
        <v>69</v>
      </c>
    </row>
    <row r="3681" spans="1:32" ht="14.5" customHeight="1" x14ac:dyDescent="0.35">
      <c r="A3681" t="s">
        <v>45</v>
      </c>
      <c r="B3681" t="s">
        <v>46</v>
      </c>
      <c r="C3681" t="s">
        <v>430</v>
      </c>
      <c r="D3681">
        <v>3100928</v>
      </c>
      <c r="E3681">
        <v>3100930</v>
      </c>
      <c r="F3681" t="s">
        <v>2742</v>
      </c>
      <c r="G3681" t="s">
        <v>2742</v>
      </c>
      <c r="H3681" t="s">
        <v>54</v>
      </c>
      <c r="I3681">
        <v>9923230</v>
      </c>
      <c r="J3681" s="12">
        <v>46121</v>
      </c>
      <c r="K3681" s="12">
        <v>46121</v>
      </c>
      <c r="L3681" s="12">
        <v>46157</v>
      </c>
      <c r="M3681">
        <v>-25</v>
      </c>
      <c r="N3681">
        <v>4662400</v>
      </c>
      <c r="O3681">
        <v>0</v>
      </c>
      <c r="P3681">
        <v>4662400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 t="s">
        <v>430</v>
      </c>
      <c r="AA3681" t="s">
        <v>501</v>
      </c>
      <c r="AB3681" t="s">
        <v>51</v>
      </c>
      <c r="AC3681" t="s">
        <v>51</v>
      </c>
      <c r="AD3681" t="s">
        <v>51</v>
      </c>
      <c r="AE3681" t="s">
        <v>2755</v>
      </c>
      <c r="AF3681" t="s">
        <v>64</v>
      </c>
    </row>
    <row r="3682" spans="1:32" ht="14.5" customHeight="1" x14ac:dyDescent="0.35">
      <c r="A3682" t="s">
        <v>45</v>
      </c>
      <c r="B3682" t="s">
        <v>46</v>
      </c>
      <c r="C3682" t="s">
        <v>47</v>
      </c>
      <c r="D3682">
        <v>3100928</v>
      </c>
      <c r="E3682">
        <v>3100928</v>
      </c>
      <c r="F3682" t="s">
        <v>2742</v>
      </c>
      <c r="G3682" t="s">
        <v>2742</v>
      </c>
      <c r="H3682" t="s">
        <v>140</v>
      </c>
      <c r="I3682">
        <v>9923231</v>
      </c>
      <c r="J3682" s="12">
        <v>46121</v>
      </c>
      <c r="K3682" s="12">
        <v>46121</v>
      </c>
      <c r="L3682" s="12">
        <v>46151</v>
      </c>
      <c r="M3682">
        <v>-19</v>
      </c>
      <c r="N3682">
        <v>301344</v>
      </c>
      <c r="O3682">
        <v>0</v>
      </c>
      <c r="P3682">
        <v>301344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 t="s">
        <v>47</v>
      </c>
      <c r="AA3682" t="s">
        <v>501</v>
      </c>
      <c r="AB3682" t="s">
        <v>51</v>
      </c>
      <c r="AC3682" t="s">
        <v>51</v>
      </c>
      <c r="AD3682" t="s">
        <v>51</v>
      </c>
      <c r="AE3682" t="s">
        <v>2756</v>
      </c>
      <c r="AF3682" t="s">
        <v>161</v>
      </c>
    </row>
    <row r="3683" spans="1:32" ht="14.5" customHeight="1" x14ac:dyDescent="0.35">
      <c r="A3683" t="s">
        <v>45</v>
      </c>
      <c r="B3683" t="s">
        <v>46</v>
      </c>
      <c r="C3683" t="s">
        <v>430</v>
      </c>
      <c r="D3683">
        <v>3100928</v>
      </c>
      <c r="E3683">
        <v>3100933</v>
      </c>
      <c r="F3683" t="s">
        <v>2742</v>
      </c>
      <c r="G3683" t="s">
        <v>2743</v>
      </c>
      <c r="H3683" t="s">
        <v>54</v>
      </c>
      <c r="I3683">
        <v>9923986</v>
      </c>
      <c r="J3683" s="12">
        <v>46122</v>
      </c>
      <c r="K3683" s="12">
        <v>46122</v>
      </c>
      <c r="L3683" s="12">
        <v>46158</v>
      </c>
      <c r="M3683">
        <v>-26</v>
      </c>
      <c r="N3683">
        <v>76578095</v>
      </c>
      <c r="O3683">
        <v>0</v>
      </c>
      <c r="P3683">
        <v>76578095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 t="s">
        <v>430</v>
      </c>
      <c r="AA3683" t="s">
        <v>501</v>
      </c>
      <c r="AB3683" t="s">
        <v>51</v>
      </c>
      <c r="AC3683" t="s">
        <v>51</v>
      </c>
      <c r="AD3683" t="s">
        <v>51</v>
      </c>
      <c r="AE3683" t="s">
        <v>2757</v>
      </c>
      <c r="AF3683" t="s">
        <v>195</v>
      </c>
    </row>
    <row r="3684" spans="1:32" ht="14.5" customHeight="1" x14ac:dyDescent="0.35">
      <c r="A3684" t="s">
        <v>45</v>
      </c>
      <c r="B3684" t="s">
        <v>46</v>
      </c>
      <c r="C3684" t="s">
        <v>47</v>
      </c>
      <c r="D3684">
        <v>3100928</v>
      </c>
      <c r="E3684">
        <v>3100931</v>
      </c>
      <c r="F3684" t="s">
        <v>2742</v>
      </c>
      <c r="G3684" t="s">
        <v>2743</v>
      </c>
      <c r="H3684" t="s">
        <v>140</v>
      </c>
      <c r="I3684">
        <v>9924709</v>
      </c>
      <c r="J3684" s="12">
        <v>46125</v>
      </c>
      <c r="K3684" s="12">
        <v>46125</v>
      </c>
      <c r="L3684" s="12">
        <v>46155</v>
      </c>
      <c r="M3684">
        <v>-23</v>
      </c>
      <c r="N3684">
        <v>398321</v>
      </c>
      <c r="O3684">
        <v>0</v>
      </c>
      <c r="P3684">
        <v>398321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 t="s">
        <v>47</v>
      </c>
      <c r="AA3684" t="s">
        <v>501</v>
      </c>
      <c r="AB3684" t="s">
        <v>51</v>
      </c>
      <c r="AC3684" t="s">
        <v>51</v>
      </c>
      <c r="AD3684" t="s">
        <v>51</v>
      </c>
      <c r="AE3684" t="s">
        <v>2758</v>
      </c>
      <c r="AF3684" t="s">
        <v>1030</v>
      </c>
    </row>
    <row r="3685" spans="1:32" ht="14.5" customHeight="1" x14ac:dyDescent="0.35">
      <c r="A3685" t="s">
        <v>45</v>
      </c>
      <c r="B3685" t="s">
        <v>46</v>
      </c>
      <c r="C3685" t="s">
        <v>47</v>
      </c>
      <c r="D3685">
        <v>3100928</v>
      </c>
      <c r="E3685">
        <v>3100928</v>
      </c>
      <c r="F3685" t="s">
        <v>2742</v>
      </c>
      <c r="G3685" t="s">
        <v>2742</v>
      </c>
      <c r="H3685" t="s">
        <v>140</v>
      </c>
      <c r="I3685">
        <v>9925052</v>
      </c>
      <c r="J3685" s="12">
        <v>46126</v>
      </c>
      <c r="K3685" s="12">
        <v>46126</v>
      </c>
      <c r="L3685" s="12">
        <v>46156</v>
      </c>
      <c r="M3685">
        <v>-24</v>
      </c>
      <c r="N3685">
        <v>50748</v>
      </c>
      <c r="O3685">
        <v>0</v>
      </c>
      <c r="P3685">
        <v>50748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 t="s">
        <v>47</v>
      </c>
      <c r="AA3685" t="s">
        <v>501</v>
      </c>
      <c r="AB3685" t="s">
        <v>51</v>
      </c>
      <c r="AC3685" t="s">
        <v>51</v>
      </c>
      <c r="AD3685" t="s">
        <v>51</v>
      </c>
      <c r="AE3685" t="s">
        <v>2759</v>
      </c>
      <c r="AF3685" t="s">
        <v>106</v>
      </c>
    </row>
    <row r="3686" spans="1:32" ht="14.5" customHeight="1" x14ac:dyDescent="0.35">
      <c r="A3686" t="s">
        <v>45</v>
      </c>
      <c r="B3686" t="s">
        <v>46</v>
      </c>
      <c r="C3686" t="s">
        <v>430</v>
      </c>
      <c r="D3686">
        <v>3100928</v>
      </c>
      <c r="E3686">
        <v>3100928</v>
      </c>
      <c r="F3686" t="s">
        <v>2742</v>
      </c>
      <c r="G3686" t="s">
        <v>2742</v>
      </c>
      <c r="H3686" t="s">
        <v>761</v>
      </c>
      <c r="I3686">
        <v>9103000650</v>
      </c>
      <c r="J3686" s="12">
        <v>46121</v>
      </c>
      <c r="K3686" s="12">
        <v>46121</v>
      </c>
      <c r="L3686" s="12">
        <v>46121</v>
      </c>
      <c r="M3686">
        <v>11</v>
      </c>
      <c r="N3686">
        <v>-4131089</v>
      </c>
      <c r="O3686">
        <v>-4131089</v>
      </c>
      <c r="P3686">
        <v>0</v>
      </c>
      <c r="Q3686">
        <v>-4131089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 t="s">
        <v>47</v>
      </c>
      <c r="AA3686" t="s">
        <v>50</v>
      </c>
      <c r="AB3686" t="s">
        <v>51</v>
      </c>
      <c r="AC3686" t="s">
        <v>51</v>
      </c>
      <c r="AD3686" t="s">
        <v>51</v>
      </c>
      <c r="AE3686" t="s">
        <v>51</v>
      </c>
      <c r="AF3686" t="s">
        <v>2760</v>
      </c>
    </row>
    <row r="3687" spans="1:32" ht="14.5" customHeight="1" x14ac:dyDescent="0.35">
      <c r="A3687" t="s">
        <v>498</v>
      </c>
      <c r="B3687" t="s">
        <v>546</v>
      </c>
      <c r="C3687" t="s">
        <v>47</v>
      </c>
      <c r="D3687">
        <v>3100948</v>
      </c>
      <c r="E3687">
        <v>3100948</v>
      </c>
      <c r="F3687" t="s">
        <v>2761</v>
      </c>
      <c r="G3687" t="s">
        <v>2761</v>
      </c>
      <c r="H3687" t="s">
        <v>54</v>
      </c>
      <c r="I3687">
        <v>6956594</v>
      </c>
      <c r="J3687" s="12">
        <v>46105</v>
      </c>
      <c r="K3687" s="12">
        <v>46105</v>
      </c>
      <c r="L3687" s="12">
        <v>46105</v>
      </c>
      <c r="M3687">
        <v>27</v>
      </c>
      <c r="N3687">
        <v>-2645928</v>
      </c>
      <c r="O3687">
        <v>-2645928</v>
      </c>
      <c r="P3687">
        <v>0</v>
      </c>
      <c r="Q3687">
        <v>-2645928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 t="s">
        <v>47</v>
      </c>
      <c r="AA3687" t="s">
        <v>55</v>
      </c>
      <c r="AB3687" t="s">
        <v>51</v>
      </c>
      <c r="AC3687" t="s">
        <v>51</v>
      </c>
      <c r="AD3687" t="s">
        <v>51</v>
      </c>
      <c r="AE3687" t="s">
        <v>51</v>
      </c>
      <c r="AF3687" t="s">
        <v>2762</v>
      </c>
    </row>
    <row r="3688" spans="1:32" ht="14.5" customHeight="1" x14ac:dyDescent="0.35">
      <c r="A3688" t="s">
        <v>498</v>
      </c>
      <c r="B3688" t="s">
        <v>546</v>
      </c>
      <c r="C3688" t="s">
        <v>47</v>
      </c>
      <c r="D3688">
        <v>3100948</v>
      </c>
      <c r="E3688">
        <v>3100948</v>
      </c>
      <c r="F3688" t="s">
        <v>2761</v>
      </c>
      <c r="G3688" t="s">
        <v>2761</v>
      </c>
      <c r="H3688" t="s">
        <v>54</v>
      </c>
      <c r="I3688">
        <v>6956611</v>
      </c>
      <c r="J3688" s="12">
        <v>46105</v>
      </c>
      <c r="K3688" s="12">
        <v>46105</v>
      </c>
      <c r="L3688" s="12">
        <v>46105</v>
      </c>
      <c r="M3688">
        <v>27</v>
      </c>
      <c r="N3688">
        <v>-8540107</v>
      </c>
      <c r="O3688">
        <v>-8540107</v>
      </c>
      <c r="P3688">
        <v>0</v>
      </c>
      <c r="Q3688">
        <v>-8540107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 t="s">
        <v>47</v>
      </c>
      <c r="AA3688" t="s">
        <v>55</v>
      </c>
      <c r="AB3688" t="s">
        <v>51</v>
      </c>
      <c r="AC3688" t="s">
        <v>51</v>
      </c>
      <c r="AD3688" t="s">
        <v>51</v>
      </c>
      <c r="AE3688" t="s">
        <v>51</v>
      </c>
      <c r="AF3688" t="s">
        <v>2763</v>
      </c>
    </row>
    <row r="3689" spans="1:32" ht="14.5" customHeight="1" x14ac:dyDescent="0.35">
      <c r="A3689" t="s">
        <v>498</v>
      </c>
      <c r="B3689" t="s">
        <v>546</v>
      </c>
      <c r="C3689" t="s">
        <v>47</v>
      </c>
      <c r="D3689">
        <v>3100948</v>
      </c>
      <c r="E3689">
        <v>3100948</v>
      </c>
      <c r="F3689" t="s">
        <v>2761</v>
      </c>
      <c r="G3689" t="s">
        <v>2761</v>
      </c>
      <c r="H3689" t="s">
        <v>54</v>
      </c>
      <c r="I3689">
        <v>6956901</v>
      </c>
      <c r="J3689" s="12">
        <v>46106</v>
      </c>
      <c r="K3689" s="12">
        <v>46106</v>
      </c>
      <c r="L3689" s="12">
        <v>46106</v>
      </c>
      <c r="M3689">
        <v>26</v>
      </c>
      <c r="N3689">
        <v>-1281025</v>
      </c>
      <c r="O3689">
        <v>-1281025</v>
      </c>
      <c r="P3689">
        <v>0</v>
      </c>
      <c r="Q3689">
        <v>-1281025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 t="s">
        <v>47</v>
      </c>
      <c r="AA3689" t="s">
        <v>55</v>
      </c>
      <c r="AB3689" t="s">
        <v>51</v>
      </c>
      <c r="AC3689" t="s">
        <v>51</v>
      </c>
      <c r="AD3689" t="s">
        <v>51</v>
      </c>
      <c r="AE3689" t="s">
        <v>51</v>
      </c>
      <c r="AF3689" t="s">
        <v>2764</v>
      </c>
    </row>
    <row r="3690" spans="1:32" ht="14.5" customHeight="1" x14ac:dyDescent="0.35">
      <c r="A3690" t="s">
        <v>498</v>
      </c>
      <c r="B3690" t="s">
        <v>546</v>
      </c>
      <c r="C3690" t="s">
        <v>47</v>
      </c>
      <c r="D3690">
        <v>3100948</v>
      </c>
      <c r="E3690">
        <v>3100948</v>
      </c>
      <c r="F3690" t="s">
        <v>2761</v>
      </c>
      <c r="G3690" t="s">
        <v>2761</v>
      </c>
      <c r="H3690" t="s">
        <v>54</v>
      </c>
      <c r="I3690">
        <v>6960087</v>
      </c>
      <c r="J3690" s="12">
        <v>46130</v>
      </c>
      <c r="K3690" s="12">
        <v>46130</v>
      </c>
      <c r="L3690" s="12">
        <v>46130</v>
      </c>
      <c r="M3690">
        <v>2</v>
      </c>
      <c r="N3690">
        <v>-24824533</v>
      </c>
      <c r="O3690">
        <v>-24824533</v>
      </c>
      <c r="P3690">
        <v>0</v>
      </c>
      <c r="Q3690">
        <v>-24824533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 t="s">
        <v>47</v>
      </c>
      <c r="AA3690" t="s">
        <v>55</v>
      </c>
      <c r="AB3690" t="s">
        <v>51</v>
      </c>
      <c r="AC3690" t="s">
        <v>51</v>
      </c>
      <c r="AD3690" t="s">
        <v>51</v>
      </c>
      <c r="AE3690" t="s">
        <v>51</v>
      </c>
      <c r="AF3690" t="s">
        <v>325</v>
      </c>
    </row>
    <row r="3691" spans="1:32" ht="14.5" customHeight="1" x14ac:dyDescent="0.35">
      <c r="A3691" t="s">
        <v>498</v>
      </c>
      <c r="B3691" t="s">
        <v>546</v>
      </c>
      <c r="C3691" t="s">
        <v>596</v>
      </c>
      <c r="D3691">
        <v>3100948</v>
      </c>
      <c r="E3691">
        <v>3100950</v>
      </c>
      <c r="F3691" t="s">
        <v>2761</v>
      </c>
      <c r="G3691" t="s">
        <v>2761</v>
      </c>
      <c r="H3691" t="s">
        <v>54</v>
      </c>
      <c r="I3691">
        <v>9915623</v>
      </c>
      <c r="J3691" s="12">
        <v>46096</v>
      </c>
      <c r="K3691" s="12">
        <v>46096</v>
      </c>
      <c r="L3691" s="12">
        <v>46146</v>
      </c>
      <c r="M3691">
        <v>-14</v>
      </c>
      <c r="N3691">
        <v>147922216</v>
      </c>
      <c r="O3691">
        <v>0</v>
      </c>
      <c r="P3691">
        <v>147922216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 t="s">
        <v>596</v>
      </c>
      <c r="AA3691" t="s">
        <v>55</v>
      </c>
      <c r="AB3691" t="s">
        <v>51</v>
      </c>
      <c r="AC3691" t="s">
        <v>51</v>
      </c>
      <c r="AD3691" t="s">
        <v>2765</v>
      </c>
      <c r="AE3691" t="s">
        <v>51</v>
      </c>
      <c r="AF3691" t="s">
        <v>195</v>
      </c>
    </row>
    <row r="3692" spans="1:32" ht="14.5" customHeight="1" x14ac:dyDescent="0.35">
      <c r="A3692" t="s">
        <v>498</v>
      </c>
      <c r="B3692" t="s">
        <v>546</v>
      </c>
      <c r="C3692" t="s">
        <v>596</v>
      </c>
      <c r="D3692">
        <v>3100948</v>
      </c>
      <c r="E3692">
        <v>3100950</v>
      </c>
      <c r="F3692" t="s">
        <v>2761</v>
      </c>
      <c r="G3692" t="s">
        <v>2761</v>
      </c>
      <c r="H3692" t="s">
        <v>54</v>
      </c>
      <c r="I3692">
        <v>9915624</v>
      </c>
      <c r="J3692" s="12">
        <v>46096</v>
      </c>
      <c r="K3692" s="12">
        <v>46096</v>
      </c>
      <c r="L3692" s="12">
        <v>46146</v>
      </c>
      <c r="M3692">
        <v>-14</v>
      </c>
      <c r="N3692">
        <v>932480</v>
      </c>
      <c r="O3692">
        <v>0</v>
      </c>
      <c r="P3692">
        <v>932480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 t="s">
        <v>596</v>
      </c>
      <c r="AA3692" t="s">
        <v>55</v>
      </c>
      <c r="AB3692" t="s">
        <v>51</v>
      </c>
      <c r="AC3692" t="s">
        <v>51</v>
      </c>
      <c r="AD3692" t="s">
        <v>2766</v>
      </c>
      <c r="AE3692" t="s">
        <v>51</v>
      </c>
      <c r="AF3692" t="s">
        <v>64</v>
      </c>
    </row>
    <row r="3693" spans="1:32" ht="14.5" customHeight="1" x14ac:dyDescent="0.35">
      <c r="A3693" t="s">
        <v>498</v>
      </c>
      <c r="B3693" t="s">
        <v>546</v>
      </c>
      <c r="C3693" t="s">
        <v>47</v>
      </c>
      <c r="D3693">
        <v>3100948</v>
      </c>
      <c r="E3693">
        <v>3100948</v>
      </c>
      <c r="F3693" t="s">
        <v>2761</v>
      </c>
      <c r="G3693" t="s">
        <v>2761</v>
      </c>
      <c r="H3693" t="s">
        <v>140</v>
      </c>
      <c r="I3693">
        <v>9926958</v>
      </c>
      <c r="J3693" s="12">
        <v>46130</v>
      </c>
      <c r="K3693" s="12">
        <v>46130</v>
      </c>
      <c r="L3693" s="12">
        <v>46175</v>
      </c>
      <c r="M3693">
        <v>-43</v>
      </c>
      <c r="N3693">
        <v>9795</v>
      </c>
      <c r="O3693">
        <v>0</v>
      </c>
      <c r="P3693">
        <v>9795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 t="s">
        <v>47</v>
      </c>
      <c r="AA3693" t="s">
        <v>55</v>
      </c>
      <c r="AB3693" t="s">
        <v>51</v>
      </c>
      <c r="AC3693" t="s">
        <v>51</v>
      </c>
      <c r="AD3693" t="s">
        <v>51</v>
      </c>
      <c r="AE3693" t="s">
        <v>2767</v>
      </c>
      <c r="AF3693" t="s">
        <v>1252</v>
      </c>
    </row>
    <row r="3694" spans="1:32" ht="14.5" customHeight="1" x14ac:dyDescent="0.35">
      <c r="A3694" t="s">
        <v>45</v>
      </c>
      <c r="B3694" t="s">
        <v>606</v>
      </c>
      <c r="C3694" t="s">
        <v>47</v>
      </c>
      <c r="D3694">
        <v>3100954</v>
      </c>
      <c r="E3694">
        <v>3100955</v>
      </c>
      <c r="F3694" t="s">
        <v>2768</v>
      </c>
      <c r="G3694" t="s">
        <v>2768</v>
      </c>
      <c r="H3694" t="s">
        <v>54</v>
      </c>
      <c r="I3694">
        <v>6958080</v>
      </c>
      <c r="J3694" s="12">
        <v>46118</v>
      </c>
      <c r="K3694" s="12">
        <v>46118</v>
      </c>
      <c r="L3694" s="12">
        <v>46118</v>
      </c>
      <c r="M3694">
        <v>14</v>
      </c>
      <c r="N3694">
        <v>-6502500</v>
      </c>
      <c r="O3694">
        <v>-6502500</v>
      </c>
      <c r="P3694">
        <v>0</v>
      </c>
      <c r="Q3694">
        <v>-6502500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 t="s">
        <v>430</v>
      </c>
      <c r="AA3694" t="s">
        <v>501</v>
      </c>
      <c r="AB3694" t="s">
        <v>51</v>
      </c>
      <c r="AC3694" t="s">
        <v>51</v>
      </c>
      <c r="AD3694" t="s">
        <v>51</v>
      </c>
      <c r="AE3694" t="s">
        <v>51</v>
      </c>
      <c r="AF3694" t="s">
        <v>2769</v>
      </c>
    </row>
    <row r="3695" spans="1:32" ht="14.5" customHeight="1" x14ac:dyDescent="0.35">
      <c r="A3695" t="s">
        <v>45</v>
      </c>
      <c r="B3695" t="s">
        <v>606</v>
      </c>
      <c r="C3695" t="s">
        <v>47</v>
      </c>
      <c r="D3695">
        <v>3100954</v>
      </c>
      <c r="E3695">
        <v>3100955</v>
      </c>
      <c r="F3695" t="s">
        <v>2768</v>
      </c>
      <c r="G3695" t="s">
        <v>2768</v>
      </c>
      <c r="H3695" t="s">
        <v>54</v>
      </c>
      <c r="I3695">
        <v>6958992</v>
      </c>
      <c r="J3695" s="12">
        <v>46125</v>
      </c>
      <c r="K3695" s="12">
        <v>46125</v>
      </c>
      <c r="L3695" s="12">
        <v>46125</v>
      </c>
      <c r="M3695">
        <v>7</v>
      </c>
      <c r="N3695">
        <v>-13814941</v>
      </c>
      <c r="O3695">
        <v>-13814941</v>
      </c>
      <c r="P3695">
        <v>0</v>
      </c>
      <c r="Q3695">
        <v>-13814941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 t="s">
        <v>430</v>
      </c>
      <c r="AA3695" t="s">
        <v>501</v>
      </c>
      <c r="AB3695" t="s">
        <v>51</v>
      </c>
      <c r="AC3695" t="s">
        <v>51</v>
      </c>
      <c r="AD3695" t="s">
        <v>51</v>
      </c>
      <c r="AE3695" t="s">
        <v>51</v>
      </c>
      <c r="AF3695" t="s">
        <v>312</v>
      </c>
    </row>
    <row r="3696" spans="1:32" ht="14.5" customHeight="1" x14ac:dyDescent="0.35">
      <c r="A3696" t="s">
        <v>45</v>
      </c>
      <c r="B3696" t="s">
        <v>606</v>
      </c>
      <c r="C3696" t="s">
        <v>430</v>
      </c>
      <c r="D3696">
        <v>3100954</v>
      </c>
      <c r="E3696">
        <v>3100955</v>
      </c>
      <c r="F3696" t="s">
        <v>2768</v>
      </c>
      <c r="G3696" t="s">
        <v>2768</v>
      </c>
      <c r="H3696" t="s">
        <v>54</v>
      </c>
      <c r="I3696">
        <v>9923617</v>
      </c>
      <c r="J3696" s="12">
        <v>46122</v>
      </c>
      <c r="K3696" s="12">
        <v>46122</v>
      </c>
      <c r="L3696" s="12">
        <v>46157</v>
      </c>
      <c r="M3696">
        <v>-25</v>
      </c>
      <c r="N3696">
        <v>85278170</v>
      </c>
      <c r="O3696">
        <v>0</v>
      </c>
      <c r="P3696">
        <v>85278170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 t="s">
        <v>430</v>
      </c>
      <c r="AA3696" t="s">
        <v>501</v>
      </c>
      <c r="AB3696" t="s">
        <v>51</v>
      </c>
      <c r="AC3696" t="s">
        <v>51</v>
      </c>
      <c r="AD3696" t="s">
        <v>51</v>
      </c>
      <c r="AE3696" t="s">
        <v>2770</v>
      </c>
      <c r="AF3696" t="s">
        <v>876</v>
      </c>
    </row>
    <row r="3697" spans="1:32" ht="14.5" customHeight="1" x14ac:dyDescent="0.35">
      <c r="A3697" t="s">
        <v>45</v>
      </c>
      <c r="B3697" t="s">
        <v>606</v>
      </c>
      <c r="C3697" t="s">
        <v>430</v>
      </c>
      <c r="D3697">
        <v>3100954</v>
      </c>
      <c r="E3697">
        <v>3100955</v>
      </c>
      <c r="F3697" t="s">
        <v>2768</v>
      </c>
      <c r="G3697" t="s">
        <v>2768</v>
      </c>
      <c r="H3697" t="s">
        <v>54</v>
      </c>
      <c r="I3697">
        <v>9926604</v>
      </c>
      <c r="J3697" s="12">
        <v>46129</v>
      </c>
      <c r="K3697" s="12">
        <v>46129</v>
      </c>
      <c r="L3697" s="12">
        <v>46164</v>
      </c>
      <c r="M3697">
        <v>-32</v>
      </c>
      <c r="N3697">
        <v>36883013</v>
      </c>
      <c r="O3697">
        <v>0</v>
      </c>
      <c r="P3697">
        <v>36883013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 t="s">
        <v>430</v>
      </c>
      <c r="AA3697" t="s">
        <v>501</v>
      </c>
      <c r="AB3697" t="s">
        <v>51</v>
      </c>
      <c r="AC3697" t="s">
        <v>51</v>
      </c>
      <c r="AD3697" t="s">
        <v>51</v>
      </c>
      <c r="AE3697" t="s">
        <v>2771</v>
      </c>
      <c r="AF3697" t="s">
        <v>167</v>
      </c>
    </row>
    <row r="3698" spans="1:32" ht="14.5" customHeight="1" x14ac:dyDescent="0.35">
      <c r="A3698" t="s">
        <v>498</v>
      </c>
      <c r="B3698"/>
      <c r="C3698" t="s">
        <v>47</v>
      </c>
      <c r="D3698">
        <v>3101015</v>
      </c>
      <c r="E3698">
        <v>3101015</v>
      </c>
      <c r="F3698" t="s">
        <v>2772</v>
      </c>
      <c r="G3698" t="s">
        <v>2772</v>
      </c>
      <c r="H3698" t="s">
        <v>54</v>
      </c>
      <c r="I3698">
        <v>6956518</v>
      </c>
      <c r="J3698" s="12">
        <v>46103</v>
      </c>
      <c r="K3698" s="12">
        <v>46103</v>
      </c>
      <c r="L3698" s="12">
        <v>46103</v>
      </c>
      <c r="M3698">
        <v>29</v>
      </c>
      <c r="N3698">
        <v>-13759707</v>
      </c>
      <c r="O3698">
        <v>-13759707</v>
      </c>
      <c r="P3698">
        <v>0</v>
      </c>
      <c r="Q3698">
        <v>-13759707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 t="s">
        <v>47</v>
      </c>
      <c r="AA3698" t="s">
        <v>55</v>
      </c>
      <c r="AB3698" t="s">
        <v>51</v>
      </c>
      <c r="AC3698" t="s">
        <v>51</v>
      </c>
      <c r="AD3698" t="s">
        <v>51</v>
      </c>
      <c r="AE3698" t="s">
        <v>51</v>
      </c>
      <c r="AF3698" t="s">
        <v>56</v>
      </c>
    </row>
    <row r="3699" spans="1:32" ht="14.5" customHeight="1" x14ac:dyDescent="0.35">
      <c r="A3699" t="s">
        <v>498</v>
      </c>
      <c r="B3699"/>
      <c r="C3699" t="s">
        <v>47</v>
      </c>
      <c r="D3699">
        <v>3101015</v>
      </c>
      <c r="E3699">
        <v>3101015</v>
      </c>
      <c r="F3699" t="s">
        <v>2772</v>
      </c>
      <c r="G3699" t="s">
        <v>2772</v>
      </c>
      <c r="H3699" t="s">
        <v>54</v>
      </c>
      <c r="I3699">
        <v>6957373</v>
      </c>
      <c r="J3699" s="12">
        <v>46106</v>
      </c>
      <c r="K3699" s="12">
        <v>46106</v>
      </c>
      <c r="L3699" s="12">
        <v>46106</v>
      </c>
      <c r="M3699">
        <v>26</v>
      </c>
      <c r="N3699">
        <v>-1600000</v>
      </c>
      <c r="O3699">
        <v>-1600000</v>
      </c>
      <c r="P3699">
        <v>0</v>
      </c>
      <c r="Q3699">
        <v>-1600000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 t="s">
        <v>47</v>
      </c>
      <c r="AA3699" t="s">
        <v>55</v>
      </c>
      <c r="AB3699" t="s">
        <v>51</v>
      </c>
      <c r="AC3699" t="s">
        <v>51</v>
      </c>
      <c r="AD3699" t="s">
        <v>51</v>
      </c>
      <c r="AE3699" t="s">
        <v>51</v>
      </c>
      <c r="AF3699" t="s">
        <v>2773</v>
      </c>
    </row>
    <row r="3700" spans="1:32" ht="14.5" customHeight="1" x14ac:dyDescent="0.35">
      <c r="A3700" t="s">
        <v>498</v>
      </c>
      <c r="B3700"/>
      <c r="C3700" t="s">
        <v>929</v>
      </c>
      <c r="D3700">
        <v>3101015</v>
      </c>
      <c r="E3700">
        <v>3101017</v>
      </c>
      <c r="F3700" t="s">
        <v>2772</v>
      </c>
      <c r="G3700" t="s">
        <v>2772</v>
      </c>
      <c r="H3700" t="s">
        <v>111</v>
      </c>
      <c r="I3700">
        <v>6957640</v>
      </c>
      <c r="J3700" s="12">
        <v>46111</v>
      </c>
      <c r="K3700" s="12">
        <v>46111</v>
      </c>
      <c r="L3700" s="12">
        <v>46111</v>
      </c>
      <c r="M3700">
        <v>21</v>
      </c>
      <c r="N3700">
        <v>-6764122</v>
      </c>
      <c r="O3700">
        <v>-6764122</v>
      </c>
      <c r="P3700">
        <v>0</v>
      </c>
      <c r="Q3700">
        <v>-6764122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 t="s">
        <v>929</v>
      </c>
      <c r="AA3700" t="s">
        <v>55</v>
      </c>
      <c r="AB3700" t="s">
        <v>51</v>
      </c>
      <c r="AC3700" t="s">
        <v>51</v>
      </c>
      <c r="AD3700" t="s">
        <v>51</v>
      </c>
      <c r="AE3700" t="s">
        <v>51</v>
      </c>
      <c r="AF3700" t="s">
        <v>898</v>
      </c>
    </row>
    <row r="3701" spans="1:32" ht="14.5" customHeight="1" x14ac:dyDescent="0.35">
      <c r="A3701" t="s">
        <v>498</v>
      </c>
      <c r="B3701"/>
      <c r="C3701" t="s">
        <v>47</v>
      </c>
      <c r="D3701">
        <v>3101015</v>
      </c>
      <c r="E3701">
        <v>3101015</v>
      </c>
      <c r="F3701" t="s">
        <v>2772</v>
      </c>
      <c r="G3701" t="s">
        <v>2772</v>
      </c>
      <c r="H3701" t="s">
        <v>54</v>
      </c>
      <c r="I3701">
        <v>6960155</v>
      </c>
      <c r="J3701" s="12">
        <v>46130</v>
      </c>
      <c r="K3701" s="12">
        <v>46130</v>
      </c>
      <c r="L3701" s="12">
        <v>46130</v>
      </c>
      <c r="M3701">
        <v>2</v>
      </c>
      <c r="N3701">
        <v>-4037500</v>
      </c>
      <c r="O3701">
        <v>-4037500</v>
      </c>
      <c r="P3701">
        <v>0</v>
      </c>
      <c r="Q3701">
        <v>-4037500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 t="s">
        <v>47</v>
      </c>
      <c r="AA3701" t="s">
        <v>55</v>
      </c>
      <c r="AB3701" t="s">
        <v>51</v>
      </c>
      <c r="AC3701" t="s">
        <v>51</v>
      </c>
      <c r="AD3701" t="s">
        <v>51</v>
      </c>
      <c r="AE3701" t="s">
        <v>51</v>
      </c>
      <c r="AF3701" t="s">
        <v>2774</v>
      </c>
    </row>
    <row r="3702" spans="1:32" ht="14.5" customHeight="1" x14ac:dyDescent="0.35">
      <c r="A3702" t="s">
        <v>498</v>
      </c>
      <c r="B3702"/>
      <c r="C3702" t="s">
        <v>929</v>
      </c>
      <c r="D3702">
        <v>3101015</v>
      </c>
      <c r="E3702">
        <v>3101017</v>
      </c>
      <c r="F3702" t="s">
        <v>2772</v>
      </c>
      <c r="G3702" t="s">
        <v>2772</v>
      </c>
      <c r="H3702" t="s">
        <v>54</v>
      </c>
      <c r="I3702">
        <v>9915618</v>
      </c>
      <c r="J3702" s="12">
        <v>46096</v>
      </c>
      <c r="K3702" s="12">
        <v>46096</v>
      </c>
      <c r="L3702" s="12">
        <v>46142</v>
      </c>
      <c r="M3702">
        <v>-10</v>
      </c>
      <c r="N3702">
        <v>127974858</v>
      </c>
      <c r="O3702">
        <v>0</v>
      </c>
      <c r="P3702">
        <v>127974858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 t="s">
        <v>929</v>
      </c>
      <c r="AA3702" t="s">
        <v>55</v>
      </c>
      <c r="AB3702" t="s">
        <v>51</v>
      </c>
      <c r="AC3702" t="s">
        <v>51</v>
      </c>
      <c r="AD3702" t="s">
        <v>2775</v>
      </c>
      <c r="AE3702" t="s">
        <v>51</v>
      </c>
      <c r="AF3702" t="s">
        <v>1030</v>
      </c>
    </row>
    <row r="3703" spans="1:32" ht="14.5" customHeight="1" x14ac:dyDescent="0.35">
      <c r="A3703" t="s">
        <v>498</v>
      </c>
      <c r="B3703"/>
      <c r="C3703" t="s">
        <v>929</v>
      </c>
      <c r="D3703">
        <v>3101015</v>
      </c>
      <c r="E3703">
        <v>3101017</v>
      </c>
      <c r="F3703" t="s">
        <v>2772</v>
      </c>
      <c r="G3703" t="s">
        <v>2772</v>
      </c>
      <c r="H3703" t="s">
        <v>54</v>
      </c>
      <c r="I3703">
        <v>9915620</v>
      </c>
      <c r="J3703" s="12">
        <v>46096</v>
      </c>
      <c r="K3703" s="12">
        <v>46096</v>
      </c>
      <c r="L3703" s="12">
        <v>46142</v>
      </c>
      <c r="M3703">
        <v>-10</v>
      </c>
      <c r="N3703">
        <v>2426131</v>
      </c>
      <c r="O3703">
        <v>0</v>
      </c>
      <c r="P3703">
        <v>2426131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 t="s">
        <v>929</v>
      </c>
      <c r="AA3703" t="s">
        <v>55</v>
      </c>
      <c r="AB3703" t="s">
        <v>51</v>
      </c>
      <c r="AC3703" t="s">
        <v>51</v>
      </c>
      <c r="AD3703" t="s">
        <v>2776</v>
      </c>
      <c r="AE3703" t="s">
        <v>51</v>
      </c>
      <c r="AF3703" t="s">
        <v>320</v>
      </c>
    </row>
    <row r="3704" spans="1:32" ht="14.5" customHeight="1" x14ac:dyDescent="0.35">
      <c r="A3704" t="s">
        <v>498</v>
      </c>
      <c r="B3704"/>
      <c r="C3704" t="s">
        <v>47</v>
      </c>
      <c r="D3704">
        <v>3101015</v>
      </c>
      <c r="E3704">
        <v>3101015</v>
      </c>
      <c r="F3704" t="s">
        <v>2772</v>
      </c>
      <c r="G3704" t="s">
        <v>2772</v>
      </c>
      <c r="H3704" t="s">
        <v>140</v>
      </c>
      <c r="I3704">
        <v>9917211</v>
      </c>
      <c r="J3704" s="12">
        <v>46103</v>
      </c>
      <c r="K3704" s="12">
        <v>46103</v>
      </c>
      <c r="L3704" s="12">
        <v>46148</v>
      </c>
      <c r="M3704">
        <v>-16</v>
      </c>
      <c r="N3704">
        <v>9597</v>
      </c>
      <c r="O3704">
        <v>0</v>
      </c>
      <c r="P3704">
        <v>9597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 t="s">
        <v>47</v>
      </c>
      <c r="AA3704" t="s">
        <v>55</v>
      </c>
      <c r="AB3704" t="s">
        <v>51</v>
      </c>
      <c r="AC3704" t="s">
        <v>51</v>
      </c>
      <c r="AD3704" t="s">
        <v>51</v>
      </c>
      <c r="AE3704" t="s">
        <v>2777</v>
      </c>
      <c r="AF3704" t="s">
        <v>2778</v>
      </c>
    </row>
    <row r="3705" spans="1:32" ht="14.5" customHeight="1" x14ac:dyDescent="0.35">
      <c r="A3705" t="s">
        <v>498</v>
      </c>
      <c r="B3705"/>
      <c r="C3705" t="s">
        <v>929</v>
      </c>
      <c r="D3705">
        <v>3101015</v>
      </c>
      <c r="E3705">
        <v>3101015</v>
      </c>
      <c r="F3705" t="s">
        <v>2772</v>
      </c>
      <c r="G3705" t="s">
        <v>2772</v>
      </c>
      <c r="H3705" t="s">
        <v>761</v>
      </c>
      <c r="I3705">
        <v>9103000133</v>
      </c>
      <c r="J3705" s="12">
        <v>46118</v>
      </c>
      <c r="K3705" s="12">
        <v>46118</v>
      </c>
      <c r="L3705" s="12">
        <v>46118</v>
      </c>
      <c r="M3705">
        <v>14</v>
      </c>
      <c r="N3705">
        <v>-23469441</v>
      </c>
      <c r="O3705">
        <v>-23469441</v>
      </c>
      <c r="P3705">
        <v>0</v>
      </c>
      <c r="Q3705">
        <v>-23469441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 t="s">
        <v>47</v>
      </c>
      <c r="AA3705" t="s">
        <v>50</v>
      </c>
      <c r="AB3705" t="s">
        <v>51</v>
      </c>
      <c r="AC3705" t="s">
        <v>51</v>
      </c>
      <c r="AD3705" t="s">
        <v>51</v>
      </c>
      <c r="AE3705" t="s">
        <v>51</v>
      </c>
      <c r="AF3705" t="s">
        <v>2779</v>
      </c>
    </row>
    <row r="3706" spans="1:32" ht="14.5" customHeight="1" x14ac:dyDescent="0.35">
      <c r="A3706" t="s">
        <v>498</v>
      </c>
      <c r="B3706"/>
      <c r="C3706" t="s">
        <v>846</v>
      </c>
      <c r="D3706">
        <v>3101019</v>
      </c>
      <c r="E3706">
        <v>3101019</v>
      </c>
      <c r="F3706" t="s">
        <v>2780</v>
      </c>
      <c r="G3706" t="s">
        <v>2780</v>
      </c>
      <c r="H3706" t="s">
        <v>49</v>
      </c>
      <c r="I3706">
        <v>9102074316</v>
      </c>
      <c r="J3706" s="12">
        <v>46112</v>
      </c>
      <c r="K3706" s="12">
        <v>46112</v>
      </c>
      <c r="L3706" s="12">
        <v>46112</v>
      </c>
      <c r="M3706">
        <v>20</v>
      </c>
      <c r="N3706">
        <v>159985373</v>
      </c>
      <c r="O3706">
        <v>0</v>
      </c>
      <c r="P3706">
        <v>0</v>
      </c>
      <c r="Q3706">
        <v>159985373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 t="s">
        <v>47</v>
      </c>
      <c r="AA3706" t="s">
        <v>50</v>
      </c>
      <c r="AB3706" t="s">
        <v>51</v>
      </c>
      <c r="AC3706" t="s">
        <v>51</v>
      </c>
      <c r="AD3706" t="s">
        <v>51</v>
      </c>
      <c r="AE3706" t="s">
        <v>51</v>
      </c>
      <c r="AF3706" t="s">
        <v>2781</v>
      </c>
    </row>
    <row r="3707" spans="1:32" ht="14.5" customHeight="1" x14ac:dyDescent="0.35">
      <c r="A3707" t="s">
        <v>498</v>
      </c>
      <c r="B3707" t="s">
        <v>546</v>
      </c>
      <c r="C3707" t="s">
        <v>47</v>
      </c>
      <c r="D3707">
        <v>3101041</v>
      </c>
      <c r="E3707">
        <v>3101041</v>
      </c>
      <c r="F3707" t="s">
        <v>2782</v>
      </c>
      <c r="G3707" t="s">
        <v>2782</v>
      </c>
      <c r="H3707" t="s">
        <v>54</v>
      </c>
      <c r="I3707">
        <v>6955559</v>
      </c>
      <c r="J3707" s="12">
        <v>46095</v>
      </c>
      <c r="K3707" s="12">
        <v>46095</v>
      </c>
      <c r="L3707" s="12">
        <v>46095</v>
      </c>
      <c r="M3707">
        <v>37</v>
      </c>
      <c r="N3707">
        <v>-30545228</v>
      </c>
      <c r="O3707">
        <v>-30545228</v>
      </c>
      <c r="P3707">
        <v>0</v>
      </c>
      <c r="Q3707">
        <v>0</v>
      </c>
      <c r="R3707">
        <v>-30545228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 t="s">
        <v>47</v>
      </c>
      <c r="AA3707" t="s">
        <v>55</v>
      </c>
      <c r="AB3707" t="s">
        <v>51</v>
      </c>
      <c r="AC3707" t="s">
        <v>51</v>
      </c>
      <c r="AD3707" t="s">
        <v>51</v>
      </c>
      <c r="AE3707" t="s">
        <v>51</v>
      </c>
      <c r="AF3707" t="s">
        <v>56</v>
      </c>
    </row>
    <row r="3708" spans="1:32" ht="14.5" customHeight="1" x14ac:dyDescent="0.35">
      <c r="A3708" t="s">
        <v>498</v>
      </c>
      <c r="B3708" t="s">
        <v>546</v>
      </c>
      <c r="C3708" t="s">
        <v>47</v>
      </c>
      <c r="D3708">
        <v>3101041</v>
      </c>
      <c r="E3708">
        <v>3101041</v>
      </c>
      <c r="F3708" t="s">
        <v>2782</v>
      </c>
      <c r="G3708" t="s">
        <v>2782</v>
      </c>
      <c r="H3708" t="s">
        <v>54</v>
      </c>
      <c r="I3708">
        <v>6955608</v>
      </c>
      <c r="J3708" s="12">
        <v>46095</v>
      </c>
      <c r="K3708" s="12">
        <v>46095</v>
      </c>
      <c r="L3708" s="12">
        <v>46095</v>
      </c>
      <c r="M3708">
        <v>37</v>
      </c>
      <c r="N3708">
        <v>-2890000</v>
      </c>
      <c r="O3708">
        <v>-2890000</v>
      </c>
      <c r="P3708">
        <v>0</v>
      </c>
      <c r="Q3708">
        <v>0</v>
      </c>
      <c r="R3708">
        <v>-2890000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 t="s">
        <v>47</v>
      </c>
      <c r="AA3708" t="s">
        <v>55</v>
      </c>
      <c r="AB3708" t="s">
        <v>51</v>
      </c>
      <c r="AC3708" t="s">
        <v>51</v>
      </c>
      <c r="AD3708" t="s">
        <v>51</v>
      </c>
      <c r="AE3708" t="s">
        <v>51</v>
      </c>
      <c r="AF3708" t="s">
        <v>2783</v>
      </c>
    </row>
    <row r="3709" spans="1:32" ht="14.5" customHeight="1" x14ac:dyDescent="0.35">
      <c r="A3709" t="s">
        <v>498</v>
      </c>
      <c r="B3709" t="s">
        <v>546</v>
      </c>
      <c r="C3709" t="s">
        <v>47</v>
      </c>
      <c r="D3709">
        <v>3101041</v>
      </c>
      <c r="E3709">
        <v>3101041</v>
      </c>
      <c r="F3709" t="s">
        <v>2782</v>
      </c>
      <c r="G3709" t="s">
        <v>2782</v>
      </c>
      <c r="H3709" t="s">
        <v>54</v>
      </c>
      <c r="I3709">
        <v>6955665</v>
      </c>
      <c r="J3709" s="12">
        <v>46095</v>
      </c>
      <c r="K3709" s="12">
        <v>46095</v>
      </c>
      <c r="L3709" s="12">
        <v>46095</v>
      </c>
      <c r="M3709">
        <v>37</v>
      </c>
      <c r="N3709">
        <v>-4150300</v>
      </c>
      <c r="O3709">
        <v>-4150300</v>
      </c>
      <c r="P3709">
        <v>0</v>
      </c>
      <c r="Q3709">
        <v>0</v>
      </c>
      <c r="R3709">
        <v>-4150300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 t="s">
        <v>47</v>
      </c>
      <c r="AA3709" t="s">
        <v>55</v>
      </c>
      <c r="AB3709" t="s">
        <v>51</v>
      </c>
      <c r="AC3709" t="s">
        <v>51</v>
      </c>
      <c r="AD3709" t="s">
        <v>51</v>
      </c>
      <c r="AE3709" t="s">
        <v>51</v>
      </c>
      <c r="AF3709" t="s">
        <v>2784</v>
      </c>
    </row>
    <row r="3710" spans="1:32" ht="14.5" customHeight="1" x14ac:dyDescent="0.35">
      <c r="A3710" t="s">
        <v>498</v>
      </c>
      <c r="B3710" t="s">
        <v>546</v>
      </c>
      <c r="C3710" t="s">
        <v>47</v>
      </c>
      <c r="D3710">
        <v>3101041</v>
      </c>
      <c r="E3710">
        <v>3101041</v>
      </c>
      <c r="F3710" t="s">
        <v>2782</v>
      </c>
      <c r="G3710" t="s">
        <v>2782</v>
      </c>
      <c r="H3710" t="s">
        <v>54</v>
      </c>
      <c r="I3710">
        <v>6956663</v>
      </c>
      <c r="J3710" s="12">
        <v>46105</v>
      </c>
      <c r="K3710" s="12">
        <v>46105</v>
      </c>
      <c r="L3710" s="12">
        <v>46105</v>
      </c>
      <c r="M3710">
        <v>27</v>
      </c>
      <c r="N3710">
        <v>-4196827</v>
      </c>
      <c r="O3710">
        <v>-4196827</v>
      </c>
      <c r="P3710">
        <v>0</v>
      </c>
      <c r="Q3710">
        <v>-4196827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 t="s">
        <v>47</v>
      </c>
      <c r="AA3710" t="s">
        <v>55</v>
      </c>
      <c r="AB3710" t="s">
        <v>51</v>
      </c>
      <c r="AC3710" t="s">
        <v>51</v>
      </c>
      <c r="AD3710" t="s">
        <v>51</v>
      </c>
      <c r="AE3710" t="s">
        <v>51</v>
      </c>
      <c r="AF3710" t="s">
        <v>2785</v>
      </c>
    </row>
    <row r="3711" spans="1:32" ht="14.5" customHeight="1" x14ac:dyDescent="0.35">
      <c r="A3711" t="s">
        <v>498</v>
      </c>
      <c r="B3711" t="s">
        <v>546</v>
      </c>
      <c r="C3711" t="s">
        <v>47</v>
      </c>
      <c r="D3711">
        <v>3101041</v>
      </c>
      <c r="E3711">
        <v>3101041</v>
      </c>
      <c r="F3711" t="s">
        <v>2782</v>
      </c>
      <c r="G3711" t="s">
        <v>2782</v>
      </c>
      <c r="H3711" t="s">
        <v>54</v>
      </c>
      <c r="I3711">
        <v>6959682</v>
      </c>
      <c r="J3711" s="12">
        <v>46128</v>
      </c>
      <c r="K3711" s="12">
        <v>46128</v>
      </c>
      <c r="L3711" s="12">
        <v>46128</v>
      </c>
      <c r="M3711">
        <v>4</v>
      </c>
      <c r="N3711">
        <v>-26107527</v>
      </c>
      <c r="O3711">
        <v>-26107527</v>
      </c>
      <c r="P3711">
        <v>0</v>
      </c>
      <c r="Q3711">
        <v>-26107527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 t="s">
        <v>47</v>
      </c>
      <c r="AA3711" t="s">
        <v>55</v>
      </c>
      <c r="AB3711" t="s">
        <v>51</v>
      </c>
      <c r="AC3711" t="s">
        <v>51</v>
      </c>
      <c r="AD3711" t="s">
        <v>51</v>
      </c>
      <c r="AE3711" t="s">
        <v>51</v>
      </c>
      <c r="AF3711" t="s">
        <v>56</v>
      </c>
    </row>
    <row r="3712" spans="1:32" ht="14.5" customHeight="1" x14ac:dyDescent="0.35">
      <c r="A3712" t="s">
        <v>498</v>
      </c>
      <c r="B3712" t="s">
        <v>546</v>
      </c>
      <c r="C3712" t="s">
        <v>47</v>
      </c>
      <c r="D3712">
        <v>3101041</v>
      </c>
      <c r="E3712">
        <v>3101041</v>
      </c>
      <c r="F3712" t="s">
        <v>2782</v>
      </c>
      <c r="G3712" t="s">
        <v>2782</v>
      </c>
      <c r="H3712" t="s">
        <v>140</v>
      </c>
      <c r="I3712">
        <v>9914972</v>
      </c>
      <c r="J3712" s="12">
        <v>46095</v>
      </c>
      <c r="K3712" s="12">
        <v>46095</v>
      </c>
      <c r="L3712" s="12">
        <v>46140</v>
      </c>
      <c r="M3712">
        <v>-8</v>
      </c>
      <c r="N3712">
        <v>1532605</v>
      </c>
      <c r="O3712">
        <v>0</v>
      </c>
      <c r="P3712">
        <v>1532605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 t="s">
        <v>47</v>
      </c>
      <c r="AA3712" t="s">
        <v>55</v>
      </c>
      <c r="AB3712" t="s">
        <v>51</v>
      </c>
      <c r="AC3712" t="s">
        <v>51</v>
      </c>
      <c r="AD3712" t="s">
        <v>2786</v>
      </c>
      <c r="AE3712" t="s">
        <v>51</v>
      </c>
      <c r="AF3712" t="s">
        <v>56</v>
      </c>
    </row>
    <row r="3713" spans="1:32" ht="14.5" customHeight="1" x14ac:dyDescent="0.35">
      <c r="A3713" t="s">
        <v>498</v>
      </c>
      <c r="B3713" t="s">
        <v>546</v>
      </c>
      <c r="C3713" t="s">
        <v>929</v>
      </c>
      <c r="D3713">
        <v>3101041</v>
      </c>
      <c r="E3713">
        <v>3101043</v>
      </c>
      <c r="F3713" t="s">
        <v>2782</v>
      </c>
      <c r="G3713" t="s">
        <v>2782</v>
      </c>
      <c r="H3713" t="s">
        <v>54</v>
      </c>
      <c r="I3713">
        <v>9915626</v>
      </c>
      <c r="J3713" s="12">
        <v>46096</v>
      </c>
      <c r="K3713" s="12">
        <v>46096</v>
      </c>
      <c r="L3713" s="12">
        <v>46142</v>
      </c>
      <c r="M3713">
        <v>-10</v>
      </c>
      <c r="N3713">
        <v>225170591</v>
      </c>
      <c r="O3713">
        <v>0</v>
      </c>
      <c r="P3713">
        <v>225170591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 t="s">
        <v>929</v>
      </c>
      <c r="AA3713" t="s">
        <v>55</v>
      </c>
      <c r="AB3713" t="s">
        <v>51</v>
      </c>
      <c r="AC3713" t="s">
        <v>51</v>
      </c>
      <c r="AD3713" t="s">
        <v>2787</v>
      </c>
      <c r="AE3713" t="s">
        <v>51</v>
      </c>
      <c r="AF3713" t="s">
        <v>62</v>
      </c>
    </row>
    <row r="3714" spans="1:32" ht="14.5" customHeight="1" x14ac:dyDescent="0.35">
      <c r="A3714" t="s">
        <v>498</v>
      </c>
      <c r="B3714" t="s">
        <v>546</v>
      </c>
      <c r="C3714" t="s">
        <v>47</v>
      </c>
      <c r="D3714">
        <v>3101041</v>
      </c>
      <c r="E3714">
        <v>3101041</v>
      </c>
      <c r="F3714" t="s">
        <v>2782</v>
      </c>
      <c r="G3714" t="s">
        <v>2782</v>
      </c>
      <c r="H3714" t="s">
        <v>140</v>
      </c>
      <c r="I3714">
        <v>9926587</v>
      </c>
      <c r="J3714" s="12">
        <v>46129</v>
      </c>
      <c r="K3714" s="12">
        <v>46129</v>
      </c>
      <c r="L3714" s="12">
        <v>46174</v>
      </c>
      <c r="M3714">
        <v>-42</v>
      </c>
      <c r="N3714">
        <v>420861</v>
      </c>
      <c r="O3714">
        <v>0</v>
      </c>
      <c r="P3714">
        <v>420861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 t="s">
        <v>47</v>
      </c>
      <c r="AA3714" t="s">
        <v>55</v>
      </c>
      <c r="AB3714" t="s">
        <v>51</v>
      </c>
      <c r="AC3714" t="s">
        <v>51</v>
      </c>
      <c r="AD3714" t="s">
        <v>51</v>
      </c>
      <c r="AE3714" t="s">
        <v>2788</v>
      </c>
      <c r="AF3714" t="s">
        <v>56</v>
      </c>
    </row>
    <row r="3715" spans="1:32" ht="14.5" customHeight="1" x14ac:dyDescent="0.35">
      <c r="A3715" t="s">
        <v>73</v>
      </c>
      <c r="B3715" t="s">
        <v>2187</v>
      </c>
      <c r="C3715" t="s">
        <v>47</v>
      </c>
      <c r="D3715">
        <v>3101047</v>
      </c>
      <c r="E3715">
        <v>3101047</v>
      </c>
      <c r="F3715" t="s">
        <v>2789</v>
      </c>
      <c r="G3715" t="s">
        <v>2789</v>
      </c>
      <c r="H3715" t="s">
        <v>54</v>
      </c>
      <c r="I3715">
        <v>6959905</v>
      </c>
      <c r="J3715" s="12">
        <v>46129</v>
      </c>
      <c r="K3715" s="12">
        <v>46129</v>
      </c>
      <c r="L3715" s="12">
        <v>46129</v>
      </c>
      <c r="M3715">
        <v>3</v>
      </c>
      <c r="N3715">
        <v>-5049478</v>
      </c>
      <c r="O3715">
        <v>-5049478</v>
      </c>
      <c r="P3715">
        <v>0</v>
      </c>
      <c r="Q3715">
        <v>-5049478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 t="s">
        <v>47</v>
      </c>
      <c r="AA3715" t="s">
        <v>501</v>
      </c>
      <c r="AB3715" t="s">
        <v>51</v>
      </c>
      <c r="AC3715" t="s">
        <v>51</v>
      </c>
      <c r="AD3715" t="s">
        <v>51</v>
      </c>
      <c r="AE3715" t="s">
        <v>51</v>
      </c>
      <c r="AF3715" t="s">
        <v>660</v>
      </c>
    </row>
    <row r="3716" spans="1:32" ht="14.5" customHeight="1" x14ac:dyDescent="0.35">
      <c r="A3716" t="s">
        <v>73</v>
      </c>
      <c r="B3716" t="s">
        <v>2187</v>
      </c>
      <c r="C3716" t="s">
        <v>47</v>
      </c>
      <c r="D3716">
        <v>3101047</v>
      </c>
      <c r="E3716">
        <v>3101047</v>
      </c>
      <c r="F3716" t="s">
        <v>2789</v>
      </c>
      <c r="G3716" t="s">
        <v>2789</v>
      </c>
      <c r="H3716" t="s">
        <v>54</v>
      </c>
      <c r="I3716">
        <v>9925623</v>
      </c>
      <c r="J3716" s="12">
        <v>46127</v>
      </c>
      <c r="K3716" s="12">
        <v>46127</v>
      </c>
      <c r="L3716" s="12">
        <v>46162</v>
      </c>
      <c r="M3716">
        <v>-30</v>
      </c>
      <c r="N3716">
        <v>108208377</v>
      </c>
      <c r="O3716">
        <v>0</v>
      </c>
      <c r="P3716">
        <v>108208377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 t="s">
        <v>47</v>
      </c>
      <c r="AA3716" t="s">
        <v>501</v>
      </c>
      <c r="AB3716" t="s">
        <v>51</v>
      </c>
      <c r="AC3716" t="s">
        <v>51</v>
      </c>
      <c r="AD3716" t="s">
        <v>51</v>
      </c>
      <c r="AE3716" t="s">
        <v>2790</v>
      </c>
      <c r="AF3716" t="s">
        <v>193</v>
      </c>
    </row>
  </sheetData>
  <autoFilter ref="A1:AV731" xr:uid="{00000000-0009-0000-0000-000001000000}">
    <sortState xmlns:xlrd2="http://schemas.microsoft.com/office/spreadsheetml/2017/richdata2" ref="A2:AV729">
      <sortCondition ref="L2:L729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4.5" x14ac:dyDescent="0.35"/>
  <sheetData>
    <row r="1" spans="1:1" x14ac:dyDescent="0.35">
      <c r="A1" t="s">
        <v>8</v>
      </c>
    </row>
    <row r="2" spans="1:1" x14ac:dyDescent="0.35">
      <c r="A2" t="s">
        <v>10</v>
      </c>
    </row>
    <row r="3" spans="1:1" x14ac:dyDescent="0.35">
      <c r="A3" t="s">
        <v>12</v>
      </c>
    </row>
    <row r="4" spans="1:1" x14ac:dyDescent="0.35">
      <c r="A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Master</vt:lpstr>
      <vt:lpstr>_PayerList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giriawan</dc:creator>
  <cp:lastModifiedBy>Christopher Gerard</cp:lastModifiedBy>
  <dcterms:created xsi:type="dcterms:W3CDTF">2026-02-20T01:42:13Z</dcterms:created>
  <dcterms:modified xsi:type="dcterms:W3CDTF">2026-06-05T02:10:26Z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0x010100C736122D6F02334D94BB1377DFDFAD55</vt:lpwstr>
  </property>
</Properties>
</file>